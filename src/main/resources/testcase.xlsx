
<file path=[Content_Types].xml><?xml version="1.0" encoding="utf-8"?>
<Types xmlns="http://schemas.openxmlformats.org/package/2006/content-types">
  <Default Extension="bin" ContentType="application/vnd.openxmlformats-officedocument.spreadsheetml.printerSettings"/>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comments4.xml" ContentType="application/vnd.openxmlformats-officedocument.spreadsheetml.comment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comments2.xml" ContentType="application/vnd.openxmlformats-officedocument.spreadsheetml.comments+xml"/>
  <Override PartName="/xl/comments3.xml" ContentType="application/vnd.openxmlformats-officedocument.spreadsheetml.comments+xml"/>
  <Override PartName="/docProps/custom.xml" ContentType="application/vnd.openxmlformats-officedocument.custom-propertie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7" rupBuild="4506"/>
  <workbookPr/>
  <bookViews>
    <workbookView xWindow="0" yWindow="0" windowWidth="19110" windowHeight="9000" tabRatio="670" activeTab="3"/>
  </bookViews>
  <sheets>
    <sheet name="封页" sheetId="1" r:id="rId1"/>
    <sheet name="历史变更记录" sheetId="2" r:id="rId2"/>
    <sheet name="测试大纲" sheetId="3" r:id="rId3"/>
    <sheet name="报备管理" sheetId="4" r:id="rId4"/>
    <sheet name="运行月报告" sheetId="13" r:id="rId5"/>
    <sheet name="通讯录" sheetId="14" r:id="rId6"/>
    <sheet name="流程测试用例" sheetId="8" r:id="rId7"/>
    <sheet name="流程图" sheetId="9" r:id="rId8"/>
    <sheet name="流程测试用例示例" sheetId="10" r:id="rId9"/>
    <sheet name="使用说明" sheetId="11" r:id="rId10"/>
  </sheets>
  <definedNames>
    <definedName name="_xlnm.Print_Area" localSheetId="0">封页!$A$1:$I$29</definedName>
    <definedName name="_xlnm.Print_Area" localSheetId="1">历史变更记录!$A$1:$G$23</definedName>
    <definedName name="_xlnm.Print_Area" localSheetId="9">使用说明!$A$1:$AJ$41</definedName>
    <definedName name="Z_0B5AE87E_5094_483C_B162_40616F3898A2_.wvu.PrintArea" localSheetId="0" hidden="1">封页!$A$1:$I$29</definedName>
    <definedName name="Z_0B5AE87E_5094_483C_B162_40616F3898A2_.wvu.PrintArea" localSheetId="1" hidden="1">历史变更记录!$A$1:$G$23</definedName>
    <definedName name="Z_0B5AE87E_5094_483C_B162_40616F3898A2_.wvu.PrintArea" localSheetId="9" hidden="1">使用说明!$A$1:$AJ$41</definedName>
    <definedName name="Z_0B5AE87E_5094_483C_B162_40616F3898A2_.wvu.Rows" localSheetId="3" hidden="1">报备管理!$5:$9</definedName>
    <definedName name="Z_0B5AE87E_5094_483C_B162_40616F3898A2_.wvu.Rows" localSheetId="5" hidden="1">通讯录!$5:$9</definedName>
    <definedName name="Z_0B5AE87E_5094_483C_B162_40616F3898A2_.wvu.Rows" localSheetId="4" hidden="1">运行月报告!$5:$9</definedName>
    <definedName name="Z_33A8337A_D9C9_4792_85CF_B434512345B4_.wvu.PrintArea" localSheetId="0" hidden="1">封页!$A$1:$I$29</definedName>
    <definedName name="Z_33A8337A_D9C9_4792_85CF_B434512345B4_.wvu.PrintArea" localSheetId="1" hidden="1">历史变更记录!$A$1:$G$23</definedName>
    <definedName name="Z_33A8337A_D9C9_4792_85CF_B434512345B4_.wvu.PrintArea" localSheetId="9" hidden="1">使用说明!$A$1:$AJ$41</definedName>
    <definedName name="Z_33A8337A_D9C9_4792_85CF_B434512345B4_.wvu.Rows" localSheetId="3" hidden="1">报备管理!$5:$9</definedName>
    <definedName name="Z_33A8337A_D9C9_4792_85CF_B434512345B4_.wvu.Rows" localSheetId="5" hidden="1">通讯录!$5:$9</definedName>
    <definedName name="Z_33A8337A_D9C9_4792_85CF_B434512345B4_.wvu.Rows" localSheetId="4" hidden="1">运行月报告!$5:$9</definedName>
  </definedNames>
  <calcPr calcId="125725"/>
  <customWorkbookViews>
    <customWorkbookView name="44244 - 个人视图" guid="{0B5AE87E-5094-483C-B162-40616F3898A2}" mergeInterval="0" personalView="1" maximized="1" xWindow="-9" yWindow="-9" windowWidth="1938" windowHeight="1048" tabRatio="670" activeSheetId="4"/>
    <customWorkbookView name="Administrator - 个人视图" guid="{33A8337A-D9C9-4792-85CF-B434512345B4}" mergeInterval="0" personalView="1" maximized="1" xWindow="-8" yWindow="-8" windowWidth="1382" windowHeight="744" tabRatio="670" activeSheetId="12"/>
  </customWorkbookViews>
</workbook>
</file>

<file path=xl/calcChain.xml><?xml version="1.0" encoding="utf-8"?>
<calcChain xmlns="http://schemas.openxmlformats.org/spreadsheetml/2006/main">
  <c r="C12" i="14"/>
  <c r="C13"/>
  <c r="C14"/>
  <c r="C15"/>
  <c r="C16"/>
  <c r="C17"/>
  <c r="C18"/>
  <c r="C11"/>
  <c r="G149" i="13"/>
  <c r="G150"/>
  <c r="G151"/>
  <c r="G152"/>
  <c r="G153"/>
  <c r="G154"/>
  <c r="G155"/>
  <c r="G156"/>
  <c r="G157"/>
  <c r="G158"/>
  <c r="G159"/>
  <c r="G160"/>
  <c r="G161"/>
  <c r="G162"/>
  <c r="G163"/>
  <c r="G164"/>
  <c r="G165"/>
  <c r="G166"/>
  <c r="G167"/>
  <c r="G168"/>
  <c r="G169"/>
  <c r="G170"/>
  <c r="G171"/>
  <c r="G172"/>
  <c r="G173"/>
  <c r="G148"/>
  <c r="G97"/>
  <c r="G98"/>
  <c r="G99"/>
  <c r="G100"/>
  <c r="G101"/>
  <c r="G102"/>
  <c r="G103"/>
  <c r="G104"/>
  <c r="G105"/>
  <c r="G106"/>
  <c r="G107"/>
  <c r="G108"/>
  <c r="G109"/>
  <c r="G110"/>
  <c r="G111"/>
  <c r="G112"/>
  <c r="G113"/>
  <c r="G114"/>
  <c r="G115"/>
  <c r="G116"/>
  <c r="G117"/>
  <c r="G118"/>
  <c r="G119"/>
  <c r="G120"/>
  <c r="G121"/>
  <c r="G122"/>
  <c r="G123"/>
  <c r="G124"/>
  <c r="G125"/>
  <c r="G126"/>
  <c r="G127"/>
  <c r="G128"/>
  <c r="G129"/>
  <c r="G130"/>
  <c r="G131"/>
  <c r="G132"/>
  <c r="G133"/>
  <c r="G134"/>
  <c r="G135"/>
  <c r="G136"/>
  <c r="G137"/>
  <c r="G138"/>
  <c r="G139"/>
  <c r="G140"/>
  <c r="G141"/>
  <c r="G142"/>
  <c r="G143"/>
  <c r="G144"/>
  <c r="G145"/>
  <c r="G146"/>
  <c r="G147"/>
  <c r="G96"/>
  <c r="G95"/>
  <c r="G78"/>
  <c r="G79"/>
  <c r="G80"/>
  <c r="G81"/>
  <c r="G82"/>
  <c r="G83"/>
  <c r="G84"/>
  <c r="G85"/>
  <c r="G86"/>
  <c r="G87"/>
  <c r="G88"/>
  <c r="G89"/>
  <c r="G90"/>
  <c r="G91"/>
  <c r="G92"/>
  <c r="G93"/>
  <c r="G94"/>
  <c r="G77"/>
  <c r="G44"/>
  <c r="G45"/>
  <c r="G46"/>
  <c r="G47"/>
  <c r="G48"/>
  <c r="G49"/>
  <c r="G50"/>
  <c r="G51"/>
  <c r="G52"/>
  <c r="G53"/>
  <c r="G54"/>
  <c r="G55"/>
  <c r="G56"/>
  <c r="G57"/>
  <c r="G58"/>
  <c r="G59"/>
  <c r="G60"/>
  <c r="G61"/>
  <c r="G62"/>
  <c r="G63"/>
  <c r="G64"/>
  <c r="G65"/>
  <c r="G66"/>
  <c r="G67"/>
  <c r="G68"/>
  <c r="G69"/>
  <c r="G70"/>
  <c r="G71"/>
  <c r="G72"/>
  <c r="G73"/>
  <c r="G74"/>
  <c r="G75"/>
  <c r="G76"/>
  <c r="G43"/>
  <c r="G13"/>
  <c r="G14"/>
  <c r="G15"/>
  <c r="G16"/>
  <c r="G17"/>
  <c r="G18"/>
  <c r="G19"/>
  <c r="G20"/>
  <c r="G21"/>
  <c r="G22"/>
  <c r="G23"/>
  <c r="G24"/>
  <c r="G25"/>
  <c r="G26"/>
  <c r="G27"/>
  <c r="G28"/>
  <c r="G29"/>
  <c r="G30"/>
  <c r="G31"/>
  <c r="G32"/>
  <c r="G33"/>
  <c r="G34"/>
  <c r="G35"/>
  <c r="G36"/>
  <c r="G37"/>
  <c r="G38"/>
  <c r="G39"/>
  <c r="G40"/>
  <c r="G41"/>
  <c r="G42"/>
  <c r="G12"/>
  <c r="G11" l="1"/>
  <c r="C12"/>
  <c r="C13"/>
  <c r="C14"/>
  <c r="C15"/>
  <c r="C16"/>
  <c r="C17"/>
  <c r="C18"/>
  <c r="C19"/>
  <c r="C20"/>
  <c r="C21"/>
  <c r="C22"/>
  <c r="C23"/>
  <c r="C24"/>
  <c r="C25"/>
  <c r="C26"/>
  <c r="C27"/>
  <c r="C28"/>
  <c r="C29"/>
  <c r="C30"/>
  <c r="C31"/>
  <c r="C32"/>
  <c r="C33"/>
  <c r="C34"/>
  <c r="C35"/>
  <c r="C36"/>
  <c r="C37"/>
  <c r="C38"/>
  <c r="C39"/>
  <c r="C40"/>
  <c r="C41"/>
  <c r="C42"/>
  <c r="C43"/>
  <c r="C44"/>
  <c r="C45"/>
  <c r="B99" s="1"/>
  <c r="C46"/>
  <c r="C47"/>
  <c r="C48"/>
  <c r="C49"/>
  <c r="C50"/>
  <c r="B138" s="1"/>
  <c r="C51"/>
  <c r="C52"/>
  <c r="C53"/>
  <c r="C54"/>
  <c r="C55"/>
  <c r="C56"/>
  <c r="C57"/>
  <c r="C58"/>
  <c r="C59"/>
  <c r="C60"/>
  <c r="C61"/>
  <c r="C62"/>
  <c r="C63"/>
  <c r="C64"/>
  <c r="C65"/>
  <c r="C66"/>
  <c r="C67"/>
  <c r="C68"/>
  <c r="C69"/>
  <c r="C70"/>
  <c r="C71"/>
  <c r="C72"/>
  <c r="C73"/>
  <c r="C74"/>
  <c r="C75"/>
  <c r="C76"/>
  <c r="C77"/>
  <c r="C78"/>
  <c r="C79"/>
  <c r="C80"/>
  <c r="C81"/>
  <c r="C82"/>
  <c r="C83"/>
  <c r="C84"/>
  <c r="C85"/>
  <c r="C86"/>
  <c r="C87"/>
  <c r="C88"/>
  <c r="C89"/>
  <c r="C90"/>
  <c r="C91"/>
  <c r="C92"/>
  <c r="C93"/>
  <c r="C94"/>
  <c r="C95"/>
  <c r="C96"/>
  <c r="C97"/>
  <c r="C98"/>
  <c r="C99"/>
  <c r="C100"/>
  <c r="C101"/>
  <c r="C102"/>
  <c r="C103"/>
  <c r="C104"/>
  <c r="C105"/>
  <c r="C106"/>
  <c r="C107"/>
  <c r="C108"/>
  <c r="C109"/>
  <c r="C110"/>
  <c r="C111"/>
  <c r="C112"/>
  <c r="C113"/>
  <c r="C114"/>
  <c r="C115"/>
  <c r="C116"/>
  <c r="C117"/>
  <c r="C118"/>
  <c r="C119"/>
  <c r="C120"/>
  <c r="C121"/>
  <c r="C122"/>
  <c r="C123"/>
  <c r="C124"/>
  <c r="C125"/>
  <c r="C126"/>
  <c r="C127"/>
  <c r="C128"/>
  <c r="C129"/>
  <c r="C130"/>
  <c r="C131"/>
  <c r="C132"/>
  <c r="C133"/>
  <c r="C134"/>
  <c r="C135"/>
  <c r="C136"/>
  <c r="C137"/>
  <c r="C138"/>
  <c r="C139"/>
  <c r="C140"/>
  <c r="C141"/>
  <c r="C142"/>
  <c r="C143"/>
  <c r="C144"/>
  <c r="C145"/>
  <c r="C146"/>
  <c r="C147"/>
  <c r="C148"/>
  <c r="C149"/>
  <c r="C150"/>
  <c r="C151"/>
  <c r="C152"/>
  <c r="C153"/>
  <c r="C154"/>
  <c r="C155"/>
  <c r="C156"/>
  <c r="C157"/>
  <c r="C158"/>
  <c r="C159"/>
  <c r="C160"/>
  <c r="C161"/>
  <c r="C162"/>
  <c r="C163"/>
  <c r="C164"/>
  <c r="C165"/>
  <c r="C166"/>
  <c r="C167"/>
  <c r="C168"/>
  <c r="C169"/>
  <c r="C170"/>
  <c r="C171"/>
  <c r="C172"/>
  <c r="C173"/>
  <c r="C11"/>
  <c r="B13"/>
  <c r="B12"/>
  <c r="B16"/>
  <c r="B18"/>
  <c r="B19"/>
  <c r="B20"/>
  <c r="B23"/>
  <c r="B24"/>
  <c r="B26"/>
  <c r="B27"/>
  <c r="B28"/>
  <c r="B31"/>
  <c r="B32"/>
  <c r="B34"/>
  <c r="B35"/>
  <c r="B36"/>
  <c r="B39"/>
  <c r="B40"/>
  <c r="B42"/>
  <c r="B43"/>
  <c r="B44"/>
  <c r="B88"/>
  <c r="B124"/>
  <c r="B160"/>
  <c r="G12" i="14"/>
  <c r="G13"/>
  <c r="G14"/>
  <c r="G11"/>
  <c r="B12"/>
  <c r="B13"/>
  <c r="B14"/>
  <c r="B15"/>
  <c r="B16"/>
  <c r="B17"/>
  <c r="B18"/>
  <c r="B11"/>
  <c r="G18"/>
  <c r="G17"/>
  <c r="G16"/>
  <c r="G15"/>
  <c r="C12" i="4"/>
  <c r="C13"/>
  <c r="C14"/>
  <c r="C15"/>
  <c r="C16"/>
  <c r="C17"/>
  <c r="C18"/>
  <c r="C19"/>
  <c r="C20"/>
  <c r="C21"/>
  <c r="C22"/>
  <c r="C23"/>
  <c r="C24"/>
  <c r="C25"/>
  <c r="C26"/>
  <c r="C27"/>
  <c r="C28"/>
  <c r="C29"/>
  <c r="C30"/>
  <c r="C31"/>
  <c r="C32"/>
  <c r="C33"/>
  <c r="C34"/>
  <c r="C35"/>
  <c r="C36"/>
  <c r="C37"/>
  <c r="C38"/>
  <c r="C39"/>
  <c r="C40"/>
  <c r="C41"/>
  <c r="C42"/>
  <c r="C43"/>
  <c r="C44"/>
  <c r="C45"/>
  <c r="C46"/>
  <c r="C47"/>
  <c r="C48"/>
  <c r="C49"/>
  <c r="C50"/>
  <c r="C51"/>
  <c r="C52"/>
  <c r="C53"/>
  <c r="C54"/>
  <c r="C55"/>
  <c r="C56"/>
  <c r="C57"/>
  <c r="C58"/>
  <c r="C59"/>
  <c r="C60"/>
  <c r="C61"/>
  <c r="C62"/>
  <c r="C63"/>
  <c r="C64"/>
  <c r="C65"/>
  <c r="C66"/>
  <c r="C67"/>
  <c r="C68"/>
  <c r="C69"/>
  <c r="C70"/>
  <c r="C71"/>
  <c r="C72"/>
  <c r="C73"/>
  <c r="C74"/>
  <c r="C75"/>
  <c r="C76"/>
  <c r="C77"/>
  <c r="C78"/>
  <c r="C79"/>
  <c r="C80"/>
  <c r="C81"/>
  <c r="C82"/>
  <c r="C83"/>
  <c r="C84"/>
  <c r="C85"/>
  <c r="C86"/>
  <c r="C87"/>
  <c r="C88"/>
  <c r="C89"/>
  <c r="C90"/>
  <c r="C91"/>
  <c r="C92"/>
  <c r="C93"/>
  <c r="C94"/>
  <c r="C95"/>
  <c r="C96"/>
  <c r="C97"/>
  <c r="C98"/>
  <c r="C99"/>
  <c r="C100"/>
  <c r="C101"/>
  <c r="C102"/>
  <c r="C103"/>
  <c r="C104"/>
  <c r="C105"/>
  <c r="C106"/>
  <c r="C107"/>
  <c r="C108"/>
  <c r="C109"/>
  <c r="C110"/>
  <c r="C111"/>
  <c r="C112"/>
  <c r="C113"/>
  <c r="C114"/>
  <c r="C115"/>
  <c r="C116"/>
  <c r="C117"/>
  <c r="C118"/>
  <c r="C119"/>
  <c r="C120"/>
  <c r="C121"/>
  <c r="C122"/>
  <c r="C123"/>
  <c r="C124"/>
  <c r="C125"/>
  <c r="C126"/>
  <c r="C127"/>
  <c r="C128"/>
  <c r="C129"/>
  <c r="C130"/>
  <c r="C131"/>
  <c r="C132"/>
  <c r="C133"/>
  <c r="C134"/>
  <c r="C135"/>
  <c r="C136"/>
  <c r="C137"/>
  <c r="C138"/>
  <c r="C139"/>
  <c r="C140"/>
  <c r="C141"/>
  <c r="C142"/>
  <c r="C143"/>
  <c r="C144"/>
  <c r="C145"/>
  <c r="C146"/>
  <c r="C147"/>
  <c r="C148"/>
  <c r="C149"/>
  <c r="C150"/>
  <c r="C151"/>
  <c r="C152"/>
  <c r="C153"/>
  <c r="C154"/>
  <c r="C155"/>
  <c r="C156"/>
  <c r="C157"/>
  <c r="C158"/>
  <c r="C159"/>
  <c r="C160"/>
  <c r="C161"/>
  <c r="C162"/>
  <c r="C163"/>
  <c r="C164"/>
  <c r="C165"/>
  <c r="C166"/>
  <c r="C167"/>
  <c r="C168"/>
  <c r="C169"/>
  <c r="C170"/>
  <c r="C171"/>
  <c r="C172"/>
  <c r="C173"/>
  <c r="C174"/>
  <c r="C175"/>
  <c r="C176"/>
  <c r="C177"/>
  <c r="C178"/>
  <c r="C179"/>
  <c r="C180"/>
  <c r="C181"/>
  <c r="C182"/>
  <c r="C183"/>
  <c r="C184"/>
  <c r="C185"/>
  <c r="C186"/>
  <c r="C187"/>
  <c r="C188"/>
  <c r="C189"/>
  <c r="C190"/>
  <c r="C191"/>
  <c r="C192"/>
  <c r="C193"/>
  <c r="C194"/>
  <c r="C195"/>
  <c r="C196"/>
  <c r="C197"/>
  <c r="C198"/>
  <c r="C199"/>
  <c r="C200"/>
  <c r="C201"/>
  <c r="C202"/>
  <c r="C203"/>
  <c r="C204"/>
  <c r="C205"/>
  <c r="C206"/>
  <c r="C207"/>
  <c r="C208"/>
  <c r="C209"/>
  <c r="C210"/>
  <c r="C211"/>
  <c r="C212"/>
  <c r="C213"/>
  <c r="C214"/>
  <c r="C215"/>
  <c r="C216"/>
  <c r="C217"/>
  <c r="C218"/>
  <c r="C219"/>
  <c r="C220"/>
  <c r="C221"/>
  <c r="C222"/>
  <c r="C223"/>
  <c r="C224"/>
  <c r="C225"/>
  <c r="C226"/>
  <c r="C227"/>
  <c r="C228"/>
  <c r="C229"/>
  <c r="C230"/>
  <c r="C231"/>
  <c r="C232"/>
  <c r="C233"/>
  <c r="C234"/>
  <c r="C235"/>
  <c r="C236"/>
  <c r="C237"/>
  <c r="C238"/>
  <c r="C239"/>
  <c r="C240"/>
  <c r="C241"/>
  <c r="C242"/>
  <c r="C243"/>
  <c r="C244"/>
  <c r="C245"/>
  <c r="C246"/>
  <c r="C247"/>
  <c r="C248"/>
  <c r="C249"/>
  <c r="C250"/>
  <c r="C251"/>
  <c r="C252"/>
  <c r="C253"/>
  <c r="C254"/>
  <c r="C255"/>
  <c r="C256"/>
  <c r="C257"/>
  <c r="C258"/>
  <c r="C259"/>
  <c r="C260"/>
  <c r="C261"/>
  <c r="C262"/>
  <c r="C263"/>
  <c r="C264"/>
  <c r="C265"/>
  <c r="C266"/>
  <c r="C267"/>
  <c r="C268"/>
  <c r="C269"/>
  <c r="C270"/>
  <c r="C271"/>
  <c r="C272"/>
  <c r="C273"/>
  <c r="C274"/>
  <c r="C275"/>
  <c r="C276"/>
  <c r="C277"/>
  <c r="C278"/>
  <c r="C279"/>
  <c r="C280"/>
  <c r="C281"/>
  <c r="C282"/>
  <c r="C283"/>
  <c r="C284"/>
  <c r="C285"/>
  <c r="C286"/>
  <c r="C287"/>
  <c r="C288"/>
  <c r="C289"/>
  <c r="C290"/>
  <c r="C291"/>
  <c r="C292"/>
  <c r="C293"/>
  <c r="C294"/>
  <c r="C295"/>
  <c r="C296"/>
  <c r="C297"/>
  <c r="C298"/>
  <c r="C299"/>
  <c r="C300"/>
  <c r="C301"/>
  <c r="C302"/>
  <c r="C303"/>
  <c r="C304"/>
  <c r="C305"/>
  <c r="C11"/>
  <c r="G12" s="1"/>
  <c r="B304" l="1"/>
  <c r="B172" i="13"/>
  <c r="B100"/>
  <c r="B163"/>
  <c r="B127"/>
  <c r="B96"/>
  <c r="B152"/>
  <c r="B151"/>
  <c r="B114"/>
  <c r="B71"/>
  <c r="B60"/>
  <c r="B122"/>
  <c r="B147"/>
  <c r="B112"/>
  <c r="B58"/>
  <c r="B51"/>
  <c r="B83"/>
  <c r="B139"/>
  <c r="B108"/>
  <c r="B48"/>
  <c r="B164"/>
  <c r="B135"/>
  <c r="B162"/>
  <c r="B148"/>
  <c r="B136"/>
  <c r="B123"/>
  <c r="B111"/>
  <c r="B98"/>
  <c r="B84"/>
  <c r="B72"/>
  <c r="B59"/>
  <c r="B47"/>
  <c r="B171"/>
  <c r="B159"/>
  <c r="B146"/>
  <c r="B132"/>
  <c r="B120"/>
  <c r="B107"/>
  <c r="B95"/>
  <c r="B82"/>
  <c r="B68"/>
  <c r="B56"/>
  <c r="B170"/>
  <c r="B156"/>
  <c r="B144"/>
  <c r="B131"/>
  <c r="B119"/>
  <c r="B106"/>
  <c r="B92"/>
  <c r="B80"/>
  <c r="B67"/>
  <c r="B55"/>
  <c r="B168"/>
  <c r="B155"/>
  <c r="B143"/>
  <c r="B130"/>
  <c r="B116"/>
  <c r="B104"/>
  <c r="B91"/>
  <c r="B79"/>
  <c r="B66"/>
  <c r="B52"/>
  <c r="B167"/>
  <c r="B154"/>
  <c r="B140"/>
  <c r="B128"/>
  <c r="B115"/>
  <c r="B103"/>
  <c r="B90"/>
  <c r="B76"/>
  <c r="B64"/>
  <c r="B75"/>
  <c r="B63"/>
  <c r="B50"/>
  <c r="B87"/>
  <c r="B74"/>
  <c r="B169"/>
  <c r="B161"/>
  <c r="B153"/>
  <c r="B145"/>
  <c r="B137"/>
  <c r="B129"/>
  <c r="B121"/>
  <c r="B113"/>
  <c r="B105"/>
  <c r="B97"/>
  <c r="B89"/>
  <c r="B81"/>
  <c r="B73"/>
  <c r="B65"/>
  <c r="B57"/>
  <c r="B49"/>
  <c r="B41"/>
  <c r="B33"/>
  <c r="B25"/>
  <c r="B17"/>
  <c r="B15"/>
  <c r="B11"/>
  <c r="B166"/>
  <c r="B158"/>
  <c r="B150"/>
  <c r="B142"/>
  <c r="B134"/>
  <c r="B126"/>
  <c r="B118"/>
  <c r="B110"/>
  <c r="B102"/>
  <c r="B94"/>
  <c r="B86"/>
  <c r="B78"/>
  <c r="B70"/>
  <c r="B62"/>
  <c r="B54"/>
  <c r="B46"/>
  <c r="B38"/>
  <c r="B30"/>
  <c r="B22"/>
  <c r="B14"/>
  <c r="B173"/>
  <c r="B165"/>
  <c r="B157"/>
  <c r="B149"/>
  <c r="B141"/>
  <c r="B133"/>
  <c r="B125"/>
  <c r="B117"/>
  <c r="B109"/>
  <c r="B101"/>
  <c r="B93"/>
  <c r="B85"/>
  <c r="B77"/>
  <c r="B69"/>
  <c r="B61"/>
  <c r="B53"/>
  <c r="B45"/>
  <c r="B37"/>
  <c r="B29"/>
  <c r="B21"/>
  <c r="G262" i="4"/>
  <c r="G44"/>
  <c r="G11"/>
  <c r="G281"/>
  <c r="G263"/>
  <c r="G232"/>
  <c r="G201"/>
  <c r="G136"/>
  <c r="G60"/>
  <c r="G200"/>
  <c r="G61"/>
  <c r="G264"/>
  <c r="G36"/>
  <c r="G141"/>
  <c r="G19"/>
  <c r="G133"/>
  <c r="G231"/>
  <c r="G135"/>
  <c r="G59"/>
  <c r="G228"/>
  <c r="G280"/>
  <c r="G137"/>
  <c r="G53"/>
  <c r="G100"/>
  <c r="G176"/>
  <c r="B26"/>
  <c r="G123"/>
  <c r="G50"/>
  <c r="G42"/>
  <c r="G34"/>
  <c r="G26"/>
  <c r="G18"/>
  <c r="G130"/>
  <c r="G122"/>
  <c r="G114"/>
  <c r="G106"/>
  <c r="G98"/>
  <c r="G90"/>
  <c r="G82"/>
  <c r="G74"/>
  <c r="G66"/>
  <c r="G58"/>
  <c r="G190"/>
  <c r="G182"/>
  <c r="G174"/>
  <c r="G166"/>
  <c r="G158"/>
  <c r="G150"/>
  <c r="G142"/>
  <c r="G134"/>
  <c r="G223"/>
  <c r="G215"/>
  <c r="G207"/>
  <c r="G199"/>
  <c r="G229"/>
  <c r="G246"/>
  <c r="G238"/>
  <c r="G254"/>
  <c r="G269"/>
  <c r="G261"/>
  <c r="G303"/>
  <c r="G295"/>
  <c r="G287"/>
  <c r="G279"/>
  <c r="G124"/>
  <c r="G68"/>
  <c r="G217"/>
  <c r="G41"/>
  <c r="G25"/>
  <c r="G129"/>
  <c r="G121"/>
  <c r="G113"/>
  <c r="G105"/>
  <c r="G89"/>
  <c r="G65"/>
  <c r="G57"/>
  <c r="G189"/>
  <c r="G181"/>
  <c r="G173"/>
  <c r="G165"/>
  <c r="G157"/>
  <c r="G149"/>
  <c r="G191"/>
  <c r="G222"/>
  <c r="G214"/>
  <c r="G206"/>
  <c r="G198"/>
  <c r="G253"/>
  <c r="G245"/>
  <c r="G237"/>
  <c r="G256"/>
  <c r="G268"/>
  <c r="G260"/>
  <c r="G302"/>
  <c r="G294"/>
  <c r="G286"/>
  <c r="G278"/>
  <c r="G116"/>
  <c r="G76"/>
  <c r="G209"/>
  <c r="G97"/>
  <c r="G48"/>
  <c r="G24"/>
  <c r="G16"/>
  <c r="G128"/>
  <c r="G120"/>
  <c r="G112"/>
  <c r="G104"/>
  <c r="G96"/>
  <c r="G88"/>
  <c r="G80"/>
  <c r="G72"/>
  <c r="G64"/>
  <c r="G56"/>
  <c r="G188"/>
  <c r="G180"/>
  <c r="G172"/>
  <c r="G164"/>
  <c r="G156"/>
  <c r="G148"/>
  <c r="G140"/>
  <c r="G193"/>
  <c r="G221"/>
  <c r="G213"/>
  <c r="G205"/>
  <c r="G197"/>
  <c r="G252"/>
  <c r="G244"/>
  <c r="G236"/>
  <c r="G255"/>
  <c r="G267"/>
  <c r="G259"/>
  <c r="G301"/>
  <c r="G293"/>
  <c r="G285"/>
  <c r="G277"/>
  <c r="G33"/>
  <c r="G81"/>
  <c r="G32"/>
  <c r="B27"/>
  <c r="G47"/>
  <c r="G39"/>
  <c r="G31"/>
  <c r="G23"/>
  <c r="G15"/>
  <c r="G127"/>
  <c r="G119"/>
  <c r="G111"/>
  <c r="G103"/>
  <c r="G95"/>
  <c r="G87"/>
  <c r="G79"/>
  <c r="G71"/>
  <c r="G63"/>
  <c r="G55"/>
  <c r="G187"/>
  <c r="G179"/>
  <c r="G171"/>
  <c r="G163"/>
  <c r="G155"/>
  <c r="G147"/>
  <c r="G139"/>
  <c r="G192"/>
  <c r="G220"/>
  <c r="G212"/>
  <c r="G204"/>
  <c r="G196"/>
  <c r="G251"/>
  <c r="G243"/>
  <c r="G235"/>
  <c r="G274"/>
  <c r="G266"/>
  <c r="G258"/>
  <c r="G300"/>
  <c r="G292"/>
  <c r="G284"/>
  <c r="G276"/>
  <c r="G20"/>
  <c r="G92"/>
  <c r="G225"/>
  <c r="G49"/>
  <c r="G73"/>
  <c r="G40"/>
  <c r="G46"/>
  <c r="G38"/>
  <c r="G30"/>
  <c r="G22"/>
  <c r="G14"/>
  <c r="G126"/>
  <c r="G118"/>
  <c r="G110"/>
  <c r="G102"/>
  <c r="G94"/>
  <c r="G86"/>
  <c r="G78"/>
  <c r="G70"/>
  <c r="G62"/>
  <c r="G54"/>
  <c r="G186"/>
  <c r="G178"/>
  <c r="G170"/>
  <c r="G162"/>
  <c r="G154"/>
  <c r="G146"/>
  <c r="G138"/>
  <c r="G227"/>
  <c r="G219"/>
  <c r="G211"/>
  <c r="G203"/>
  <c r="G195"/>
  <c r="G250"/>
  <c r="G242"/>
  <c r="G234"/>
  <c r="G273"/>
  <c r="G265"/>
  <c r="G257"/>
  <c r="G299"/>
  <c r="G291"/>
  <c r="G283"/>
  <c r="G17"/>
  <c r="G45"/>
  <c r="G37"/>
  <c r="G29"/>
  <c r="G21"/>
  <c r="G13"/>
  <c r="G125"/>
  <c r="G117"/>
  <c r="G109"/>
  <c r="G101"/>
  <c r="G93"/>
  <c r="G85"/>
  <c r="G77"/>
  <c r="G69"/>
  <c r="G131"/>
  <c r="G185"/>
  <c r="G177"/>
  <c r="G169"/>
  <c r="G161"/>
  <c r="G153"/>
  <c r="G145"/>
  <c r="G226"/>
  <c r="G218"/>
  <c r="G210"/>
  <c r="G202"/>
  <c r="G194"/>
  <c r="G249"/>
  <c r="G241"/>
  <c r="G233"/>
  <c r="G272"/>
  <c r="G275"/>
  <c r="G298"/>
  <c r="G290"/>
  <c r="G282"/>
  <c r="G28"/>
  <c r="AB5" s="1" a="1"/>
  <c r="G108"/>
  <c r="G84"/>
  <c r="G184"/>
  <c r="G168"/>
  <c r="G160"/>
  <c r="G152"/>
  <c r="G144"/>
  <c r="G248"/>
  <c r="G240"/>
  <c r="G271"/>
  <c r="G305"/>
  <c r="G297"/>
  <c r="G289"/>
  <c r="G51"/>
  <c r="G43"/>
  <c r="G35"/>
  <c r="G27"/>
  <c r="G52"/>
  <c r="G115"/>
  <c r="G107"/>
  <c r="G99"/>
  <c r="G91"/>
  <c r="G83"/>
  <c r="G75"/>
  <c r="G67"/>
  <c r="G132"/>
  <c r="G183"/>
  <c r="G175"/>
  <c r="G167"/>
  <c r="G159"/>
  <c r="G151"/>
  <c r="G143"/>
  <c r="G224"/>
  <c r="G216"/>
  <c r="G208"/>
  <c r="G230"/>
  <c r="G247"/>
  <c r="G239"/>
  <c r="G270"/>
  <c r="G304"/>
  <c r="G296"/>
  <c r="G288"/>
  <c r="B131"/>
  <c r="B34"/>
  <c r="B31"/>
  <c r="B35"/>
  <c r="B283"/>
  <c r="B219"/>
  <c r="B155"/>
  <c r="B91"/>
  <c r="B71"/>
  <c r="B50"/>
  <c r="B114"/>
  <c r="B154"/>
  <c r="B235"/>
  <c r="B23"/>
  <c r="B199"/>
  <c r="B303"/>
  <c r="B195"/>
  <c r="B47"/>
  <c r="B279"/>
  <c r="B171"/>
  <c r="B107"/>
  <c r="B66"/>
  <c r="B298"/>
  <c r="B275"/>
  <c r="B255"/>
  <c r="B234"/>
  <c r="B211"/>
  <c r="B191"/>
  <c r="B170"/>
  <c r="B106"/>
  <c r="B83"/>
  <c r="B63"/>
  <c r="B42"/>
  <c r="B19"/>
  <c r="B263"/>
  <c r="B239"/>
  <c r="B67"/>
  <c r="B299"/>
  <c r="B194"/>
  <c r="B130"/>
  <c r="B43"/>
  <c r="B127"/>
  <c r="B295"/>
  <c r="B274"/>
  <c r="B251"/>
  <c r="B231"/>
  <c r="B210"/>
  <c r="B187"/>
  <c r="B167"/>
  <c r="B146"/>
  <c r="B123"/>
  <c r="B103"/>
  <c r="B82"/>
  <c r="B59"/>
  <c r="B39"/>
  <c r="B18"/>
  <c r="B242"/>
  <c r="B259"/>
  <c r="B111"/>
  <c r="B258"/>
  <c r="B215"/>
  <c r="B151"/>
  <c r="B87"/>
  <c r="B147"/>
  <c r="B291"/>
  <c r="B271"/>
  <c r="B250"/>
  <c r="B227"/>
  <c r="B207"/>
  <c r="B186"/>
  <c r="B163"/>
  <c r="B143"/>
  <c r="B122"/>
  <c r="B99"/>
  <c r="B79"/>
  <c r="B58"/>
  <c r="B12"/>
  <c r="B135"/>
  <c r="B218"/>
  <c r="B90"/>
  <c r="B267"/>
  <c r="B226"/>
  <c r="B162"/>
  <c r="B119"/>
  <c r="B55"/>
  <c r="B178"/>
  <c r="B282"/>
  <c r="B175"/>
  <c r="B290"/>
  <c r="B247"/>
  <c r="B203"/>
  <c r="B183"/>
  <c r="B139"/>
  <c r="B98"/>
  <c r="B75"/>
  <c r="B287"/>
  <c r="B266"/>
  <c r="B243"/>
  <c r="B223"/>
  <c r="B202"/>
  <c r="B179"/>
  <c r="B159"/>
  <c r="B138"/>
  <c r="B115"/>
  <c r="B95"/>
  <c r="B74"/>
  <c r="B51"/>
  <c r="B305"/>
  <c r="B297"/>
  <c r="B289"/>
  <c r="B281"/>
  <c r="B273"/>
  <c r="B265"/>
  <c r="B257"/>
  <c r="B249"/>
  <c r="B241"/>
  <c r="B233"/>
  <c r="B225"/>
  <c r="B217"/>
  <c r="B209"/>
  <c r="B201"/>
  <c r="B193"/>
  <c r="B185"/>
  <c r="B177"/>
  <c r="B169"/>
  <c r="B161"/>
  <c r="B153"/>
  <c r="B145"/>
  <c r="B137"/>
  <c r="B129"/>
  <c r="B121"/>
  <c r="B113"/>
  <c r="B105"/>
  <c r="B97"/>
  <c r="B89"/>
  <c r="B81"/>
  <c r="B73"/>
  <c r="B65"/>
  <c r="B57"/>
  <c r="B49"/>
  <c r="B41"/>
  <c r="B33"/>
  <c r="B25"/>
  <c r="B17"/>
  <c r="B296"/>
  <c r="B288"/>
  <c r="B280"/>
  <c r="B272"/>
  <c r="B264"/>
  <c r="B256"/>
  <c r="B248"/>
  <c r="B240"/>
  <c r="B232"/>
  <c r="B224"/>
  <c r="B216"/>
  <c r="B208"/>
  <c r="B200"/>
  <c r="B192"/>
  <c r="B184"/>
  <c r="B176"/>
  <c r="B168"/>
  <c r="B160"/>
  <c r="B152"/>
  <c r="B144"/>
  <c r="B136"/>
  <c r="B128"/>
  <c r="B120"/>
  <c r="B112"/>
  <c r="B104"/>
  <c r="B96"/>
  <c r="B88"/>
  <c r="B80"/>
  <c r="B72"/>
  <c r="B64"/>
  <c r="B56"/>
  <c r="B48"/>
  <c r="B40"/>
  <c r="B32"/>
  <c r="B24"/>
  <c r="B16"/>
  <c r="B15"/>
  <c r="B11"/>
  <c r="B302"/>
  <c r="B294"/>
  <c r="B286"/>
  <c r="B278"/>
  <c r="B270"/>
  <c r="B262"/>
  <c r="B254"/>
  <c r="B246"/>
  <c r="B238"/>
  <c r="B230"/>
  <c r="B222"/>
  <c r="B214"/>
  <c r="B206"/>
  <c r="B198"/>
  <c r="B190"/>
  <c r="B182"/>
  <c r="B174"/>
  <c r="B166"/>
  <c r="B158"/>
  <c r="B150"/>
  <c r="B142"/>
  <c r="B134"/>
  <c r="B126"/>
  <c r="B118"/>
  <c r="B110"/>
  <c r="B102"/>
  <c r="B94"/>
  <c r="B86"/>
  <c r="B78"/>
  <c r="B70"/>
  <c r="B62"/>
  <c r="B54"/>
  <c r="B46"/>
  <c r="B38"/>
  <c r="B30"/>
  <c r="B22"/>
  <c r="B14"/>
  <c r="B301"/>
  <c r="B293"/>
  <c r="B285"/>
  <c r="B277"/>
  <c r="B269"/>
  <c r="B261"/>
  <c r="B253"/>
  <c r="B245"/>
  <c r="B237"/>
  <c r="B229"/>
  <c r="B221"/>
  <c r="B213"/>
  <c r="B205"/>
  <c r="B197"/>
  <c r="B189"/>
  <c r="B181"/>
  <c r="B173"/>
  <c r="B165"/>
  <c r="B157"/>
  <c r="B149"/>
  <c r="B141"/>
  <c r="B133"/>
  <c r="B125"/>
  <c r="B117"/>
  <c r="B109"/>
  <c r="B101"/>
  <c r="B93"/>
  <c r="B85"/>
  <c r="B77"/>
  <c r="B69"/>
  <c r="B61"/>
  <c r="B53"/>
  <c r="B45"/>
  <c r="B37"/>
  <c r="B29"/>
  <c r="B21"/>
  <c r="B13"/>
  <c r="B300"/>
  <c r="B292"/>
  <c r="B284"/>
  <c r="B276"/>
  <c r="B268"/>
  <c r="B260"/>
  <c r="B252"/>
  <c r="B244"/>
  <c r="B236"/>
  <c r="B228"/>
  <c r="B220"/>
  <c r="B212"/>
  <c r="B204"/>
  <c r="B196"/>
  <c r="B188"/>
  <c r="B180"/>
  <c r="B172"/>
  <c r="B164"/>
  <c r="B156"/>
  <c r="B148"/>
  <c r="B140"/>
  <c r="B132"/>
  <c r="B124"/>
  <c r="B116"/>
  <c r="B108"/>
  <c r="B100"/>
  <c r="B92"/>
  <c r="B84"/>
  <c r="B76"/>
  <c r="B68"/>
  <c r="B60"/>
  <c r="B52"/>
  <c r="B44"/>
  <c r="B36"/>
  <c r="B28"/>
  <c r="B20"/>
  <c r="AB9" i="14" a="1"/>
  <c r="AB9" s="1"/>
  <c r="X9" a="1"/>
  <c r="X9" s="1"/>
  <c r="T9" a="1"/>
  <c r="T9" s="1"/>
  <c r="AD8"/>
  <c r="Z8"/>
  <c r="V8"/>
  <c r="AD7"/>
  <c r="Z7"/>
  <c r="V7"/>
  <c r="AD6"/>
  <c r="AB6" a="1"/>
  <c r="AB6" s="1"/>
  <c r="Z6"/>
  <c r="X6" a="1"/>
  <c r="X6" s="1"/>
  <c r="V6"/>
  <c r="T6" a="1"/>
  <c r="T6" s="1"/>
  <c r="AD5"/>
  <c r="AB8" s="1" a="1"/>
  <c r="AB8" s="1"/>
  <c r="AB5" a="1"/>
  <c r="AB5" s="1"/>
  <c r="Z5"/>
  <c r="X8" s="1" a="1"/>
  <c r="X8" s="1"/>
  <c r="X5" a="1"/>
  <c r="X5" s="1"/>
  <c r="V5"/>
  <c r="T8" s="1" a="1"/>
  <c r="T8" s="1"/>
  <c r="T5"/>
  <c r="AB9" i="13" a="1"/>
  <c r="AB9" s="1"/>
  <c r="X9" a="1"/>
  <c r="X9" s="1"/>
  <c r="T9" a="1"/>
  <c r="T9" s="1"/>
  <c r="AD8"/>
  <c r="Z8"/>
  <c r="V8"/>
  <c r="AD7"/>
  <c r="Z7"/>
  <c r="V7"/>
  <c r="AD6"/>
  <c r="AB6" a="1"/>
  <c r="AB6" s="1"/>
  <c r="Z6"/>
  <c r="X6" a="1"/>
  <c r="X6" s="1"/>
  <c r="V6"/>
  <c r="T6" a="1"/>
  <c r="T6" s="1"/>
  <c r="AD5"/>
  <c r="AB8" s="1" a="1"/>
  <c r="AB8" s="1"/>
  <c r="AB5" a="1"/>
  <c r="AB5" s="1"/>
  <c r="Z5"/>
  <c r="X8" s="1" a="1"/>
  <c r="X8" s="1"/>
  <c r="X5" a="1"/>
  <c r="X5" s="1"/>
  <c r="V5"/>
  <c r="T8" s="1" a="1"/>
  <c r="T8" s="1"/>
  <c r="T5"/>
  <c r="K5" i="10"/>
  <c r="M5"/>
  <c r="O5"/>
  <c r="Q5"/>
  <c r="O7" s="1"/>
  <c r="S5"/>
  <c r="U5"/>
  <c r="K6"/>
  <c r="M9" s="1" a="1"/>
  <c r="M9" s="1"/>
  <c r="K6" a="1"/>
  <c r="M6"/>
  <c r="K7" s="1"/>
  <c r="O6" a="1"/>
  <c r="O6" s="1"/>
  <c r="Q9" s="1" a="1"/>
  <c r="Q9" s="1"/>
  <c r="Q6"/>
  <c r="S6"/>
  <c r="U9" s="1" a="1"/>
  <c r="U9" s="1"/>
  <c r="S6" a="1"/>
  <c r="U6"/>
  <c r="M7"/>
  <c r="Q7"/>
  <c r="U7"/>
  <c r="S7" s="1"/>
  <c r="K8" a="1"/>
  <c r="K8" s="1"/>
  <c r="M8"/>
  <c r="Q8"/>
  <c r="S8" a="1"/>
  <c r="S8" s="1"/>
  <c r="U8"/>
  <c r="K9" a="1"/>
  <c r="K9" s="1"/>
  <c r="O9" a="1"/>
  <c r="O9" s="1"/>
  <c r="S9" a="1"/>
  <c r="S9" s="1"/>
  <c r="V5" i="4"/>
  <c r="T8" s="1" a="1"/>
  <c r="T8" s="1"/>
  <c r="X5" a="1"/>
  <c r="Z5"/>
  <c r="X8" s="1" a="1"/>
  <c r="X8" s="1"/>
  <c r="AD5"/>
  <c r="AB8" s="1" a="1"/>
  <c r="AB8" s="1"/>
  <c r="T6" a="1"/>
  <c r="T6" s="1"/>
  <c r="V6"/>
  <c r="X6" a="1"/>
  <c r="X6" s="1"/>
  <c r="Z6"/>
  <c r="AB6" a="1"/>
  <c r="AB6" s="1"/>
  <c r="AD6"/>
  <c r="V7"/>
  <c r="Z7"/>
  <c r="AD7"/>
  <c r="V8"/>
  <c r="Z8"/>
  <c r="AD8"/>
  <c r="T9" a="1"/>
  <c r="T9" s="1"/>
  <c r="X9" a="1"/>
  <c r="X9" s="1"/>
  <c r="AB9" a="1"/>
  <c r="AB9" s="1"/>
  <c r="G4" i="3"/>
  <c r="I4"/>
  <c r="T5" i="4" l="1"/>
  <c r="AB5"/>
  <c r="X5"/>
  <c r="Z9" i="14" a="1"/>
  <c r="Z9" s="1"/>
  <c r="AB7"/>
  <c r="X7"/>
  <c r="V9" a="1"/>
  <c r="V9" s="1"/>
  <c r="T7"/>
  <c r="AB7" i="4"/>
  <c r="T7"/>
  <c r="V9" a="1"/>
  <c r="V9" s="1"/>
  <c r="AD9" i="13" a="1"/>
  <c r="AD9" s="1"/>
  <c r="Z9" a="1"/>
  <c r="Z9" s="1"/>
  <c r="V9" a="1"/>
  <c r="V9" s="1"/>
  <c r="X7"/>
  <c r="AB7"/>
  <c r="T7"/>
  <c r="AD9" i="14" a="1"/>
  <c r="AD9" s="1"/>
  <c r="AD9" i="4" a="1"/>
  <c r="AD9" s="1"/>
  <c r="X7"/>
  <c r="Z9" a="1"/>
  <c r="Z9" s="1"/>
  <c r="O8" i="10" a="1"/>
  <c r="O8" s="1"/>
</calcChain>
</file>

<file path=xl/comments1.xml><?xml version="1.0" encoding="utf-8"?>
<comments xmlns="http://schemas.openxmlformats.org/spreadsheetml/2006/main">
  <authors>
    <author>李晓敏</author>
    <author>jxd</author>
  </authors>
  <commentList>
    <comment ref="S5" authorId="0">
      <text>
        <r>
          <rPr>
            <sz val="9"/>
            <color indexed="81"/>
            <rFont val="宋体"/>
            <family val="3"/>
            <charset val="134"/>
          </rPr>
          <t xml:space="preserve">有效的测试用例总数
（修订状态≠删除）
</t>
        </r>
      </text>
    </comment>
    <comment ref="U5" authorId="0">
      <text>
        <r>
          <rPr>
            <sz val="9"/>
            <color indexed="81"/>
            <rFont val="宋体"/>
            <family val="3"/>
            <charset val="134"/>
          </rPr>
          <t xml:space="preserve">测试结果全部正确的测试用例数
（纳入测试=是 AND 测试结果=OK）
</t>
        </r>
      </text>
    </comment>
    <comment ref="W5" authorId="0">
      <text>
        <r>
          <rPr>
            <sz val="9"/>
            <color indexed="81"/>
            <rFont val="宋体"/>
            <family val="3"/>
            <charset val="134"/>
          </rPr>
          <t xml:space="preserve">有效的测试用例总数
（修订状态≠删除）
</t>
        </r>
      </text>
    </comment>
    <comment ref="Y5" authorId="0">
      <text>
        <r>
          <rPr>
            <sz val="9"/>
            <color indexed="81"/>
            <rFont val="宋体"/>
            <family val="3"/>
            <charset val="134"/>
          </rPr>
          <t xml:space="preserve">测试结果全部正确的测试用例数
（纳入测试=是 AND 测试结果=OK）
</t>
        </r>
      </text>
    </comment>
    <comment ref="AA5" authorId="0">
      <text>
        <r>
          <rPr>
            <sz val="9"/>
            <color indexed="81"/>
            <rFont val="宋体"/>
            <family val="3"/>
            <charset val="134"/>
          </rPr>
          <t xml:space="preserve">有效的测试用例总数
（修订状态≠删除）
</t>
        </r>
      </text>
    </comment>
    <comment ref="AC5" authorId="0">
      <text>
        <r>
          <rPr>
            <sz val="9"/>
            <color indexed="81"/>
            <rFont val="宋体"/>
            <family val="3"/>
            <charset val="134"/>
          </rPr>
          <t xml:space="preserve">测试结果全部正确的测试用例数
（纳入测试=是 AND 测试结果=OK）
</t>
        </r>
      </text>
    </comment>
    <comment ref="S6" authorId="0">
      <text>
        <r>
          <rPr>
            <sz val="9"/>
            <color indexed="81"/>
            <rFont val="宋体"/>
            <family val="3"/>
            <charset val="134"/>
          </rPr>
          <t xml:space="preserve">将被执行的测试用例
（修订状态≠删除 AND 纳入测试=是）
</t>
        </r>
      </text>
    </comment>
    <comment ref="U6" authorId="0">
      <text>
        <r>
          <rPr>
            <sz val="9"/>
            <color indexed="81"/>
            <rFont val="宋体"/>
            <family val="3"/>
            <charset val="134"/>
          </rPr>
          <t>测试结果大部分正确的测试用例数
（纳入测试=是 AND 测试结果=POK）</t>
        </r>
      </text>
    </comment>
    <comment ref="W6" authorId="0">
      <text>
        <r>
          <rPr>
            <sz val="9"/>
            <color indexed="81"/>
            <rFont val="宋体"/>
            <family val="3"/>
            <charset val="134"/>
          </rPr>
          <t xml:space="preserve">将被执行的测试用例
（修订状态≠删除 AND 纳入测试=是）
</t>
        </r>
      </text>
    </comment>
    <comment ref="Y6" authorId="0">
      <text>
        <r>
          <rPr>
            <sz val="9"/>
            <color indexed="81"/>
            <rFont val="宋体"/>
            <family val="3"/>
            <charset val="134"/>
          </rPr>
          <t>测试结果大部分正确的测试用例数
（纳入测试=是 AND 测试结果=POK）</t>
        </r>
      </text>
    </comment>
    <comment ref="AA6" authorId="0">
      <text>
        <r>
          <rPr>
            <sz val="9"/>
            <color indexed="81"/>
            <rFont val="宋体"/>
            <family val="3"/>
            <charset val="134"/>
          </rPr>
          <t xml:space="preserve">将被执行的测试用例
（修订状态≠删除 AND 纳入测试=是）
</t>
        </r>
      </text>
    </comment>
    <comment ref="AC6" authorId="0">
      <text>
        <r>
          <rPr>
            <sz val="9"/>
            <color indexed="81"/>
            <rFont val="宋体"/>
            <family val="3"/>
            <charset val="134"/>
          </rPr>
          <t>测试结果大部分正确的测试用例数
（纳入测试=是 AND 测试结果=POK）</t>
        </r>
      </text>
    </comment>
    <comment ref="S7" authorId="0">
      <text>
        <r>
          <rPr>
            <sz val="9"/>
            <color indexed="81"/>
            <rFont val="宋体"/>
            <family val="3"/>
            <charset val="134"/>
          </rPr>
          <t xml:space="preserve">执行率=(OK+POK+NG)/纳入测试
</t>
        </r>
      </text>
    </comment>
    <comment ref="U7" authorId="0">
      <text>
        <r>
          <rPr>
            <sz val="9"/>
            <color indexed="81"/>
            <rFont val="宋体"/>
            <family val="3"/>
            <charset val="134"/>
          </rPr>
          <t>测试结果有较大错误的测试用例数
（纳入测试=是 AND 测试结果=NG）</t>
        </r>
      </text>
    </comment>
    <comment ref="W7" authorId="0">
      <text>
        <r>
          <rPr>
            <sz val="9"/>
            <color indexed="81"/>
            <rFont val="宋体"/>
            <family val="3"/>
            <charset val="134"/>
          </rPr>
          <t xml:space="preserve">执行率=(OK+POK+NG)/纳入测试
</t>
        </r>
      </text>
    </comment>
    <comment ref="Y7" authorId="0">
      <text>
        <r>
          <rPr>
            <sz val="9"/>
            <color indexed="81"/>
            <rFont val="宋体"/>
            <family val="3"/>
            <charset val="134"/>
          </rPr>
          <t>测试结果有较大错误的测试用例数
（纳入测试=是 AND 测试结果=NG）</t>
        </r>
      </text>
    </comment>
    <comment ref="AA7" authorId="0">
      <text>
        <r>
          <rPr>
            <sz val="9"/>
            <color indexed="81"/>
            <rFont val="宋体"/>
            <family val="3"/>
            <charset val="134"/>
          </rPr>
          <t xml:space="preserve">执行率=(OK+POK+NG)/纳入测试
</t>
        </r>
      </text>
    </comment>
    <comment ref="AC7" authorId="0">
      <text>
        <r>
          <rPr>
            <sz val="9"/>
            <color indexed="81"/>
            <rFont val="宋体"/>
            <family val="3"/>
            <charset val="134"/>
          </rPr>
          <t>测试结果有较大错误的测试用例数
（纳入测试=是 AND 测试结果=NG）</t>
        </r>
      </text>
    </comment>
    <comment ref="S8" authorId="0">
      <text>
        <r>
          <rPr>
            <sz val="9"/>
            <color indexed="81"/>
            <rFont val="宋体"/>
            <family val="3"/>
            <charset val="134"/>
          </rPr>
          <t xml:space="preserve">通过率=OK/(OK+POK+NG)
</t>
        </r>
      </text>
    </comment>
    <comment ref="U8" authorId="0">
      <text>
        <r>
          <rPr>
            <sz val="9"/>
            <color indexed="81"/>
            <rFont val="宋体"/>
            <family val="3"/>
            <charset val="134"/>
          </rPr>
          <t xml:space="preserve">已经决定（或被告知）跳过的测试用例数，即无需测试用例数。
（纳入测试=是 AND 测试结果=SKIP）
</t>
        </r>
      </text>
    </comment>
    <comment ref="W8" authorId="0">
      <text>
        <r>
          <rPr>
            <sz val="9"/>
            <color indexed="81"/>
            <rFont val="宋体"/>
            <family val="3"/>
            <charset val="134"/>
          </rPr>
          <t xml:space="preserve">通过率=OK/(OK+POK+NG)
</t>
        </r>
      </text>
    </comment>
    <comment ref="Y8" authorId="0">
      <text>
        <r>
          <rPr>
            <sz val="9"/>
            <color indexed="81"/>
            <rFont val="宋体"/>
            <family val="3"/>
            <charset val="134"/>
          </rPr>
          <t xml:space="preserve">已经决定（或被告知）跳过的测试用例数，即无需测试用例数。
（纳入测试=是 AND 测试结果=SKIP）
</t>
        </r>
      </text>
    </comment>
    <comment ref="AA8" authorId="0">
      <text>
        <r>
          <rPr>
            <sz val="9"/>
            <color indexed="81"/>
            <rFont val="宋体"/>
            <family val="3"/>
            <charset val="134"/>
          </rPr>
          <t xml:space="preserve">通过率=OK/(OK+POK+NG)
</t>
        </r>
      </text>
    </comment>
    <comment ref="AC8" authorId="0">
      <text>
        <r>
          <rPr>
            <sz val="9"/>
            <color indexed="81"/>
            <rFont val="宋体"/>
            <family val="3"/>
            <charset val="134"/>
          </rPr>
          <t xml:space="preserve">已经决定（或被告知）跳过的测试用例数，即无需测试用例数。
（纳入测试=是 AND 测试结果=SKIP）
</t>
        </r>
      </text>
    </comment>
    <comment ref="S9" authorId="0">
      <text>
        <r>
          <rPr>
            <sz val="9"/>
            <color indexed="81"/>
            <rFont val="宋体"/>
            <family val="3"/>
            <charset val="134"/>
          </rPr>
          <t>由于各种原因本次无法测试
（纳入测试=是 AND 测试结果=NT）</t>
        </r>
      </text>
    </comment>
    <comment ref="U9" authorId="0">
      <text>
        <r>
          <rPr>
            <sz val="9"/>
            <color indexed="81"/>
            <rFont val="宋体"/>
            <family val="3"/>
            <charset val="134"/>
          </rPr>
          <t xml:space="preserve">正在排队等待测试的用例数
（纳入测试数-OK-NG-POK-SKIP-NT）
</t>
        </r>
      </text>
    </comment>
    <comment ref="W9" authorId="0">
      <text>
        <r>
          <rPr>
            <sz val="9"/>
            <color indexed="81"/>
            <rFont val="宋体"/>
            <family val="3"/>
            <charset val="134"/>
          </rPr>
          <t>由于各种原因本次无法测试
（纳入测试=是 AND 测试结果=NT）</t>
        </r>
      </text>
    </comment>
    <comment ref="Y9" authorId="0">
      <text>
        <r>
          <rPr>
            <sz val="9"/>
            <color indexed="81"/>
            <rFont val="宋体"/>
            <family val="3"/>
            <charset val="134"/>
          </rPr>
          <t xml:space="preserve">正在排队等待测试的用例数
（纳入测试数-OK-NG-POK-SKIP-NT）
</t>
        </r>
      </text>
    </comment>
    <comment ref="AA9" authorId="0">
      <text>
        <r>
          <rPr>
            <sz val="9"/>
            <color indexed="81"/>
            <rFont val="宋体"/>
            <family val="3"/>
            <charset val="134"/>
          </rPr>
          <t>由于各种原因本次无法测试
（纳入测试=是 AND 测试结果=NT）</t>
        </r>
      </text>
    </comment>
    <comment ref="AC9" authorId="0">
      <text>
        <r>
          <rPr>
            <sz val="9"/>
            <color indexed="81"/>
            <rFont val="宋体"/>
            <family val="3"/>
            <charset val="134"/>
          </rPr>
          <t xml:space="preserve">正在排队等待测试的用例数
（纳入测试数-OK-NG-POK-SKIP-NT）
</t>
        </r>
      </text>
    </comment>
    <comment ref="G10" authorId="0">
      <text>
        <r>
          <rPr>
            <sz val="9"/>
            <color indexed="81"/>
            <rFont val="宋体"/>
            <family val="3"/>
            <charset val="134"/>
          </rPr>
          <t xml:space="preserve">TC-ST(测试类型)-系统-子系统-功能点-编号
</t>
        </r>
      </text>
    </comment>
    <comment ref="H10" authorId="0">
      <text>
        <r>
          <rPr>
            <sz val="9"/>
            <color indexed="81"/>
            <rFont val="宋体"/>
            <family val="3"/>
            <charset val="134"/>
          </rPr>
          <t>测试用例执行的优先级，分为高、中、低。
高：最常执行以保证功能性是稳定的，目标的行为和能力可以正常的工作，和重要的错误和边界被测试的测试用例的集合。
中：这是使给出的功能区域或功能变得更详细，检查功能的多数方面包括边界，错误和配置测试的测试用例。
低：这是通常最少被执行的测试用例。但这并不意味着这些测试都不重要，只是说他们在项目的生命期间里不是常常被运行，例如GUI，错误信息，可用性</t>
        </r>
      </text>
    </comment>
    <comment ref="I10" authorId="0">
      <text>
        <r>
          <rPr>
            <sz val="9"/>
            <color indexed="81"/>
            <rFont val="宋体"/>
            <family val="3"/>
            <charset val="134"/>
          </rPr>
          <t>分为正常系和异常系</t>
        </r>
      </text>
    </comment>
    <comment ref="J10" authorId="1">
      <text>
        <r>
          <rPr>
            <sz val="9"/>
            <color indexed="81"/>
            <rFont val="宋体"/>
            <family val="3"/>
            <charset val="134"/>
          </rPr>
          <t>说明本测试用例的测试要点</t>
        </r>
      </text>
    </comment>
    <comment ref="N10" authorId="1">
      <text>
        <r>
          <rPr>
            <sz val="9"/>
            <color indexed="81"/>
            <rFont val="宋体"/>
            <family val="3"/>
            <charset val="134"/>
          </rPr>
          <t>测试时应表现出来的(需要确认的)现象描述。</t>
        </r>
      </text>
    </comment>
    <comment ref="P10" authorId="1">
      <text>
        <r>
          <rPr>
            <sz val="9"/>
            <color indexed="81"/>
            <rFont val="宋体"/>
            <family val="3"/>
            <charset val="134"/>
          </rPr>
          <t>执行该用例使用的测试工具说明（可选）。</t>
        </r>
      </text>
    </comment>
    <comment ref="Q10" authorId="0">
      <text>
        <r>
          <rPr>
            <sz val="9"/>
            <color indexed="81"/>
            <rFont val="宋体"/>
            <family val="3"/>
            <charset val="134"/>
          </rPr>
          <t>标记用例的修订状况，主要同上次发布的版本进行对比设定</t>
        </r>
      </text>
    </comment>
    <comment ref="R10" authorId="0">
      <text>
        <r>
          <rPr>
            <sz val="9"/>
            <color indexed="81"/>
            <rFont val="宋体"/>
            <family val="3"/>
            <charset val="134"/>
          </rPr>
          <t>用于记录测试任务中所选用的测试用例。分为“是”，“否”，空白默认为“否”。</t>
        </r>
      </text>
    </comment>
  </commentList>
</comments>
</file>

<file path=xl/comments2.xml><?xml version="1.0" encoding="utf-8"?>
<comments xmlns="http://schemas.openxmlformats.org/spreadsheetml/2006/main">
  <authors>
    <author>李晓敏</author>
    <author>jxd</author>
  </authors>
  <commentList>
    <comment ref="S5" authorId="0">
      <text>
        <r>
          <rPr>
            <sz val="9"/>
            <color indexed="81"/>
            <rFont val="宋体"/>
            <family val="3"/>
            <charset val="134"/>
          </rPr>
          <t xml:space="preserve">有效的测试用例总数
（修订状态≠删除）
</t>
        </r>
      </text>
    </comment>
    <comment ref="U5" authorId="0">
      <text>
        <r>
          <rPr>
            <sz val="9"/>
            <color indexed="81"/>
            <rFont val="宋体"/>
            <family val="3"/>
            <charset val="134"/>
          </rPr>
          <t xml:space="preserve">测试结果全部正确的测试用例数
（纳入测试=是 AND 测试结果=OK）
</t>
        </r>
      </text>
    </comment>
    <comment ref="W5" authorId="0">
      <text>
        <r>
          <rPr>
            <sz val="9"/>
            <color indexed="81"/>
            <rFont val="宋体"/>
            <family val="3"/>
            <charset val="134"/>
          </rPr>
          <t xml:space="preserve">有效的测试用例总数
（修订状态≠删除）
</t>
        </r>
      </text>
    </comment>
    <comment ref="Y5" authorId="0">
      <text>
        <r>
          <rPr>
            <sz val="9"/>
            <color indexed="81"/>
            <rFont val="宋体"/>
            <family val="3"/>
            <charset val="134"/>
          </rPr>
          <t xml:space="preserve">测试结果全部正确的测试用例数
（纳入测试=是 AND 测试结果=OK）
</t>
        </r>
      </text>
    </comment>
    <comment ref="AA5" authorId="0">
      <text>
        <r>
          <rPr>
            <sz val="9"/>
            <color indexed="81"/>
            <rFont val="宋体"/>
            <family val="3"/>
            <charset val="134"/>
          </rPr>
          <t xml:space="preserve">有效的测试用例总数
（修订状态≠删除）
</t>
        </r>
      </text>
    </comment>
    <comment ref="AC5" authorId="0">
      <text>
        <r>
          <rPr>
            <sz val="9"/>
            <color indexed="81"/>
            <rFont val="宋体"/>
            <family val="3"/>
            <charset val="134"/>
          </rPr>
          <t xml:space="preserve">测试结果全部正确的测试用例数
（纳入测试=是 AND 测试结果=OK）
</t>
        </r>
      </text>
    </comment>
    <comment ref="S6" authorId="0">
      <text>
        <r>
          <rPr>
            <sz val="9"/>
            <color indexed="81"/>
            <rFont val="宋体"/>
            <family val="3"/>
            <charset val="134"/>
          </rPr>
          <t xml:space="preserve">将被执行的测试用例
（修订状态≠删除 AND 纳入测试=是）
</t>
        </r>
      </text>
    </comment>
    <comment ref="U6" authorId="0">
      <text>
        <r>
          <rPr>
            <sz val="9"/>
            <color indexed="81"/>
            <rFont val="宋体"/>
            <family val="3"/>
            <charset val="134"/>
          </rPr>
          <t>测试结果大部分正确的测试用例数
（纳入测试=是 AND 测试结果=POK）</t>
        </r>
      </text>
    </comment>
    <comment ref="W6" authorId="0">
      <text>
        <r>
          <rPr>
            <sz val="9"/>
            <color indexed="81"/>
            <rFont val="宋体"/>
            <family val="3"/>
            <charset val="134"/>
          </rPr>
          <t xml:space="preserve">将被执行的测试用例
（修订状态≠删除 AND 纳入测试=是）
</t>
        </r>
      </text>
    </comment>
    <comment ref="Y6" authorId="0">
      <text>
        <r>
          <rPr>
            <sz val="9"/>
            <color indexed="81"/>
            <rFont val="宋体"/>
            <family val="3"/>
            <charset val="134"/>
          </rPr>
          <t>测试结果大部分正确的测试用例数
（纳入测试=是 AND 测试结果=POK）</t>
        </r>
      </text>
    </comment>
    <comment ref="AA6" authorId="0">
      <text>
        <r>
          <rPr>
            <sz val="9"/>
            <color indexed="81"/>
            <rFont val="宋体"/>
            <family val="3"/>
            <charset val="134"/>
          </rPr>
          <t xml:space="preserve">将被执行的测试用例
（修订状态≠删除 AND 纳入测试=是）
</t>
        </r>
      </text>
    </comment>
    <comment ref="AC6" authorId="0">
      <text>
        <r>
          <rPr>
            <sz val="9"/>
            <color indexed="81"/>
            <rFont val="宋体"/>
            <family val="3"/>
            <charset val="134"/>
          </rPr>
          <t>测试结果大部分正确的测试用例数
（纳入测试=是 AND 测试结果=POK）</t>
        </r>
      </text>
    </comment>
    <comment ref="S7" authorId="0">
      <text>
        <r>
          <rPr>
            <sz val="9"/>
            <color indexed="81"/>
            <rFont val="宋体"/>
            <family val="3"/>
            <charset val="134"/>
          </rPr>
          <t xml:space="preserve">执行率=(OK+POK+NG)/纳入测试
</t>
        </r>
      </text>
    </comment>
    <comment ref="U7" authorId="0">
      <text>
        <r>
          <rPr>
            <sz val="9"/>
            <color indexed="81"/>
            <rFont val="宋体"/>
            <family val="3"/>
            <charset val="134"/>
          </rPr>
          <t>测试结果有较大错误的测试用例数
（纳入测试=是 AND 测试结果=NG）</t>
        </r>
      </text>
    </comment>
    <comment ref="W7" authorId="0">
      <text>
        <r>
          <rPr>
            <sz val="9"/>
            <color indexed="81"/>
            <rFont val="宋体"/>
            <family val="3"/>
            <charset val="134"/>
          </rPr>
          <t xml:space="preserve">执行率=(OK+POK+NG)/纳入测试
</t>
        </r>
      </text>
    </comment>
    <comment ref="Y7" authorId="0">
      <text>
        <r>
          <rPr>
            <sz val="9"/>
            <color indexed="81"/>
            <rFont val="宋体"/>
            <family val="3"/>
            <charset val="134"/>
          </rPr>
          <t>测试结果有较大错误的测试用例数
（纳入测试=是 AND 测试结果=NG）</t>
        </r>
      </text>
    </comment>
    <comment ref="AA7" authorId="0">
      <text>
        <r>
          <rPr>
            <sz val="9"/>
            <color indexed="81"/>
            <rFont val="宋体"/>
            <family val="3"/>
            <charset val="134"/>
          </rPr>
          <t xml:space="preserve">执行率=(OK+POK+NG)/纳入测试
</t>
        </r>
      </text>
    </comment>
    <comment ref="AC7" authorId="0">
      <text>
        <r>
          <rPr>
            <sz val="9"/>
            <color indexed="81"/>
            <rFont val="宋体"/>
            <family val="3"/>
            <charset val="134"/>
          </rPr>
          <t>测试结果有较大错误的测试用例数
（纳入测试=是 AND 测试结果=NG）</t>
        </r>
      </text>
    </comment>
    <comment ref="S8" authorId="0">
      <text>
        <r>
          <rPr>
            <sz val="9"/>
            <color indexed="81"/>
            <rFont val="宋体"/>
            <family val="3"/>
            <charset val="134"/>
          </rPr>
          <t xml:space="preserve">通过率=OK/(OK+POK+NG)
</t>
        </r>
      </text>
    </comment>
    <comment ref="U8" authorId="0">
      <text>
        <r>
          <rPr>
            <sz val="9"/>
            <color indexed="81"/>
            <rFont val="宋体"/>
            <family val="3"/>
            <charset val="134"/>
          </rPr>
          <t xml:space="preserve">已经决定（或被告知）跳过的测试用例数，即无需测试用例数。
（纳入测试=是 AND 测试结果=SKIP）
</t>
        </r>
      </text>
    </comment>
    <comment ref="W8" authorId="0">
      <text>
        <r>
          <rPr>
            <sz val="9"/>
            <color indexed="81"/>
            <rFont val="宋体"/>
            <family val="3"/>
            <charset val="134"/>
          </rPr>
          <t xml:space="preserve">通过率=OK/(OK+POK+NG)
</t>
        </r>
      </text>
    </comment>
    <comment ref="Y8" authorId="0">
      <text>
        <r>
          <rPr>
            <sz val="9"/>
            <color indexed="81"/>
            <rFont val="宋体"/>
            <family val="3"/>
            <charset val="134"/>
          </rPr>
          <t xml:space="preserve">已经决定（或被告知）跳过的测试用例数，即无需测试用例数。
（纳入测试=是 AND 测试结果=SKIP）
</t>
        </r>
      </text>
    </comment>
    <comment ref="AA8" authorId="0">
      <text>
        <r>
          <rPr>
            <sz val="9"/>
            <color indexed="81"/>
            <rFont val="宋体"/>
            <family val="3"/>
            <charset val="134"/>
          </rPr>
          <t xml:space="preserve">通过率=OK/(OK+POK+NG)
</t>
        </r>
      </text>
    </comment>
    <comment ref="AC8" authorId="0">
      <text>
        <r>
          <rPr>
            <sz val="9"/>
            <color indexed="81"/>
            <rFont val="宋体"/>
            <family val="3"/>
            <charset val="134"/>
          </rPr>
          <t xml:space="preserve">已经决定（或被告知）跳过的测试用例数，即无需测试用例数。
（纳入测试=是 AND 测试结果=SKIP）
</t>
        </r>
      </text>
    </comment>
    <comment ref="S9" authorId="0">
      <text>
        <r>
          <rPr>
            <sz val="9"/>
            <color indexed="81"/>
            <rFont val="宋体"/>
            <family val="3"/>
            <charset val="134"/>
          </rPr>
          <t>由于各种原因本次无法测试
（纳入测试=是 AND 测试结果=NT）</t>
        </r>
      </text>
    </comment>
    <comment ref="U9" authorId="0">
      <text>
        <r>
          <rPr>
            <sz val="9"/>
            <color indexed="81"/>
            <rFont val="宋体"/>
            <family val="3"/>
            <charset val="134"/>
          </rPr>
          <t xml:space="preserve">正在排队等待测试的用例数
（纳入测试数-OK-NG-POK-SKIP-NT）
</t>
        </r>
      </text>
    </comment>
    <comment ref="W9" authorId="0">
      <text>
        <r>
          <rPr>
            <sz val="9"/>
            <color indexed="81"/>
            <rFont val="宋体"/>
            <family val="3"/>
            <charset val="134"/>
          </rPr>
          <t>由于各种原因本次无法测试
（纳入测试=是 AND 测试结果=NT）</t>
        </r>
      </text>
    </comment>
    <comment ref="Y9" authorId="0">
      <text>
        <r>
          <rPr>
            <sz val="9"/>
            <color indexed="81"/>
            <rFont val="宋体"/>
            <family val="3"/>
            <charset val="134"/>
          </rPr>
          <t xml:space="preserve">正在排队等待测试的用例数
（纳入测试数-OK-NG-POK-SKIP-NT）
</t>
        </r>
      </text>
    </comment>
    <comment ref="AA9" authorId="0">
      <text>
        <r>
          <rPr>
            <sz val="9"/>
            <color indexed="81"/>
            <rFont val="宋体"/>
            <family val="3"/>
            <charset val="134"/>
          </rPr>
          <t>由于各种原因本次无法测试
（纳入测试=是 AND 测试结果=NT）</t>
        </r>
      </text>
    </comment>
    <comment ref="AC9" authorId="0">
      <text>
        <r>
          <rPr>
            <sz val="9"/>
            <color indexed="81"/>
            <rFont val="宋体"/>
            <family val="3"/>
            <charset val="134"/>
          </rPr>
          <t xml:space="preserve">正在排队等待测试的用例数
（纳入测试数-OK-NG-POK-SKIP-NT）
</t>
        </r>
      </text>
    </comment>
    <comment ref="G10" authorId="0">
      <text>
        <r>
          <rPr>
            <sz val="9"/>
            <color indexed="81"/>
            <rFont val="宋体"/>
            <family val="3"/>
            <charset val="134"/>
          </rPr>
          <t xml:space="preserve">TC-ST(测试类型)-系统-子系统-功能点-编号
</t>
        </r>
      </text>
    </comment>
    <comment ref="H10" authorId="0">
      <text>
        <r>
          <rPr>
            <sz val="9"/>
            <color indexed="81"/>
            <rFont val="宋体"/>
            <family val="3"/>
            <charset val="134"/>
          </rPr>
          <t>测试用例执行的优先级，分为高、中、低。
高：最常执行以保证功能性是稳定的，目标的行为和能力可以正常的工作，和重要的错误和边界被测试的测试用例的集合。
中：这是使给出的功能区域或功能变得更详细，检查功能的多数方面包括边界，错误和配置测试的测试用例。
低：这是通常最少被执行的测试用例。但这并不意味着这些测试都不重要，只是说他们在项目的生命期间里不是常常被运行，例如GUI，错误信息，可用性</t>
        </r>
      </text>
    </comment>
    <comment ref="I10" authorId="0">
      <text>
        <r>
          <rPr>
            <sz val="9"/>
            <color indexed="81"/>
            <rFont val="宋体"/>
            <family val="3"/>
            <charset val="134"/>
          </rPr>
          <t>分为正常系和异常系</t>
        </r>
      </text>
    </comment>
    <comment ref="J10" authorId="1">
      <text>
        <r>
          <rPr>
            <sz val="9"/>
            <color indexed="81"/>
            <rFont val="宋体"/>
            <family val="3"/>
            <charset val="134"/>
          </rPr>
          <t>说明本测试用例的测试要点</t>
        </r>
      </text>
    </comment>
    <comment ref="N10" authorId="1">
      <text>
        <r>
          <rPr>
            <sz val="9"/>
            <color indexed="81"/>
            <rFont val="宋体"/>
            <family val="3"/>
            <charset val="134"/>
          </rPr>
          <t>测试时应表现出来的(需要确认的)现象描述。</t>
        </r>
      </text>
    </comment>
    <comment ref="P10" authorId="1">
      <text>
        <r>
          <rPr>
            <sz val="9"/>
            <color indexed="81"/>
            <rFont val="宋体"/>
            <family val="3"/>
            <charset val="134"/>
          </rPr>
          <t>执行该用例使用的测试工具说明（可选）。</t>
        </r>
      </text>
    </comment>
    <comment ref="Q10" authorId="0">
      <text>
        <r>
          <rPr>
            <sz val="9"/>
            <color indexed="81"/>
            <rFont val="宋体"/>
            <family val="3"/>
            <charset val="134"/>
          </rPr>
          <t>标记用例的修订状况，主要同上次发布的版本进行对比设定</t>
        </r>
      </text>
    </comment>
    <comment ref="R10" authorId="0">
      <text>
        <r>
          <rPr>
            <sz val="9"/>
            <color indexed="81"/>
            <rFont val="宋体"/>
            <family val="3"/>
            <charset val="134"/>
          </rPr>
          <t>用于记录测试任务中所选用的测试用例。分为“是”，“否”，空白默认为“否”。</t>
        </r>
      </text>
    </comment>
  </commentList>
</comments>
</file>

<file path=xl/comments3.xml><?xml version="1.0" encoding="utf-8"?>
<comments xmlns="http://schemas.openxmlformats.org/spreadsheetml/2006/main">
  <authors>
    <author>李晓敏</author>
    <author>jxd</author>
  </authors>
  <commentList>
    <comment ref="S5" authorId="0">
      <text>
        <r>
          <rPr>
            <sz val="9"/>
            <color indexed="81"/>
            <rFont val="宋体"/>
            <family val="3"/>
            <charset val="134"/>
          </rPr>
          <t xml:space="preserve">有效的测试用例总数
（修订状态≠删除）
</t>
        </r>
      </text>
    </comment>
    <comment ref="U5" authorId="0">
      <text>
        <r>
          <rPr>
            <sz val="9"/>
            <color indexed="81"/>
            <rFont val="宋体"/>
            <family val="3"/>
            <charset val="134"/>
          </rPr>
          <t xml:space="preserve">测试结果全部正确的测试用例数
（纳入测试=是 AND 测试结果=OK）
</t>
        </r>
      </text>
    </comment>
    <comment ref="W5" authorId="0">
      <text>
        <r>
          <rPr>
            <sz val="9"/>
            <color indexed="81"/>
            <rFont val="宋体"/>
            <family val="3"/>
            <charset val="134"/>
          </rPr>
          <t xml:space="preserve">有效的测试用例总数
（修订状态≠删除）
</t>
        </r>
      </text>
    </comment>
    <comment ref="Y5" authorId="0">
      <text>
        <r>
          <rPr>
            <sz val="9"/>
            <color indexed="81"/>
            <rFont val="宋体"/>
            <family val="3"/>
            <charset val="134"/>
          </rPr>
          <t xml:space="preserve">测试结果全部正确的测试用例数
（纳入测试=是 AND 测试结果=OK）
</t>
        </r>
      </text>
    </comment>
    <comment ref="AA5" authorId="0">
      <text>
        <r>
          <rPr>
            <sz val="9"/>
            <color indexed="81"/>
            <rFont val="宋体"/>
            <family val="3"/>
            <charset val="134"/>
          </rPr>
          <t xml:space="preserve">有效的测试用例总数
（修订状态≠删除）
</t>
        </r>
      </text>
    </comment>
    <comment ref="AC5" authorId="0">
      <text>
        <r>
          <rPr>
            <sz val="9"/>
            <color indexed="81"/>
            <rFont val="宋体"/>
            <family val="3"/>
            <charset val="134"/>
          </rPr>
          <t xml:space="preserve">测试结果全部正确的测试用例数
（纳入测试=是 AND 测试结果=OK）
</t>
        </r>
      </text>
    </comment>
    <comment ref="S6" authorId="0">
      <text>
        <r>
          <rPr>
            <sz val="9"/>
            <color indexed="81"/>
            <rFont val="宋体"/>
            <family val="3"/>
            <charset val="134"/>
          </rPr>
          <t xml:space="preserve">将被执行的测试用例
（修订状态≠删除 AND 纳入测试=是）
</t>
        </r>
      </text>
    </comment>
    <comment ref="U6" authorId="0">
      <text>
        <r>
          <rPr>
            <sz val="9"/>
            <color indexed="81"/>
            <rFont val="宋体"/>
            <family val="3"/>
            <charset val="134"/>
          </rPr>
          <t>测试结果大部分正确的测试用例数
（纳入测试=是 AND 测试结果=POK）</t>
        </r>
      </text>
    </comment>
    <comment ref="W6" authorId="0">
      <text>
        <r>
          <rPr>
            <sz val="9"/>
            <color indexed="81"/>
            <rFont val="宋体"/>
            <family val="3"/>
            <charset val="134"/>
          </rPr>
          <t xml:space="preserve">将被执行的测试用例
（修订状态≠删除 AND 纳入测试=是）
</t>
        </r>
      </text>
    </comment>
    <comment ref="Y6" authorId="0">
      <text>
        <r>
          <rPr>
            <sz val="9"/>
            <color indexed="81"/>
            <rFont val="宋体"/>
            <family val="3"/>
            <charset val="134"/>
          </rPr>
          <t>测试结果大部分正确的测试用例数
（纳入测试=是 AND 测试结果=POK）</t>
        </r>
      </text>
    </comment>
    <comment ref="AA6" authorId="0">
      <text>
        <r>
          <rPr>
            <sz val="9"/>
            <color indexed="81"/>
            <rFont val="宋体"/>
            <family val="3"/>
            <charset val="134"/>
          </rPr>
          <t xml:space="preserve">将被执行的测试用例
（修订状态≠删除 AND 纳入测试=是）
</t>
        </r>
      </text>
    </comment>
    <comment ref="AC6" authorId="0">
      <text>
        <r>
          <rPr>
            <sz val="9"/>
            <color indexed="81"/>
            <rFont val="宋体"/>
            <family val="3"/>
            <charset val="134"/>
          </rPr>
          <t>测试结果大部分正确的测试用例数
（纳入测试=是 AND 测试结果=POK）</t>
        </r>
      </text>
    </comment>
    <comment ref="S7" authorId="0">
      <text>
        <r>
          <rPr>
            <sz val="9"/>
            <color indexed="81"/>
            <rFont val="宋体"/>
            <family val="3"/>
            <charset val="134"/>
          </rPr>
          <t xml:space="preserve">执行率=(OK+POK+NG)/纳入测试
</t>
        </r>
      </text>
    </comment>
    <comment ref="U7" authorId="0">
      <text>
        <r>
          <rPr>
            <sz val="9"/>
            <color indexed="81"/>
            <rFont val="宋体"/>
            <family val="3"/>
            <charset val="134"/>
          </rPr>
          <t>测试结果有较大错误的测试用例数
（纳入测试=是 AND 测试结果=NG）</t>
        </r>
      </text>
    </comment>
    <comment ref="W7" authorId="0">
      <text>
        <r>
          <rPr>
            <sz val="9"/>
            <color indexed="81"/>
            <rFont val="宋体"/>
            <family val="3"/>
            <charset val="134"/>
          </rPr>
          <t xml:space="preserve">执行率=(OK+POK+NG)/纳入测试
</t>
        </r>
      </text>
    </comment>
    <comment ref="Y7" authorId="0">
      <text>
        <r>
          <rPr>
            <sz val="9"/>
            <color indexed="81"/>
            <rFont val="宋体"/>
            <family val="3"/>
            <charset val="134"/>
          </rPr>
          <t>测试结果有较大错误的测试用例数
（纳入测试=是 AND 测试结果=NG）</t>
        </r>
      </text>
    </comment>
    <comment ref="AA7" authorId="0">
      <text>
        <r>
          <rPr>
            <sz val="9"/>
            <color indexed="81"/>
            <rFont val="宋体"/>
            <family val="3"/>
            <charset val="134"/>
          </rPr>
          <t xml:space="preserve">执行率=(OK+POK+NG)/纳入测试
</t>
        </r>
      </text>
    </comment>
    <comment ref="AC7" authorId="0">
      <text>
        <r>
          <rPr>
            <sz val="9"/>
            <color indexed="81"/>
            <rFont val="宋体"/>
            <family val="3"/>
            <charset val="134"/>
          </rPr>
          <t>测试结果有较大错误的测试用例数
（纳入测试=是 AND 测试结果=NG）</t>
        </r>
      </text>
    </comment>
    <comment ref="S8" authorId="0">
      <text>
        <r>
          <rPr>
            <sz val="9"/>
            <color indexed="81"/>
            <rFont val="宋体"/>
            <family val="3"/>
            <charset val="134"/>
          </rPr>
          <t xml:space="preserve">通过率=OK/(OK+POK+NG)
</t>
        </r>
      </text>
    </comment>
    <comment ref="U8" authorId="0">
      <text>
        <r>
          <rPr>
            <sz val="9"/>
            <color indexed="81"/>
            <rFont val="宋体"/>
            <family val="3"/>
            <charset val="134"/>
          </rPr>
          <t xml:space="preserve">已经决定（或被告知）跳过的测试用例数，即无需测试用例数。
（纳入测试=是 AND 测试结果=SKIP）
</t>
        </r>
      </text>
    </comment>
    <comment ref="W8" authorId="0">
      <text>
        <r>
          <rPr>
            <sz val="9"/>
            <color indexed="81"/>
            <rFont val="宋体"/>
            <family val="3"/>
            <charset val="134"/>
          </rPr>
          <t xml:space="preserve">通过率=OK/(OK+POK+NG)
</t>
        </r>
      </text>
    </comment>
    <comment ref="Y8" authorId="0">
      <text>
        <r>
          <rPr>
            <sz val="9"/>
            <color indexed="81"/>
            <rFont val="宋体"/>
            <family val="3"/>
            <charset val="134"/>
          </rPr>
          <t xml:space="preserve">已经决定（或被告知）跳过的测试用例数，即无需测试用例数。
（纳入测试=是 AND 测试结果=SKIP）
</t>
        </r>
      </text>
    </comment>
    <comment ref="AA8" authorId="0">
      <text>
        <r>
          <rPr>
            <sz val="9"/>
            <color indexed="81"/>
            <rFont val="宋体"/>
            <family val="3"/>
            <charset val="134"/>
          </rPr>
          <t xml:space="preserve">通过率=OK/(OK+POK+NG)
</t>
        </r>
      </text>
    </comment>
    <comment ref="AC8" authorId="0">
      <text>
        <r>
          <rPr>
            <sz val="9"/>
            <color indexed="81"/>
            <rFont val="宋体"/>
            <family val="3"/>
            <charset val="134"/>
          </rPr>
          <t xml:space="preserve">已经决定（或被告知）跳过的测试用例数，即无需测试用例数。
（纳入测试=是 AND 测试结果=SKIP）
</t>
        </r>
      </text>
    </comment>
    <comment ref="S9" authorId="0">
      <text>
        <r>
          <rPr>
            <sz val="9"/>
            <color indexed="81"/>
            <rFont val="宋体"/>
            <family val="3"/>
            <charset val="134"/>
          </rPr>
          <t>由于各种原因本次无法测试
（纳入测试=是 AND 测试结果=NT）</t>
        </r>
      </text>
    </comment>
    <comment ref="U9" authorId="0">
      <text>
        <r>
          <rPr>
            <sz val="9"/>
            <color indexed="81"/>
            <rFont val="宋体"/>
            <family val="3"/>
            <charset val="134"/>
          </rPr>
          <t xml:space="preserve">正在排队等待测试的用例数
（纳入测试数-OK-NG-POK-SKIP-NT）
</t>
        </r>
      </text>
    </comment>
    <comment ref="W9" authorId="0">
      <text>
        <r>
          <rPr>
            <sz val="9"/>
            <color indexed="81"/>
            <rFont val="宋体"/>
            <family val="3"/>
            <charset val="134"/>
          </rPr>
          <t>由于各种原因本次无法测试
（纳入测试=是 AND 测试结果=NT）</t>
        </r>
      </text>
    </comment>
    <comment ref="Y9" authorId="0">
      <text>
        <r>
          <rPr>
            <sz val="9"/>
            <color indexed="81"/>
            <rFont val="宋体"/>
            <family val="3"/>
            <charset val="134"/>
          </rPr>
          <t xml:space="preserve">正在排队等待测试的用例数
（纳入测试数-OK-NG-POK-SKIP-NT）
</t>
        </r>
      </text>
    </comment>
    <comment ref="AA9" authorId="0">
      <text>
        <r>
          <rPr>
            <sz val="9"/>
            <color indexed="81"/>
            <rFont val="宋体"/>
            <family val="3"/>
            <charset val="134"/>
          </rPr>
          <t>由于各种原因本次无法测试
（纳入测试=是 AND 测试结果=NT）</t>
        </r>
      </text>
    </comment>
    <comment ref="AC9" authorId="0">
      <text>
        <r>
          <rPr>
            <sz val="9"/>
            <color indexed="81"/>
            <rFont val="宋体"/>
            <family val="3"/>
            <charset val="134"/>
          </rPr>
          <t xml:space="preserve">正在排队等待测试的用例数
（纳入测试数-OK-NG-POK-SKIP-NT）
</t>
        </r>
      </text>
    </comment>
    <comment ref="G10" authorId="0">
      <text>
        <r>
          <rPr>
            <sz val="9"/>
            <color indexed="81"/>
            <rFont val="宋体"/>
            <family val="3"/>
            <charset val="134"/>
          </rPr>
          <t xml:space="preserve">TC-ST(测试类型)-系统-子系统-功能点-编号
</t>
        </r>
      </text>
    </comment>
    <comment ref="H10" authorId="0">
      <text>
        <r>
          <rPr>
            <sz val="9"/>
            <color indexed="81"/>
            <rFont val="宋体"/>
            <family val="3"/>
            <charset val="134"/>
          </rPr>
          <t>测试用例执行的优先级，分为高、中、低。
高：最常执行以保证功能性是稳定的，目标的行为和能力可以正常的工作，和重要的错误和边界被测试的测试用例的集合。
中：这是使给出的功能区域或功能变得更详细，检查功能的多数方面包括边界，错误和配置测试的测试用例。
低：这是通常最少被执行的测试用例。但这并不意味着这些测试都不重要，只是说他们在项目的生命期间里不是常常被运行，例如GUI，错误信息，可用性</t>
        </r>
      </text>
    </comment>
    <comment ref="I10" authorId="0">
      <text>
        <r>
          <rPr>
            <sz val="9"/>
            <color indexed="81"/>
            <rFont val="宋体"/>
            <family val="3"/>
            <charset val="134"/>
          </rPr>
          <t>分为正常系和异常系</t>
        </r>
      </text>
    </comment>
    <comment ref="J10" authorId="1">
      <text>
        <r>
          <rPr>
            <sz val="9"/>
            <color indexed="81"/>
            <rFont val="宋体"/>
            <family val="3"/>
            <charset val="134"/>
          </rPr>
          <t>说明本测试用例的测试要点</t>
        </r>
      </text>
    </comment>
    <comment ref="N10" authorId="1">
      <text>
        <r>
          <rPr>
            <sz val="9"/>
            <color indexed="81"/>
            <rFont val="宋体"/>
            <family val="3"/>
            <charset val="134"/>
          </rPr>
          <t>测试时应表现出来的(需要确认的)现象描述。</t>
        </r>
      </text>
    </comment>
    <comment ref="P10" authorId="1">
      <text>
        <r>
          <rPr>
            <sz val="9"/>
            <color indexed="81"/>
            <rFont val="宋体"/>
            <family val="3"/>
            <charset val="134"/>
          </rPr>
          <t>执行该用例使用的测试工具说明（可选）。</t>
        </r>
      </text>
    </comment>
    <comment ref="Q10" authorId="0">
      <text>
        <r>
          <rPr>
            <sz val="9"/>
            <color indexed="81"/>
            <rFont val="宋体"/>
            <family val="3"/>
            <charset val="134"/>
          </rPr>
          <t>标记用例的修订状况，主要同上次发布的版本进行对比设定</t>
        </r>
      </text>
    </comment>
    <comment ref="R10" authorId="0">
      <text>
        <r>
          <rPr>
            <sz val="9"/>
            <color indexed="81"/>
            <rFont val="宋体"/>
            <family val="3"/>
            <charset val="134"/>
          </rPr>
          <t>用于记录测试任务中所选用的测试用例。分为“是”，“否”，空白默认为“否”。</t>
        </r>
      </text>
    </comment>
  </commentList>
</comments>
</file>

<file path=xl/comments4.xml><?xml version="1.0" encoding="utf-8"?>
<comments xmlns="http://schemas.openxmlformats.org/spreadsheetml/2006/main">
  <authors>
    <author>李晓敏</author>
    <author>jxd</author>
  </authors>
  <commentList>
    <comment ref="J5" authorId="0">
      <text>
        <r>
          <rPr>
            <sz val="9"/>
            <color indexed="81"/>
            <rFont val="宋体"/>
            <family val="3"/>
            <charset val="134"/>
          </rPr>
          <t xml:space="preserve">有效的测试用例总数
（修订状态≠删除）
</t>
        </r>
      </text>
    </comment>
    <comment ref="L5" authorId="0">
      <text>
        <r>
          <rPr>
            <sz val="9"/>
            <color indexed="81"/>
            <rFont val="宋体"/>
            <family val="3"/>
            <charset val="134"/>
          </rPr>
          <t xml:space="preserve">测试结果全部正确的测试用例数
（纳入测试=是 AND 测试结果=OK）
</t>
        </r>
      </text>
    </comment>
    <comment ref="N5" authorId="0">
      <text>
        <r>
          <rPr>
            <sz val="9"/>
            <color indexed="81"/>
            <rFont val="宋体"/>
            <family val="3"/>
            <charset val="134"/>
          </rPr>
          <t xml:space="preserve">有效的测试用例总数
（修订状态≠删除）
</t>
        </r>
      </text>
    </comment>
    <comment ref="P5" authorId="0">
      <text>
        <r>
          <rPr>
            <sz val="9"/>
            <color indexed="81"/>
            <rFont val="宋体"/>
            <family val="3"/>
            <charset val="134"/>
          </rPr>
          <t xml:space="preserve">测试结果全部正确的测试用例数
（纳入测试=是 AND 测试结果=OK）
</t>
        </r>
      </text>
    </comment>
    <comment ref="R5" authorId="0">
      <text>
        <r>
          <rPr>
            <sz val="9"/>
            <color indexed="81"/>
            <rFont val="宋体"/>
            <family val="3"/>
            <charset val="134"/>
          </rPr>
          <t xml:space="preserve">有效的测试用例总数
（修订状态≠删除）
</t>
        </r>
      </text>
    </comment>
    <comment ref="T5" authorId="0">
      <text>
        <r>
          <rPr>
            <sz val="9"/>
            <color indexed="81"/>
            <rFont val="宋体"/>
            <family val="3"/>
            <charset val="134"/>
          </rPr>
          <t xml:space="preserve">测试结果全部正确的测试用例数
（纳入测试=是 AND 测试结果=OK）
</t>
        </r>
      </text>
    </comment>
    <comment ref="J6" authorId="0">
      <text>
        <r>
          <rPr>
            <sz val="9"/>
            <color indexed="81"/>
            <rFont val="宋体"/>
            <family val="3"/>
            <charset val="134"/>
          </rPr>
          <t xml:space="preserve">将被执行的测试用例
（修订状态≠删除 AND 纳入测试=是）
</t>
        </r>
      </text>
    </comment>
    <comment ref="L6" authorId="0">
      <text>
        <r>
          <rPr>
            <sz val="9"/>
            <color indexed="81"/>
            <rFont val="宋体"/>
            <family val="3"/>
            <charset val="134"/>
          </rPr>
          <t>测试结果大部分正确的测试用例数
（纳入测试=是 AND 测试结果=POK）</t>
        </r>
      </text>
    </comment>
    <comment ref="N6" authorId="0">
      <text>
        <r>
          <rPr>
            <sz val="9"/>
            <color indexed="81"/>
            <rFont val="宋体"/>
            <family val="3"/>
            <charset val="134"/>
          </rPr>
          <t xml:space="preserve">将被执行的测试用例
（修订状态≠删除 AND 纳入测试=是）
</t>
        </r>
      </text>
    </comment>
    <comment ref="P6" authorId="0">
      <text>
        <r>
          <rPr>
            <sz val="9"/>
            <color indexed="81"/>
            <rFont val="宋体"/>
            <family val="3"/>
            <charset val="134"/>
          </rPr>
          <t>测试结果大部分正确的测试用例数
（纳入测试=是 AND 测试结果=POK）</t>
        </r>
      </text>
    </comment>
    <comment ref="R6" authorId="0">
      <text>
        <r>
          <rPr>
            <sz val="9"/>
            <color indexed="81"/>
            <rFont val="宋体"/>
            <family val="3"/>
            <charset val="134"/>
          </rPr>
          <t xml:space="preserve">将被执行的测试用例
（修订状态≠删除 AND 纳入测试=是）
</t>
        </r>
      </text>
    </comment>
    <comment ref="T6" authorId="0">
      <text>
        <r>
          <rPr>
            <sz val="9"/>
            <color indexed="81"/>
            <rFont val="宋体"/>
            <family val="3"/>
            <charset val="134"/>
          </rPr>
          <t>测试结果大部分正确的测试用例数
（纳入测试=是 AND 测试结果=POK）</t>
        </r>
      </text>
    </comment>
    <comment ref="J7" authorId="0">
      <text>
        <r>
          <rPr>
            <sz val="9"/>
            <color indexed="81"/>
            <rFont val="宋体"/>
            <family val="3"/>
            <charset val="134"/>
          </rPr>
          <t xml:space="preserve">执行率=(OK+POK+NG)/纳入测试
</t>
        </r>
      </text>
    </comment>
    <comment ref="L7" authorId="0">
      <text>
        <r>
          <rPr>
            <sz val="9"/>
            <color indexed="81"/>
            <rFont val="宋体"/>
            <family val="3"/>
            <charset val="134"/>
          </rPr>
          <t>测试结果有较大错误的测试用例数
（纳入测试=是 AND 测试结果=NG）</t>
        </r>
      </text>
    </comment>
    <comment ref="N7" authorId="0">
      <text>
        <r>
          <rPr>
            <sz val="9"/>
            <color indexed="81"/>
            <rFont val="宋体"/>
            <family val="3"/>
            <charset val="134"/>
          </rPr>
          <t xml:space="preserve">执行率=(OK+POK+NG)/纳入测试
</t>
        </r>
      </text>
    </comment>
    <comment ref="P7" authorId="0">
      <text>
        <r>
          <rPr>
            <sz val="9"/>
            <color indexed="81"/>
            <rFont val="宋体"/>
            <family val="3"/>
            <charset val="134"/>
          </rPr>
          <t>测试结果有较大错误的测试用例数
（纳入测试=是 AND 测试结果=NG）</t>
        </r>
      </text>
    </comment>
    <comment ref="R7" authorId="0">
      <text>
        <r>
          <rPr>
            <sz val="9"/>
            <color indexed="81"/>
            <rFont val="宋体"/>
            <family val="3"/>
            <charset val="134"/>
          </rPr>
          <t xml:space="preserve">执行率=(OK+POK+NG)/纳入测试
</t>
        </r>
      </text>
    </comment>
    <comment ref="T7" authorId="0">
      <text>
        <r>
          <rPr>
            <sz val="9"/>
            <color indexed="81"/>
            <rFont val="宋体"/>
            <family val="3"/>
            <charset val="134"/>
          </rPr>
          <t>测试结果有较大错误的测试用例数
（纳入测试=是 AND 测试结果=NG）</t>
        </r>
      </text>
    </comment>
    <comment ref="J8" authorId="0">
      <text>
        <r>
          <rPr>
            <sz val="9"/>
            <color indexed="81"/>
            <rFont val="宋体"/>
            <family val="3"/>
            <charset val="134"/>
          </rPr>
          <t xml:space="preserve">通过率=OK/(OK+POK+NG)
</t>
        </r>
      </text>
    </comment>
    <comment ref="L8" authorId="0">
      <text>
        <r>
          <rPr>
            <sz val="9"/>
            <color indexed="81"/>
            <rFont val="宋体"/>
            <family val="3"/>
            <charset val="134"/>
          </rPr>
          <t xml:space="preserve">已经决定（或被告知）跳过的测试用例数，即无需测试用例数。
（纳入测试=是 AND 测试结果=SKIP）
</t>
        </r>
      </text>
    </comment>
    <comment ref="N8" authorId="0">
      <text>
        <r>
          <rPr>
            <sz val="9"/>
            <color indexed="81"/>
            <rFont val="宋体"/>
            <family val="3"/>
            <charset val="134"/>
          </rPr>
          <t xml:space="preserve">通过率=OK/(OK+POK+NG)
</t>
        </r>
      </text>
    </comment>
    <comment ref="P8" authorId="0">
      <text>
        <r>
          <rPr>
            <sz val="9"/>
            <color indexed="81"/>
            <rFont val="宋体"/>
            <family val="3"/>
            <charset val="134"/>
          </rPr>
          <t xml:space="preserve">已经决定（或被告知）跳过的测试用例数，即无需测试用例数。
（纳入测试=是 AND 测试结果=SKIP）
</t>
        </r>
      </text>
    </comment>
    <comment ref="R8" authorId="0">
      <text>
        <r>
          <rPr>
            <sz val="9"/>
            <color indexed="81"/>
            <rFont val="宋体"/>
            <family val="3"/>
            <charset val="134"/>
          </rPr>
          <t xml:space="preserve">通过率=OK/(OK+POK+NG)
</t>
        </r>
      </text>
    </comment>
    <comment ref="T8" authorId="0">
      <text>
        <r>
          <rPr>
            <sz val="9"/>
            <color indexed="81"/>
            <rFont val="宋体"/>
            <family val="3"/>
            <charset val="134"/>
          </rPr>
          <t xml:space="preserve">已经决定（或被告知）跳过的测试用例数，即无需测试用例数。
（纳入测试=是 AND 测试结果=SKIP）
</t>
        </r>
      </text>
    </comment>
    <comment ref="J9" authorId="0">
      <text>
        <r>
          <rPr>
            <sz val="9"/>
            <color indexed="81"/>
            <rFont val="宋体"/>
            <family val="3"/>
            <charset val="134"/>
          </rPr>
          <t>由于各种原因本次无法测试
（纳入测试=是 AND 测试结果=NT）</t>
        </r>
      </text>
    </comment>
    <comment ref="L9" authorId="0">
      <text>
        <r>
          <rPr>
            <sz val="9"/>
            <color indexed="81"/>
            <rFont val="宋体"/>
            <family val="3"/>
            <charset val="134"/>
          </rPr>
          <t xml:space="preserve">正在排队等待测试的用例数
（纳入测试数-OK-NG-POK-SKIP-NT）
</t>
        </r>
      </text>
    </comment>
    <comment ref="N9" authorId="0">
      <text>
        <r>
          <rPr>
            <sz val="9"/>
            <color indexed="81"/>
            <rFont val="宋体"/>
            <family val="3"/>
            <charset val="134"/>
          </rPr>
          <t>由于各种原因本次无法测试
（纳入测试=是 AND 测试结果=NT）</t>
        </r>
      </text>
    </comment>
    <comment ref="P9" authorId="0">
      <text>
        <r>
          <rPr>
            <sz val="9"/>
            <color indexed="81"/>
            <rFont val="宋体"/>
            <family val="3"/>
            <charset val="134"/>
          </rPr>
          <t xml:space="preserve">正在排队等待测试的用例数
（纳入测试数-OK-NG-POK-SKIP-NT）
</t>
        </r>
      </text>
    </comment>
    <comment ref="R9" authorId="0">
      <text>
        <r>
          <rPr>
            <sz val="9"/>
            <color indexed="81"/>
            <rFont val="宋体"/>
            <family val="3"/>
            <charset val="134"/>
          </rPr>
          <t>由于各种原因本次无法测试
（纳入测试=是 AND 测试结果=NT）</t>
        </r>
      </text>
    </comment>
    <comment ref="T9" authorId="0">
      <text>
        <r>
          <rPr>
            <sz val="9"/>
            <color indexed="81"/>
            <rFont val="宋体"/>
            <family val="3"/>
            <charset val="134"/>
          </rPr>
          <t xml:space="preserve">正在排队等待测试的用例数
（纳入测试数-OK-NG-POK-SKIP-NT）
</t>
        </r>
      </text>
    </comment>
    <comment ref="G10" authorId="1">
      <text>
        <r>
          <rPr>
            <sz val="9"/>
            <color indexed="81"/>
            <rFont val="宋体"/>
            <family val="3"/>
            <charset val="134"/>
          </rPr>
          <t>测试时应表现出来的(需要确认的)现象描述。</t>
        </r>
      </text>
    </comment>
    <comment ref="H10" authorId="0">
      <text>
        <r>
          <rPr>
            <sz val="9"/>
            <color indexed="81"/>
            <rFont val="宋体"/>
            <family val="3"/>
            <charset val="134"/>
          </rPr>
          <t>标记用例的修订状况，主要同上次发布的版本进行对比设定</t>
        </r>
      </text>
    </comment>
    <comment ref="I10" authorId="0">
      <text>
        <r>
          <rPr>
            <sz val="9"/>
            <color indexed="81"/>
            <rFont val="宋体"/>
            <family val="3"/>
            <charset val="134"/>
          </rPr>
          <t>用于记录测试任务中所选用的测试用例。分为“是”，“否”，空白默认为“否”。</t>
        </r>
      </text>
    </comment>
  </commentList>
</comments>
</file>

<file path=xl/sharedStrings.xml><?xml version="1.0" encoding="utf-8"?>
<sst xmlns="http://schemas.openxmlformats.org/spreadsheetml/2006/main" count="4590" uniqueCount="1015">
  <si>
    <t>测试用例</t>
  </si>
  <si>
    <t>总页数</t>
  </si>
  <si>
    <t>正文</t>
  </si>
  <si>
    <t>附录</t>
  </si>
  <si>
    <t>生效日期</t>
  </si>
  <si>
    <t>编制</t>
  </si>
  <si>
    <t>审批</t>
  </si>
  <si>
    <t>Revision History</t>
  </si>
  <si>
    <t>日期</t>
  </si>
  <si>
    <t>版本</t>
  </si>
  <si>
    <t>描述</t>
  </si>
  <si>
    <t>作者</t>
  </si>
  <si>
    <t>审核</t>
  </si>
  <si>
    <t>测试大纲</t>
  </si>
  <si>
    <t>用例总计</t>
  </si>
  <si>
    <t>纳入测试数</t>
  </si>
  <si>
    <t>模块编号</t>
  </si>
  <si>
    <t>一级大纲</t>
  </si>
  <si>
    <t>二级大纲</t>
  </si>
  <si>
    <t>三级大纲</t>
  </si>
  <si>
    <t>四级大纲</t>
  </si>
  <si>
    <t>用例数</t>
  </si>
  <si>
    <t>是否纳入测试</t>
  </si>
  <si>
    <t>说明</t>
  </si>
  <si>
    <t>模块</t>
  </si>
  <si>
    <t>制表人/日期：</t>
  </si>
  <si>
    <t>第1轮</t>
  </si>
  <si>
    <t>第2轮</t>
  </si>
  <si>
    <t>第N轮</t>
  </si>
  <si>
    <t>用例条数</t>
  </si>
  <si>
    <t>OK</t>
  </si>
  <si>
    <t>纳入测试</t>
  </si>
  <si>
    <t>POK</t>
  </si>
  <si>
    <t>执行率</t>
  </si>
  <si>
    <t>NG</t>
  </si>
  <si>
    <t>所属项目</t>
  </si>
  <si>
    <t>子系统</t>
  </si>
  <si>
    <t>设计人员</t>
  </si>
  <si>
    <t>通过率</t>
  </si>
  <si>
    <t>SKIP</t>
  </si>
  <si>
    <t>NT</t>
  </si>
  <si>
    <t>队列中</t>
  </si>
  <si>
    <t>序号</t>
  </si>
  <si>
    <t>一级模块</t>
  </si>
  <si>
    <t>二级模块</t>
  </si>
  <si>
    <t>三级模块</t>
  </si>
  <si>
    <t>用例编号</t>
  </si>
  <si>
    <t>优先级</t>
  </si>
  <si>
    <t>分类</t>
  </si>
  <si>
    <t>用例描述</t>
  </si>
  <si>
    <t>前置条件</t>
  </si>
  <si>
    <t>测试方法和步骤</t>
  </si>
  <si>
    <t>测试数据</t>
  </si>
  <si>
    <t>预期结果</t>
  </si>
  <si>
    <t>验证过程</t>
  </si>
  <si>
    <t>测试工具</t>
  </si>
  <si>
    <t>修订状态</t>
  </si>
  <si>
    <t>测试结果</t>
  </si>
  <si>
    <t>测试版本</t>
  </si>
  <si>
    <t>测试人</t>
  </si>
  <si>
    <t>备注</t>
  </si>
  <si>
    <t>导入结果</t>
  </si>
  <si>
    <t>正常系</t>
  </si>
  <si>
    <t>是</t>
  </si>
  <si>
    <t>流程分类</t>
  </si>
  <si>
    <t>TC-ST-SCM-UCM-流程测试-001</t>
  </si>
  <si>
    <t>Defect</t>
  </si>
  <si>
    <t>基本流程</t>
  </si>
  <si>
    <t>正常修改流程</t>
  </si>
  <si>
    <t>测试人员提交缺陷→开发人员接收缺陷→开发人员修改缺陷→测试人员验证关闭缺陷</t>
  </si>
  <si>
    <t>流程可以正常流转，流转时状态转换正确，从Submitted→Opened→Resolved→Closed
缺陷到达Closed状态后除增加注释外，不能对缺陷进行修改</t>
  </si>
  <si>
    <t>TC-ST-SCM-UCM-流程测试-002</t>
  </si>
  <si>
    <t>修复失败流程</t>
  </si>
  <si>
    <t>测试人员提交缺陷→开发人员接收缺陷→开发人员修改缺陷→测试人员验证打回缺陷（Reject）→开发人员修复缺陷-测试人员验证关闭缺陷
（需验证测试人员多次验证打回缺陷的情况）</t>
  </si>
  <si>
    <t>流程可以正常流转，流转时状态转换正确，从Submitted→Opened→Resolved→Opened→Resolved→Closed
缺陷到达Closed状态后除增加注释外，不能对缺陷进行修改</t>
  </si>
  <si>
    <t>TC-ST-SCM-UCM-流程测试-003</t>
  </si>
  <si>
    <t>拒绝处理流程</t>
  </si>
  <si>
    <t>……</t>
  </si>
  <si>
    <t>TC-ST-SCM-UCM-流程测试-004</t>
  </si>
  <si>
    <t>备选流程</t>
  </si>
  <si>
    <t>分歧处理流程</t>
  </si>
  <si>
    <t>TC-ST-SCM-UCM-流程测试-005</t>
  </si>
  <si>
    <t>延迟处理流程</t>
  </si>
  <si>
    <t>TC-ST-SCM-UCM-流程测试-006</t>
  </si>
  <si>
    <t>使用说明：</t>
  </si>
  <si>
    <t>（一）、测试用例维护的原则</t>
  </si>
  <si>
    <t>1、测试时，测试用例及测试大纲需要及时维护，保证一个系统有一份完整的功能测试用例。</t>
  </si>
  <si>
    <t>每次生产变更需在这一份测试用例中选择部分测试用例作为执行对象。</t>
  </si>
  <si>
    <t>2、原则上不允许物理删除测试用例，可使用“修订状态”列标记删除（标记后，会自动标记删除线）</t>
  </si>
  <si>
    <t>3、测试用例编号要求唯一（含被标记为删除的用例）</t>
  </si>
  <si>
    <t>（二）、测试用例维护方法</t>
  </si>
  <si>
    <t>操作</t>
  </si>
  <si>
    <t>详细</t>
  </si>
  <si>
    <t>新增测试用例</t>
  </si>
  <si>
    <t>在对应的模块内增加测试用例，将其测试用例编号设置为该模块用例编号最大值+1，保证测试用例编号不重复（含被标记为删除的用例），并将【修订状态】属性设置为“新增”。</t>
  </si>
  <si>
    <t>修改测试用例</t>
  </si>
  <si>
    <t>修改对应的测试用例，并将该条测试用例的【修订状态】属性设置为“修改”。</t>
  </si>
  <si>
    <t>删除测试用例</t>
  </si>
  <si>
    <t>将测试用例的【修订状态】属性设定为“删除”，【纳入测试】属性设置为“否”。</t>
  </si>
  <si>
    <t>（三）、测试用例选取方法</t>
  </si>
  <si>
    <t>测试用例选取遵循以下步骤：</t>
  </si>
  <si>
    <t>1、获取上次生产变更所使用的测试用例。</t>
  </si>
  <si>
    <t>2、清空所有测试用例的执行结果，注意每个标签页上的自动计算公式是否正常。</t>
  </si>
  <si>
    <t>3、清空所有测试用例的“纳入测试”属性。</t>
  </si>
  <si>
    <t>4、将前一次标记了“新增”、“修改”的用例的“修订状态”属性设置为空。</t>
  </si>
  <si>
    <t>5、参考本文章节（二）对测试用例进行维护。</t>
  </si>
  <si>
    <t>6、</t>
  </si>
  <si>
    <t>选择计划要执行的测试用例，将测试用例的“纳入测试”属性设定为“是”。</t>
  </si>
  <si>
    <t>测试用例评审及测试用例执行将针对纳入测试的测试用例进行。</t>
  </si>
  <si>
    <t>7、维护测试大纲（内容及测试用例数），清空【纳入测试数】列及【是否纳入测试】列。</t>
  </si>
  <si>
    <t>8、将抽选了测试用例的模块的【是否纳入测试】属性设置为“√”，计算</t>
  </si>
  <si>
    <t>模块中被纳入测试的用例数并填入【纳入测试数】属性中。</t>
  </si>
  <si>
    <t>（四）关于流程测试用例</t>
  </si>
  <si>
    <t>对流程测试用例的模板不做要求，可根据系统具体情况设计流程测试用例格式，可参考“流程测试用例示例”</t>
  </si>
  <si>
    <t>注意：</t>
  </si>
  <si>
    <t>（1）流程测试用例也需要有对应的编号，也要有测试结果记录。</t>
  </si>
  <si>
    <t>（2）测试用例编写完成后需将“流程测试用例示例”页删除。</t>
  </si>
  <si>
    <t>（五）FQA</t>
  </si>
  <si>
    <t>1、测试用例结果统计的公式不小心被修改了怎么办？</t>
  </si>
  <si>
    <t>答：可通过从模板拷贝粘贴的方式更新公式。</t>
  </si>
  <si>
    <t>2、测试执行多个轮次时，结果统计中，前边轮次的纳入测试用例数等会跟随着后续的轮次改变怎么办？</t>
  </si>
  <si>
    <t>答：每个轮次开始前，请将前一个轮次结果统计中的公式变为静态的数值。</t>
  </si>
  <si>
    <t>方法为：选择需要变更区域，复制（ctrl+C），然后在被选区域上右键，选择“选择性粘贴”，</t>
  </si>
  <si>
    <t>在对话框中选择“数值”后确定，则公式被替换为实际的数值。</t>
  </si>
  <si>
    <t>数据计算与显示</t>
    <phoneticPr fontId="44" type="noConversion"/>
  </si>
  <si>
    <t>UI测试</t>
    <phoneticPr fontId="44" type="noConversion"/>
  </si>
  <si>
    <t>登录</t>
    <phoneticPr fontId="44" type="noConversion"/>
  </si>
  <si>
    <t>安全性</t>
    <phoneticPr fontId="44" type="noConversion"/>
  </si>
  <si>
    <t>兼容性</t>
    <phoneticPr fontId="44" type="noConversion"/>
  </si>
  <si>
    <t>性能测试</t>
    <phoneticPr fontId="44" type="noConversion"/>
  </si>
  <si>
    <t>SJJS</t>
    <phoneticPr fontId="44" type="noConversion"/>
  </si>
  <si>
    <t>UITS</t>
    <phoneticPr fontId="44" type="noConversion"/>
  </si>
  <si>
    <t>XTDL</t>
    <phoneticPr fontId="44" type="noConversion"/>
  </si>
  <si>
    <t>XTAQ</t>
    <phoneticPr fontId="44" type="noConversion"/>
  </si>
  <si>
    <t>XTXN</t>
    <phoneticPr fontId="44" type="noConversion"/>
  </si>
  <si>
    <t>XTJR</t>
    <phoneticPr fontId="44" type="noConversion"/>
  </si>
  <si>
    <t>v1.0</t>
    <phoneticPr fontId="44" type="noConversion"/>
  </si>
  <si>
    <t>创建</t>
    <phoneticPr fontId="44" type="noConversion"/>
  </si>
  <si>
    <t>袁国军</t>
    <phoneticPr fontId="44" type="noConversion"/>
  </si>
  <si>
    <t>航站系统</t>
    <phoneticPr fontId="44" type="noConversion"/>
  </si>
  <si>
    <t>（Version 1.0）</t>
    <phoneticPr fontId="44" type="noConversion"/>
  </si>
  <si>
    <t>深圳运捷迅信息有限公司</t>
    <phoneticPr fontId="44" type="noConversion"/>
  </si>
  <si>
    <t>人员档案管理</t>
    <phoneticPr fontId="44" type="noConversion"/>
  </si>
  <si>
    <t>培训记录管理</t>
    <phoneticPr fontId="44" type="noConversion"/>
  </si>
  <si>
    <t>人员编制管理</t>
    <phoneticPr fontId="44" type="noConversion"/>
  </si>
  <si>
    <t>航站编制情况表</t>
    <phoneticPr fontId="44" type="noConversion"/>
  </si>
  <si>
    <t>课程管理</t>
    <phoneticPr fontId="44" type="noConversion"/>
  </si>
  <si>
    <t>培训明细及数量统计</t>
    <phoneticPr fontId="44" type="noConversion"/>
  </si>
  <si>
    <t>培训课程人数统计</t>
    <phoneticPr fontId="44" type="noConversion"/>
  </si>
  <si>
    <t>离岗报备统计</t>
    <phoneticPr fontId="44" type="noConversion"/>
  </si>
  <si>
    <t>节假日值班表</t>
    <phoneticPr fontId="44" type="noConversion"/>
  </si>
  <si>
    <t>离岗报备查询</t>
    <phoneticPr fontId="44" type="noConversion"/>
  </si>
  <si>
    <t>离岗报备</t>
    <phoneticPr fontId="44" type="noConversion"/>
  </si>
  <si>
    <t>在岗状态表</t>
    <phoneticPr fontId="44" type="noConversion"/>
  </si>
  <si>
    <t>航站负责人即时查询</t>
    <phoneticPr fontId="44" type="noConversion"/>
  </si>
  <si>
    <r>
      <t>J</t>
    </r>
    <r>
      <rPr>
        <sz val="10.5"/>
        <rFont val="宋体"/>
        <family val="3"/>
        <charset val="134"/>
      </rPr>
      <t>JZB</t>
    </r>
    <phoneticPr fontId="44" type="noConversion"/>
  </si>
  <si>
    <r>
      <t>Z</t>
    </r>
    <r>
      <rPr>
        <sz val="10.5"/>
        <rFont val="宋体"/>
        <family val="3"/>
        <charset val="134"/>
      </rPr>
      <t>GZT</t>
    </r>
    <phoneticPr fontId="44" type="noConversion"/>
  </si>
  <si>
    <r>
      <t>F</t>
    </r>
    <r>
      <rPr>
        <sz val="10.5"/>
        <rFont val="宋体"/>
        <family val="3"/>
        <charset val="134"/>
      </rPr>
      <t>ZCX</t>
    </r>
    <phoneticPr fontId="44" type="noConversion"/>
  </si>
  <si>
    <r>
      <t>B</t>
    </r>
    <r>
      <rPr>
        <sz val="10.5"/>
        <rFont val="宋体"/>
        <family val="3"/>
        <charset val="134"/>
      </rPr>
      <t>GCX</t>
    </r>
    <phoneticPr fontId="44" type="noConversion"/>
  </si>
  <si>
    <t>报备管理</t>
    <phoneticPr fontId="44" type="noConversion"/>
  </si>
  <si>
    <t>单条件航站查询正确性校验</t>
    <phoneticPr fontId="46" type="noConversion"/>
  </si>
  <si>
    <t>筛选出对应航站所有的离岗报备</t>
    <phoneticPr fontId="44" type="noConversion"/>
  </si>
  <si>
    <t>筛选出对应员工所有的离岗报备</t>
    <phoneticPr fontId="44" type="noConversion"/>
  </si>
  <si>
    <t>全条件查询正确性校验</t>
    <phoneticPr fontId="46" type="noConversion"/>
  </si>
  <si>
    <t>航站代码自动转换大写有效性校验</t>
    <phoneticPr fontId="46" type="noConversion"/>
  </si>
  <si>
    <t>异常系</t>
  </si>
  <si>
    <t>1.输入航站代码
2.点击“搜索”</t>
    <phoneticPr fontId="44" type="noConversion"/>
  </si>
  <si>
    <t>该条数据从页面消失并且刷新页面后不再出现</t>
    <phoneticPr fontId="44" type="noConversion"/>
  </si>
  <si>
    <t>1.点击"2"尝试跳转到第二页</t>
    <phoneticPr fontId="44" type="noConversion"/>
  </si>
  <si>
    <t>页面跳转到指定页码正确性校验</t>
    <phoneticPr fontId="46" type="noConversion"/>
  </si>
  <si>
    <t>页面页码点击翻页正确性校验</t>
    <phoneticPr fontId="46" type="noConversion"/>
  </si>
  <si>
    <t>1.输入页码
2.回车</t>
    <phoneticPr fontId="44" type="noConversion"/>
  </si>
  <si>
    <t>页面跳转至上一页正确性校验</t>
    <phoneticPr fontId="46" type="noConversion"/>
  </si>
  <si>
    <t>1.跳转至第二页
2.点击上一页图标“&lt;”</t>
    <phoneticPr fontId="44" type="noConversion"/>
  </si>
  <si>
    <t>页面跳转至下一页正确性校验</t>
    <phoneticPr fontId="46" type="noConversion"/>
  </si>
  <si>
    <t>1.点击下一页图标“&gt;”</t>
    <phoneticPr fontId="44" type="noConversion"/>
  </si>
  <si>
    <t>跳转到第二页，当前页码为2</t>
    <phoneticPr fontId="44" type="noConversion"/>
  </si>
  <si>
    <t>跳转至第一页，当前页码为1</t>
    <phoneticPr fontId="44" type="noConversion"/>
  </si>
  <si>
    <t>跳转至第二页，当前页码为2</t>
    <phoneticPr fontId="44" type="noConversion"/>
  </si>
  <si>
    <t>离岗报备添加</t>
    <phoneticPr fontId="44" type="noConversion"/>
  </si>
  <si>
    <t>弹出相关提示并且之前操作无效</t>
    <phoneticPr fontId="44" type="noConversion"/>
  </si>
  <si>
    <t>添加成功并能再离岗报备查询中查询到相关记录</t>
    <phoneticPr fontId="44" type="noConversion"/>
  </si>
  <si>
    <t>删除失败并给与相关提示</t>
    <phoneticPr fontId="44" type="noConversion"/>
  </si>
  <si>
    <t>添加失败并给与相关提示</t>
    <phoneticPr fontId="44" type="noConversion"/>
  </si>
  <si>
    <t>弹出提示并添加无效</t>
    <phoneticPr fontId="44" type="noConversion"/>
  </si>
  <si>
    <t>弹出相关提示并且添加无效</t>
    <phoneticPr fontId="44" type="noConversion"/>
  </si>
  <si>
    <t>返回查询界面并且查询不到相关记录</t>
    <phoneticPr fontId="44" type="noConversion"/>
  </si>
  <si>
    <t>弹出相关提示邮箱输入格式有误并且添加无效</t>
    <phoneticPr fontId="44" type="noConversion"/>
  </si>
  <si>
    <t>筛选出对应航站所有的人员在岗状态</t>
    <phoneticPr fontId="44" type="noConversion"/>
  </si>
  <si>
    <t>单条件日期查询正确性校验</t>
    <phoneticPr fontId="46" type="noConversion"/>
  </si>
  <si>
    <t>1.使用日期控件选择日期
2.点击“搜索”</t>
    <phoneticPr fontId="44" type="noConversion"/>
  </si>
  <si>
    <t>筛选出对应日期内所有的人员在岗状态</t>
    <phoneticPr fontId="44" type="noConversion"/>
  </si>
  <si>
    <t>单条件在岗状态查询正确性校验</t>
    <phoneticPr fontId="46" type="noConversion"/>
  </si>
  <si>
    <t>筛选出对应在岗状态的所有员工</t>
    <phoneticPr fontId="44" type="noConversion"/>
  </si>
  <si>
    <t>1.输入航站
2.鼠标点击页面空白的地方</t>
    <phoneticPr fontId="44" type="noConversion"/>
  </si>
  <si>
    <t>航站代码：pek</t>
    <phoneticPr fontId="44" type="noConversion"/>
  </si>
  <si>
    <r>
      <t>航站代码：P</t>
    </r>
    <r>
      <rPr>
        <sz val="10"/>
        <color indexed="8"/>
        <rFont val="宋体"/>
        <family val="3"/>
        <charset val="134"/>
      </rPr>
      <t>EK</t>
    </r>
    <phoneticPr fontId="44" type="noConversion"/>
  </si>
  <si>
    <t>数据展示区为空</t>
    <phoneticPr fontId="44" type="noConversion"/>
  </si>
  <si>
    <t>弹出提示并搜索无效</t>
    <phoneticPr fontId="44" type="noConversion"/>
  </si>
  <si>
    <t>筛选出对应员工的在岗状态</t>
    <phoneticPr fontId="44" type="noConversion"/>
  </si>
  <si>
    <t>单条件部分在岗时间正确性校验</t>
    <phoneticPr fontId="44" type="noConversion"/>
  </si>
  <si>
    <t>显示离岗报备单中的站长离岗期间联系方式、负责人姓名、电话、邮箱以节假日报备单数据为准</t>
    <phoneticPr fontId="44" type="noConversion"/>
  </si>
  <si>
    <t>站长离岗且有离岗报备（已同意状态）时在岗状态部分信息的正确性校验</t>
    <phoneticPr fontId="46" type="noConversion"/>
  </si>
  <si>
    <t>站长离岗且当天有节假日报备时在岗状态部分信息正确性校验</t>
    <phoneticPr fontId="46" type="noConversion"/>
  </si>
  <si>
    <t>显示离岗报备单中的站长离岗期间联系方式、负责人姓名、电话、邮箱以离岗报备中的紧急联系人为准</t>
    <phoneticPr fontId="44" type="noConversion"/>
  </si>
  <si>
    <t>站长离岗且当天无节假日报备也无离岗报备时在岗状态部分信息的正确性校验</t>
    <phoneticPr fontId="46" type="noConversion"/>
  </si>
  <si>
    <t>显示离岗报备单中的站长离岗期间联系方式、负责人姓名、电话、邮箱不显示</t>
    <phoneticPr fontId="44" type="noConversion"/>
  </si>
  <si>
    <t>航站负责人即时查询</t>
  </si>
  <si>
    <t xml:space="preserve">1.输入航站
</t>
    <phoneticPr fontId="44" type="noConversion"/>
  </si>
  <si>
    <t>航站代码模糊查询可用性校验</t>
    <phoneticPr fontId="46" type="noConversion"/>
  </si>
  <si>
    <t>提示输入页码输入有误</t>
    <phoneticPr fontId="44" type="noConversion"/>
  </si>
  <si>
    <t>导出功能正确性校验</t>
    <phoneticPr fontId="44" type="noConversion"/>
  </si>
  <si>
    <t>1.选择日期
2.点击“搜索”
3.点击“导出”</t>
    <phoneticPr fontId="44" type="noConversion"/>
  </si>
  <si>
    <t>文件格式为Excel，内容与数据展示区内容一致</t>
    <phoneticPr fontId="44" type="noConversion"/>
  </si>
  <si>
    <t>负责人节日报备时信息的正确性校验</t>
    <phoneticPr fontId="46" type="noConversion"/>
  </si>
  <si>
    <t>负责人联系方式以节假日报备单数据为准</t>
    <phoneticPr fontId="44" type="noConversion"/>
  </si>
  <si>
    <t>负责人联系方式以离岗报备中的紧急联系人为准</t>
    <phoneticPr fontId="44" type="noConversion"/>
  </si>
  <si>
    <t>负责人联系方式以站长联系方式为准</t>
    <phoneticPr fontId="44" type="noConversion"/>
  </si>
  <si>
    <t>航站代码：pv</t>
    <phoneticPr fontId="44" type="noConversion"/>
  </si>
  <si>
    <t>查询出所有PV开头的航站节假日</t>
    <phoneticPr fontId="44" type="noConversion"/>
  </si>
  <si>
    <r>
      <t xml:space="preserve">1.点击“搜索”
</t>
    </r>
    <r>
      <rPr>
        <sz val="10"/>
        <rFont val="宋体"/>
        <family val="3"/>
        <charset val="134"/>
      </rPr>
      <t>2</t>
    </r>
    <r>
      <rPr>
        <sz val="10"/>
        <rFont val="宋体"/>
        <family val="3"/>
        <charset val="134"/>
      </rPr>
      <t>.点击“导出”</t>
    </r>
    <phoneticPr fontId="44" type="noConversion"/>
  </si>
  <si>
    <t>1.输入不存在的航站
2.点击“搜索”</t>
    <phoneticPr fontId="44" type="noConversion"/>
  </si>
  <si>
    <t>1.输入姓名
2.点击“搜索”</t>
    <phoneticPr fontId="44" type="noConversion"/>
  </si>
  <si>
    <t>1.输入离岗时间
2.点击“搜索”</t>
    <phoneticPr fontId="44" type="noConversion"/>
  </si>
  <si>
    <t>弹出相关提示</t>
    <phoneticPr fontId="44" type="noConversion"/>
  </si>
  <si>
    <t>单条件离岗时间长度异常查询</t>
    <phoneticPr fontId="44" type="noConversion"/>
  </si>
  <si>
    <t>1.选择日期时间
2.点击“搜索”</t>
    <phoneticPr fontId="44" type="noConversion"/>
  </si>
  <si>
    <t>结束时间早于开始时间</t>
    <phoneticPr fontId="44" type="noConversion"/>
  </si>
  <si>
    <t>单条件离岗原因查询正确性校验</t>
    <phoneticPr fontId="46" type="noConversion"/>
  </si>
  <si>
    <t>默认查询正确性校验</t>
    <phoneticPr fontId="46" type="noConversion"/>
  </si>
  <si>
    <t>1.点击“搜索”</t>
    <phoneticPr fontId="44" type="noConversion"/>
  </si>
  <si>
    <t>1.输入离岗原因
2.点击“搜索”</t>
    <phoneticPr fontId="44" type="noConversion"/>
  </si>
  <si>
    <t>1.选择日期
2.点击“搜索”</t>
    <phoneticPr fontId="44" type="noConversion"/>
  </si>
  <si>
    <t>不存在的航站代码</t>
    <phoneticPr fontId="44" type="noConversion"/>
  </si>
  <si>
    <t>筛选出对应条件所有的离岗报备</t>
    <phoneticPr fontId="44" type="noConversion"/>
  </si>
  <si>
    <r>
      <t>1.输入离岗原因
2.输入航站
3.选择日期</t>
    </r>
    <r>
      <rPr>
        <sz val="10"/>
        <rFont val="宋体"/>
        <family val="3"/>
        <charset val="134"/>
      </rPr>
      <t xml:space="preserve">
</t>
    </r>
    <r>
      <rPr>
        <sz val="10"/>
        <rFont val="宋体"/>
        <family val="3"/>
        <charset val="134"/>
      </rPr>
      <t>4</t>
    </r>
    <r>
      <rPr>
        <sz val="10"/>
        <rFont val="宋体"/>
        <family val="3"/>
        <charset val="134"/>
      </rPr>
      <t>.点击“搜索”</t>
    </r>
    <phoneticPr fontId="44" type="noConversion"/>
  </si>
  <si>
    <t>导出功能覆盖可用性校验</t>
    <phoneticPr fontId="44" type="noConversion"/>
  </si>
  <si>
    <t>导出路径中已经有同名文件时</t>
    <phoneticPr fontId="44" type="noConversion"/>
  </si>
  <si>
    <r>
      <t>1.点击“搜索”
2</t>
    </r>
    <r>
      <rPr>
        <sz val="10"/>
        <rFont val="宋体"/>
        <family val="3"/>
        <charset val="134"/>
      </rPr>
      <t xml:space="preserve">.点击“导出”
</t>
    </r>
    <r>
      <rPr>
        <sz val="10"/>
        <rFont val="宋体"/>
        <family val="3"/>
        <charset val="134"/>
      </rPr>
      <t>3.点击“确定”弹出覆盖提示
4.点击“确定”</t>
    </r>
    <phoneticPr fontId="44" type="noConversion"/>
  </si>
  <si>
    <t>提示覆盖成功，文件内容与先导出数据一致</t>
    <phoneticPr fontId="44" type="noConversion"/>
  </si>
  <si>
    <t>运行月报告</t>
    <phoneticPr fontId="44" type="noConversion"/>
  </si>
  <si>
    <t>运行月报告查询</t>
    <phoneticPr fontId="44" type="noConversion"/>
  </si>
  <si>
    <t>运行月报告上报</t>
    <phoneticPr fontId="44" type="noConversion"/>
  </si>
  <si>
    <t>问题类别维护</t>
    <phoneticPr fontId="44" type="noConversion"/>
  </si>
  <si>
    <t>运行月报告上报率统计</t>
    <phoneticPr fontId="44" type="noConversion"/>
  </si>
  <si>
    <t>SBTJ</t>
    <phoneticPr fontId="44" type="noConversion"/>
  </si>
  <si>
    <t>详情查看功能正确性校验</t>
    <phoneticPr fontId="46" type="noConversion"/>
  </si>
  <si>
    <t>筛选出两年内的运行月报告</t>
    <phoneticPr fontId="44" type="noConversion"/>
  </si>
  <si>
    <t>单条件未上报询正确性校验</t>
    <phoneticPr fontId="46" type="noConversion"/>
  </si>
  <si>
    <t>运行月报告问题查询</t>
    <phoneticPr fontId="44" type="noConversion"/>
  </si>
  <si>
    <t>查询出所有PV开头的航站问题报告</t>
    <phoneticPr fontId="44" type="noConversion"/>
  </si>
  <si>
    <t>筛选出对应条件所有的航站问题报告</t>
    <phoneticPr fontId="44" type="noConversion"/>
  </si>
  <si>
    <t>筛选出对应日期内的所有的航站问题报告</t>
    <phoneticPr fontId="44" type="noConversion"/>
  </si>
  <si>
    <t>筛选出对应航站所有的航站问题报告</t>
    <phoneticPr fontId="44" type="noConversion"/>
  </si>
  <si>
    <t>单条件问题大类询正确性校验</t>
    <phoneticPr fontId="46" type="noConversion"/>
  </si>
  <si>
    <t>单条件问题小类询正确性校验</t>
    <phoneticPr fontId="46" type="noConversion"/>
  </si>
  <si>
    <t>1.选择问题大类
2.点击“搜索”</t>
    <phoneticPr fontId="44" type="noConversion"/>
  </si>
  <si>
    <t>1.选择问题小类
2.点击“搜索”</t>
    <phoneticPr fontId="44" type="noConversion"/>
  </si>
  <si>
    <t>筛选出对应离岗原因所有的航站问题报告</t>
    <phoneticPr fontId="44" type="noConversion"/>
  </si>
  <si>
    <t>单条件日期长度异常查询</t>
    <phoneticPr fontId="44" type="noConversion"/>
  </si>
  <si>
    <r>
      <t>1.选择问题大类
2.输入航站
3.选择日期
4.选择问题小类</t>
    </r>
    <r>
      <rPr>
        <sz val="10"/>
        <rFont val="宋体"/>
        <family val="3"/>
        <charset val="134"/>
      </rPr>
      <t xml:space="preserve">
</t>
    </r>
    <r>
      <rPr>
        <sz val="10"/>
        <rFont val="宋体"/>
        <family val="3"/>
        <charset val="134"/>
      </rPr>
      <t>5</t>
    </r>
    <r>
      <rPr>
        <sz val="10"/>
        <rFont val="宋体"/>
        <family val="3"/>
        <charset val="134"/>
      </rPr>
      <t>.点击“搜索”</t>
    </r>
    <phoneticPr fontId="44" type="noConversion"/>
  </si>
  <si>
    <r>
      <t>BGS</t>
    </r>
    <r>
      <rPr>
        <sz val="10.5"/>
        <rFont val="宋体"/>
        <family val="3"/>
        <charset val="134"/>
      </rPr>
      <t>B</t>
    </r>
    <phoneticPr fontId="44" type="noConversion"/>
  </si>
  <si>
    <t>问题必填性校验</t>
    <phoneticPr fontId="44" type="noConversion"/>
  </si>
  <si>
    <t>上报年月自动填充正确性校验</t>
    <phoneticPr fontId="44" type="noConversion"/>
  </si>
  <si>
    <t>自动根据登录当前时间自动填写</t>
    <phoneticPr fontId="44" type="noConversion"/>
  </si>
  <si>
    <t>填写说明省略正确性校验</t>
    <phoneticPr fontId="44" type="noConversion"/>
  </si>
  <si>
    <t>大于20个中文的时候默认用省略号表示</t>
    <phoneticPr fontId="44" type="noConversion"/>
  </si>
  <si>
    <r>
      <t>1</t>
    </r>
    <r>
      <rPr>
        <sz val="10"/>
        <rFont val="宋体"/>
        <family val="3"/>
        <charset val="134"/>
      </rPr>
      <t>.点击展开</t>
    </r>
    <phoneticPr fontId="57" type="noConversion"/>
  </si>
  <si>
    <t>模态窗口显示填写说明全文</t>
    <phoneticPr fontId="44" type="noConversion"/>
  </si>
  <si>
    <t>填写说明展开有效性校验</t>
    <phoneticPr fontId="44" type="noConversion"/>
  </si>
  <si>
    <t>填写说明收起有效性校验</t>
    <phoneticPr fontId="44" type="noConversion"/>
  </si>
  <si>
    <t>1.点击收起</t>
    <phoneticPr fontId="57" type="noConversion"/>
  </si>
  <si>
    <t>填写说明只显示超过20个中文的部分</t>
    <phoneticPr fontId="44" type="noConversion"/>
  </si>
  <si>
    <t>附件上传有效性校验</t>
    <phoneticPr fontId="44" type="noConversion"/>
  </si>
  <si>
    <t>附件上传成功</t>
    <phoneticPr fontId="57" type="noConversion"/>
  </si>
  <si>
    <t>附件上传数量正确性校验</t>
    <phoneticPr fontId="44" type="noConversion"/>
  </si>
  <si>
    <t>1.点击附件
2.选择1个文件（不大于1M）
3.点击确定</t>
    <phoneticPr fontId="57" type="noConversion"/>
  </si>
  <si>
    <t>1.点击附件
2.选择6个文件（总大小不大于1M）
3.点击确定</t>
    <phoneticPr fontId="57" type="noConversion"/>
  </si>
  <si>
    <t>附件上传失败弹出相关提示每个问题最多只能上传5个人</t>
    <phoneticPr fontId="57" type="noConversion"/>
  </si>
  <si>
    <t>1.点击附件
2.选择5个文件（总大小大于1M）
3.点击确定</t>
    <phoneticPr fontId="57" type="noConversion"/>
  </si>
  <si>
    <t>附件上传失败弹出相关提示文件总大小不能超过1M</t>
    <phoneticPr fontId="57" type="noConversion"/>
  </si>
  <si>
    <t>添加问题可用性校验</t>
    <phoneticPr fontId="44" type="noConversion"/>
  </si>
  <si>
    <t>删除问题可用性校验</t>
    <phoneticPr fontId="44" type="noConversion"/>
  </si>
  <si>
    <t>页面多出一问题供用户填写</t>
    <phoneticPr fontId="57" type="noConversion"/>
  </si>
  <si>
    <t>该问题小类从页面消失</t>
    <phoneticPr fontId="57" type="noConversion"/>
  </si>
  <si>
    <t>问题填写200个字符可行性校验</t>
    <phoneticPr fontId="44" type="noConversion"/>
  </si>
  <si>
    <t>1.填写一个问题至200字符
2.其他正常填写
3.点击“提交”</t>
    <phoneticPr fontId="57" type="noConversion"/>
  </si>
  <si>
    <t>提交成功并且能在运行月报告查询中查询到相关记录</t>
    <phoneticPr fontId="57" type="noConversion"/>
  </si>
  <si>
    <t>问题填写201个字符可行性校验</t>
    <phoneticPr fontId="44" type="noConversion"/>
  </si>
  <si>
    <t>1.填写一个问题至201字符
2.其他正常填写
3.点击“提交”</t>
    <phoneticPr fontId="57" type="noConversion"/>
  </si>
  <si>
    <t>提交失败并给与相关提示</t>
    <phoneticPr fontId="57" type="noConversion"/>
  </si>
  <si>
    <t>上报日期、上报人、航站自动填充正确性校验</t>
    <phoneticPr fontId="44" type="noConversion"/>
  </si>
  <si>
    <t>自动根据登录账号的相关信息自动填写</t>
    <phoneticPr fontId="44" type="noConversion"/>
  </si>
  <si>
    <t>问题大类搜索正确性校验</t>
    <phoneticPr fontId="57" type="noConversion"/>
  </si>
  <si>
    <r>
      <t>1</t>
    </r>
    <r>
      <rPr>
        <sz val="10"/>
        <rFont val="宋体"/>
        <family val="3"/>
        <charset val="134"/>
      </rPr>
      <t>.选择问题大类
2.点击搜索</t>
    </r>
    <phoneticPr fontId="57" type="noConversion"/>
  </si>
  <si>
    <t>问题大类必填性校验</t>
    <phoneticPr fontId="57" type="noConversion"/>
  </si>
  <si>
    <t>问题小类必填性校验</t>
    <phoneticPr fontId="57" type="noConversion"/>
  </si>
  <si>
    <t>填写说明必填性校验</t>
    <phoneticPr fontId="57" type="noConversion"/>
  </si>
  <si>
    <t>添加失败弹出相关提示</t>
    <phoneticPr fontId="57" type="noConversion"/>
  </si>
  <si>
    <t>页面多出一组问题小类供用户填写</t>
    <phoneticPr fontId="57" type="noConversion"/>
  </si>
  <si>
    <t>问题小类修改为空可行性校验</t>
    <phoneticPr fontId="44" type="noConversion"/>
  </si>
  <si>
    <t>1.将问题小类修改为空
2.点击提交</t>
    <phoneticPr fontId="57" type="noConversion"/>
  </si>
  <si>
    <t>填写说明修改为空可行性校验</t>
    <phoneticPr fontId="44" type="noConversion"/>
  </si>
  <si>
    <t>1.将填写说明修改为空
2.点击提交</t>
    <phoneticPr fontId="57" type="noConversion"/>
  </si>
  <si>
    <t>修改失败弹出相关提示</t>
    <phoneticPr fontId="57" type="noConversion"/>
  </si>
  <si>
    <t>单条件大区查询正确性校验</t>
    <phoneticPr fontId="46" type="noConversion"/>
  </si>
  <si>
    <t>1.点击查看</t>
    <phoneticPr fontId="44" type="noConversion"/>
  </si>
  <si>
    <t>进入月报告详情查看页面，页面内容格式与添加月报告格式一致并且部分内容与页面展示数据一致</t>
    <phoneticPr fontId="57" type="noConversion"/>
  </si>
  <si>
    <t>进入指定问题类别维护详情查看页面，页面内容格式与添加问题维护类别格式一致并且部分内容与页面展示数据一致</t>
    <phoneticPr fontId="57" type="noConversion"/>
  </si>
  <si>
    <t>筛选出对应大区的运行月报告上报率</t>
    <phoneticPr fontId="44" type="noConversion"/>
  </si>
  <si>
    <t>筛选出对应日期全部大区的运行月报告上报率</t>
    <phoneticPr fontId="44" type="noConversion"/>
  </si>
  <si>
    <t>1.输入航站
2.点击“搜索”</t>
    <phoneticPr fontId="44" type="noConversion"/>
  </si>
  <si>
    <t>筛选出对应航站的运行月报告上报率</t>
    <phoneticPr fontId="44" type="noConversion"/>
  </si>
  <si>
    <t>时间控件的合法性校验</t>
    <phoneticPr fontId="44" type="noConversion"/>
  </si>
  <si>
    <t>筛选出对应航站日期内的运行月报告上报率</t>
    <phoneticPr fontId="44" type="noConversion"/>
  </si>
  <si>
    <t>1.选择日期
2.选择大区
3.输入航站
4.点击“搜索”</t>
    <phoneticPr fontId="44" type="noConversion"/>
  </si>
  <si>
    <t>通讯录</t>
    <phoneticPr fontId="44" type="noConversion"/>
  </si>
  <si>
    <t>通讯录操作</t>
    <phoneticPr fontId="44" type="noConversion"/>
  </si>
  <si>
    <r>
      <t>T</t>
    </r>
    <r>
      <rPr>
        <sz val="10.5"/>
        <rFont val="宋体"/>
        <family val="3"/>
        <charset val="134"/>
      </rPr>
      <t>XCZ</t>
    </r>
    <phoneticPr fontId="44" type="noConversion"/>
  </si>
  <si>
    <t>下载有效性校验</t>
    <phoneticPr fontId="46" type="noConversion"/>
  </si>
  <si>
    <t>1.点击“下载”
2.选择路径
3.点击“确定”</t>
    <phoneticPr fontId="44" type="noConversion"/>
  </si>
  <si>
    <t>将通讯录下载到指定路径打开无错误</t>
    <phoneticPr fontId="61" type="noConversion"/>
  </si>
  <si>
    <t>下载覆盖有效性校验</t>
    <phoneticPr fontId="46" type="noConversion"/>
  </si>
  <si>
    <t>路径下存在同名文件</t>
    <phoneticPr fontId="61" type="noConversion"/>
  </si>
  <si>
    <t>1.点击“下载”
2.选择路径
3.点击“确定”，弹出覆盖选择框
4.点击确定</t>
    <phoneticPr fontId="44" type="noConversion"/>
  </si>
  <si>
    <t>覆盖路径下存在的同名文件</t>
    <phoneticPr fontId="61" type="noConversion"/>
  </si>
  <si>
    <t>上传有效性校验</t>
    <phoneticPr fontId="46" type="noConversion"/>
  </si>
  <si>
    <t>1.点击“上传”
2.选择路径
3.点击“确定”
4.下载通讯录文件</t>
    <phoneticPr fontId="44" type="noConversion"/>
  </si>
  <si>
    <t>下载的通讯录文件与上传文件一致</t>
    <phoneticPr fontId="61" type="noConversion"/>
  </si>
  <si>
    <t>用例描述</t>
    <phoneticPr fontId="44" type="noConversion"/>
  </si>
  <si>
    <t>1.输入航站代码
2.点击搜索</t>
    <phoneticPr fontId="44" type="noConversion"/>
  </si>
  <si>
    <t>1.输入员工号
2.点击搜索</t>
    <phoneticPr fontId="44" type="noConversion"/>
  </si>
  <si>
    <t>1.输入离岗时间
2.点击搜索</t>
    <phoneticPr fontId="44" type="noConversion"/>
  </si>
  <si>
    <r>
      <t xml:space="preserve">1.选择一条报备数据
</t>
    </r>
    <r>
      <rPr>
        <sz val="10"/>
        <rFont val="宋体"/>
        <family val="3"/>
        <charset val="134"/>
      </rPr>
      <t>2</t>
    </r>
    <r>
      <rPr>
        <sz val="10"/>
        <rFont val="宋体"/>
        <family val="3"/>
        <charset val="134"/>
      </rPr>
      <t>.点击删除</t>
    </r>
    <phoneticPr fontId="44" type="noConversion"/>
  </si>
  <si>
    <t>1.姓名框输入中文姓名
2.点击搜索</t>
    <phoneticPr fontId="44" type="noConversion"/>
  </si>
  <si>
    <t>1.姓名框输入外文姓名
4.点击搜索</t>
    <phoneticPr fontId="44" type="noConversion"/>
  </si>
  <si>
    <t>1.输入页码
2.按下回车</t>
    <phoneticPr fontId="44" type="noConversion"/>
  </si>
  <si>
    <t>高</t>
  </si>
  <si>
    <t>中</t>
  </si>
  <si>
    <t>离岗报备审批</t>
    <phoneticPr fontId="44" type="noConversion"/>
  </si>
  <si>
    <t>低</t>
  </si>
  <si>
    <t>（六）优先级评定</t>
    <phoneticPr fontId="44" type="noConversion"/>
  </si>
  <si>
    <t>BVTs(Build Verification Tests):冒烟测试，最近1个月出现bug的用例</t>
    <phoneticPr fontId="44" type="noConversion"/>
  </si>
  <si>
    <t>高（Highs）：最常执行以保证功能性是稳定的，目标的行为和能力可以正常的工作，和重要的错误和边界被测试的测试用例的集合。</t>
    <phoneticPr fontId="44" type="noConversion"/>
  </si>
  <si>
    <t>中(Mediums)：这是使给出的功能区域或功能变得更详细，检查功能的多数方面包括边界，错误和配置测试的测试用例。</t>
    <phoneticPr fontId="44" type="noConversion"/>
  </si>
  <si>
    <t>低(Lows)：这是通常最少被执行的测试用例。但这并不意味着这些测试都不重要，只是说他们在项目的生命期间里不是常常被运行，例如GUI，错误信息，可用性，压力和性能测试。</t>
    <phoneticPr fontId="44" type="noConversion"/>
  </si>
  <si>
    <r>
      <t>1</t>
    </r>
    <r>
      <rPr>
        <sz val="10"/>
        <rFont val="宋体"/>
        <family val="3"/>
        <charset val="134"/>
      </rPr>
      <t>.</t>
    </r>
    <r>
      <rPr>
        <sz val="10"/>
        <rFont val="宋体"/>
        <family val="3"/>
        <charset val="134"/>
      </rPr>
      <t xml:space="preserve">总部人员身份
</t>
    </r>
    <r>
      <rPr>
        <sz val="10"/>
        <rFont val="宋体"/>
        <family val="3"/>
        <charset val="134"/>
      </rPr>
      <t>2.</t>
    </r>
    <r>
      <rPr>
        <sz val="10"/>
        <rFont val="宋体"/>
        <family val="3"/>
        <charset val="134"/>
      </rPr>
      <t>进入问题类别维护界面</t>
    </r>
    <phoneticPr fontId="57" type="noConversion"/>
  </si>
  <si>
    <r>
      <t>1.</t>
    </r>
    <r>
      <rPr>
        <sz val="10"/>
        <rFont val="宋体"/>
        <family val="3"/>
        <charset val="134"/>
      </rPr>
      <t xml:space="preserve">总部人员身份
</t>
    </r>
    <r>
      <rPr>
        <sz val="10"/>
        <rFont val="宋体"/>
        <family val="3"/>
        <charset val="134"/>
      </rPr>
      <t>2.</t>
    </r>
    <r>
      <rPr>
        <sz val="10"/>
        <rFont val="宋体"/>
        <family val="3"/>
        <charset val="134"/>
      </rPr>
      <t>进入问题类别维护添加界面</t>
    </r>
    <phoneticPr fontId="57" type="noConversion"/>
  </si>
  <si>
    <r>
      <t>1</t>
    </r>
    <r>
      <rPr>
        <sz val="10"/>
        <rFont val="宋体"/>
        <family val="3"/>
        <charset val="134"/>
      </rPr>
      <t>.</t>
    </r>
    <r>
      <rPr>
        <sz val="10"/>
        <rFont val="宋体"/>
        <family val="3"/>
        <charset val="134"/>
      </rPr>
      <t xml:space="preserve">总部人员身份
</t>
    </r>
    <r>
      <rPr>
        <sz val="10"/>
        <rFont val="宋体"/>
        <family val="3"/>
        <charset val="134"/>
      </rPr>
      <t>2.</t>
    </r>
    <r>
      <rPr>
        <sz val="10"/>
        <rFont val="宋体"/>
        <family val="3"/>
        <charset val="134"/>
      </rPr>
      <t>进入运行月报告上报率统计界面</t>
    </r>
    <phoneticPr fontId="44" type="noConversion"/>
  </si>
  <si>
    <r>
      <t>1</t>
    </r>
    <r>
      <rPr>
        <sz val="10"/>
        <rFont val="宋体"/>
        <family val="3"/>
        <charset val="134"/>
      </rPr>
      <t>.</t>
    </r>
    <r>
      <rPr>
        <sz val="10"/>
        <rFont val="宋体"/>
        <family val="3"/>
        <charset val="134"/>
      </rPr>
      <t xml:space="preserve">航站人员身份
</t>
    </r>
    <r>
      <rPr>
        <sz val="10"/>
        <rFont val="宋体"/>
        <family val="3"/>
        <charset val="134"/>
      </rPr>
      <t>2.</t>
    </r>
    <r>
      <rPr>
        <sz val="10"/>
        <rFont val="宋体"/>
        <family val="3"/>
        <charset val="134"/>
      </rPr>
      <t>进入通讯录界面</t>
    </r>
    <phoneticPr fontId="44" type="noConversion"/>
  </si>
  <si>
    <r>
      <t>1.总部</t>
    </r>
    <r>
      <rPr>
        <sz val="10"/>
        <rFont val="宋体"/>
        <family val="3"/>
        <charset val="134"/>
      </rPr>
      <t xml:space="preserve">人员身份
</t>
    </r>
    <r>
      <rPr>
        <sz val="10"/>
        <rFont val="宋体"/>
        <family val="3"/>
        <charset val="134"/>
      </rPr>
      <t>2.进入通讯录界面</t>
    </r>
    <r>
      <rPr>
        <sz val="10"/>
        <rFont val="宋体"/>
        <family val="3"/>
        <charset val="134"/>
      </rPr>
      <t/>
    </r>
    <phoneticPr fontId="61" type="noConversion"/>
  </si>
  <si>
    <t>Jiny</t>
    <phoneticPr fontId="44" type="noConversion"/>
  </si>
  <si>
    <t>1.出国旅行
2.2017-10-1~2017-10-07
3.442444109@qq.com
4.袁健康</t>
    <phoneticPr fontId="44" type="noConversion"/>
  </si>
  <si>
    <t>pek</t>
    <phoneticPr fontId="44" type="noConversion"/>
  </si>
  <si>
    <t>2017-10-11~2017-11-12</t>
    <phoneticPr fontId="44" type="noConversion"/>
  </si>
  <si>
    <t>2017-12-11~2017-11-12</t>
    <phoneticPr fontId="44" type="noConversion"/>
  </si>
  <si>
    <t>vvv</t>
    <phoneticPr fontId="44" type="noConversion"/>
  </si>
  <si>
    <t>VVV</t>
    <phoneticPr fontId="44" type="noConversion"/>
  </si>
  <si>
    <t>袁健康</t>
    <phoneticPr fontId="44" type="noConversion"/>
  </si>
  <si>
    <t>1.出国旅行
2.2017-10-1~2017-10-07
3.13829362187
4.442444109@qq.com
5.18819114017
6.1104628946@qq.com</t>
    <phoneticPr fontId="44" type="noConversion"/>
  </si>
  <si>
    <t>1.选择事由
2.输入离岗时间
3.输入电话
4.输入邮箱
5.输入负责人电话
6.输入负责人邮箱
7.勾选内部同意
8.点击添加</t>
    <phoneticPr fontId="44" type="noConversion"/>
  </si>
  <si>
    <t>1.选择事由
2.输入离岗时间
3.输入电话
4.输入邮箱
5.输入负责人
6.点击添加</t>
    <phoneticPr fontId="44" type="noConversion"/>
  </si>
  <si>
    <r>
      <t>1.选择事由
2.输入电话
3.输入邮箱
4.输入负责人
5.勾选内部同意</t>
    </r>
    <r>
      <rPr>
        <sz val="10"/>
        <rFont val="宋体"/>
        <family val="3"/>
        <charset val="134"/>
      </rPr>
      <t xml:space="preserve">
</t>
    </r>
    <r>
      <rPr>
        <sz val="10"/>
        <rFont val="宋体"/>
        <family val="3"/>
        <charset val="134"/>
      </rPr>
      <t>6</t>
    </r>
    <r>
      <rPr>
        <sz val="10"/>
        <rFont val="宋体"/>
        <family val="3"/>
        <charset val="134"/>
      </rPr>
      <t>.点击添加</t>
    </r>
    <phoneticPr fontId="44" type="noConversion"/>
  </si>
  <si>
    <r>
      <t>1.选择事由
2.输入离岗时间
3.输入邮箱
4.输入负责人</t>
    </r>
    <r>
      <rPr>
        <sz val="10"/>
        <rFont val="宋体"/>
        <family val="3"/>
        <charset val="134"/>
      </rPr>
      <t xml:space="preserve">
</t>
    </r>
    <r>
      <rPr>
        <sz val="10"/>
        <rFont val="宋体"/>
        <family val="3"/>
        <charset val="134"/>
      </rPr>
      <t>5.勾选内部同意</t>
    </r>
    <r>
      <rPr>
        <sz val="10"/>
        <rFont val="宋体"/>
        <family val="3"/>
        <charset val="134"/>
      </rPr>
      <t xml:space="preserve">
</t>
    </r>
    <r>
      <rPr>
        <sz val="10"/>
        <rFont val="宋体"/>
        <family val="3"/>
        <charset val="134"/>
      </rPr>
      <t>6</t>
    </r>
    <r>
      <rPr>
        <sz val="10"/>
        <rFont val="宋体"/>
        <family val="3"/>
        <charset val="134"/>
      </rPr>
      <t>.点击添加</t>
    </r>
    <phoneticPr fontId="44" type="noConversion"/>
  </si>
  <si>
    <r>
      <t>1.选择事由
2.输入离岗时间
3.输入电话
4.选择负责人</t>
    </r>
    <r>
      <rPr>
        <sz val="10"/>
        <rFont val="宋体"/>
        <family val="3"/>
        <charset val="134"/>
      </rPr>
      <t xml:space="preserve">
</t>
    </r>
    <r>
      <rPr>
        <sz val="10"/>
        <rFont val="宋体"/>
        <family val="3"/>
        <charset val="134"/>
      </rPr>
      <t>5.勾选内部同意</t>
    </r>
    <r>
      <rPr>
        <sz val="10"/>
        <rFont val="宋体"/>
        <family val="3"/>
        <charset val="134"/>
      </rPr>
      <t xml:space="preserve">
</t>
    </r>
    <r>
      <rPr>
        <sz val="10"/>
        <rFont val="宋体"/>
        <family val="3"/>
        <charset val="134"/>
      </rPr>
      <t>6</t>
    </r>
    <r>
      <rPr>
        <sz val="10"/>
        <rFont val="宋体"/>
        <family val="3"/>
        <charset val="134"/>
      </rPr>
      <t>.点击添加</t>
    </r>
    <phoneticPr fontId="44" type="noConversion"/>
  </si>
  <si>
    <t>1.出国旅行
2.2017-10-1~2017-10-07
3.13829362187
4.袁健康</t>
    <phoneticPr fontId="44" type="noConversion"/>
  </si>
  <si>
    <t xml:space="preserve">1.出国旅行
2.13829362187
3.442444109@qq.com
4.袁健康
</t>
    <phoneticPr fontId="44" type="noConversion"/>
  </si>
  <si>
    <t>1.出国旅行
2.2017-10-1~2017-10-07
3.13829362187
4.442444109@qq.com
5.袁健康</t>
    <phoneticPr fontId="44" type="noConversion"/>
  </si>
  <si>
    <r>
      <t xml:space="preserve">1.选择事由
2.输入离岗时间
3.输入电话
4.输入邮箱
5.输入负责人
</t>
    </r>
    <r>
      <rPr>
        <sz val="10"/>
        <rFont val="宋体"/>
        <family val="3"/>
        <charset val="134"/>
      </rPr>
      <t>6.勾选内部审批</t>
    </r>
    <r>
      <rPr>
        <sz val="10"/>
        <rFont val="宋体"/>
        <family val="3"/>
        <charset val="134"/>
      </rPr>
      <t xml:space="preserve">
</t>
    </r>
    <r>
      <rPr>
        <sz val="10"/>
        <rFont val="宋体"/>
        <family val="3"/>
        <charset val="134"/>
      </rPr>
      <t>7</t>
    </r>
    <r>
      <rPr>
        <sz val="10"/>
        <rFont val="宋体"/>
        <family val="3"/>
        <charset val="134"/>
      </rPr>
      <t>.点击添加</t>
    </r>
    <phoneticPr fontId="44" type="noConversion"/>
  </si>
  <si>
    <t>1.出国旅行
2.2017-10-11~2017-10-07
3.13829362187
4.442444109@qq.com
5.袁健康</t>
    <phoneticPr fontId="44" type="noConversion"/>
  </si>
  <si>
    <t>1.出国旅行
2.2017-10-11~2017-10-07
3.13829362187
4.442444109qq.com
5.袁健康</t>
    <phoneticPr fontId="44" type="noConversion"/>
  </si>
  <si>
    <r>
      <t xml:space="preserve">1.选择事由
2.输入离岗时间
3.输入电话
4.输入邮箱
5.输入负责人
</t>
    </r>
    <r>
      <rPr>
        <sz val="10"/>
        <rFont val="宋体"/>
        <family val="3"/>
        <charset val="134"/>
      </rPr>
      <t>6.勾选内部审批</t>
    </r>
    <r>
      <rPr>
        <sz val="10"/>
        <rFont val="宋体"/>
        <family val="3"/>
        <charset val="134"/>
      </rPr>
      <t xml:space="preserve">
</t>
    </r>
    <r>
      <rPr>
        <sz val="10"/>
        <rFont val="宋体"/>
        <family val="3"/>
        <charset val="134"/>
      </rPr>
      <t>8.点击添加</t>
    </r>
    <r>
      <rPr>
        <sz val="10"/>
        <rFont val="宋体"/>
        <family val="3"/>
        <charset val="134"/>
      </rPr>
      <t/>
    </r>
  </si>
  <si>
    <r>
      <t xml:space="preserve">1.选择事由
2.输入离岗时间
3.输入电话
4.输入邮箱
5.输入负责人
</t>
    </r>
    <r>
      <rPr>
        <sz val="10"/>
        <rFont val="宋体"/>
        <family val="3"/>
        <charset val="134"/>
      </rPr>
      <t>6.勾选内部审批</t>
    </r>
    <r>
      <rPr>
        <sz val="10"/>
        <rFont val="宋体"/>
        <family val="3"/>
        <charset val="134"/>
      </rPr>
      <t xml:space="preserve">
</t>
    </r>
    <r>
      <rPr>
        <sz val="10"/>
        <rFont val="宋体"/>
        <family val="3"/>
        <charset val="134"/>
      </rPr>
      <t>9.点击添加</t>
    </r>
    <r>
      <rPr>
        <sz val="10"/>
        <rFont val="宋体"/>
        <family val="3"/>
        <charset val="134"/>
      </rPr>
      <t/>
    </r>
  </si>
  <si>
    <t>1.出国旅行
2.2017-10-11~2017-10-07
3.13829362187
4.442444109@qqcom
5.袁健康</t>
    <phoneticPr fontId="44" type="noConversion"/>
  </si>
  <si>
    <t>1.出国旅行
2.2017-10-11~2017-10-07
3.13829362187
4.fg%^125487@qq.com
5.袁健康</t>
    <phoneticPr fontId="44" type="noConversion"/>
  </si>
  <si>
    <r>
      <t>P</t>
    </r>
    <r>
      <rPr>
        <sz val="10"/>
        <rFont val="宋体"/>
        <family val="3"/>
        <charset val="134"/>
      </rPr>
      <t>EK</t>
    </r>
    <phoneticPr fontId="44" type="noConversion"/>
  </si>
  <si>
    <r>
      <t>2</t>
    </r>
    <r>
      <rPr>
        <sz val="10"/>
        <rFont val="宋体"/>
        <family val="3"/>
        <charset val="134"/>
      </rPr>
      <t>017-12-01~2017-12-21</t>
    </r>
    <phoneticPr fontId="44" type="noConversion"/>
  </si>
  <si>
    <t>1.选择在岗状态
2.点击“搜索”</t>
    <phoneticPr fontId="44" type="noConversion"/>
  </si>
  <si>
    <t>在岗</t>
  </si>
  <si>
    <t>不在岗</t>
  </si>
  <si>
    <r>
      <t>P</t>
    </r>
    <r>
      <rPr>
        <sz val="10"/>
        <rFont val="宋体"/>
        <family val="3"/>
        <charset val="134"/>
      </rPr>
      <t>LL</t>
    </r>
    <phoneticPr fontId="44" type="noConversion"/>
  </si>
  <si>
    <t>2017-12-22~2017-12-21</t>
    <phoneticPr fontId="44" type="noConversion"/>
  </si>
  <si>
    <t>1.2017-12-05~2017-12-06
2.在岗
3.PEK</t>
    <phoneticPr fontId="44" type="noConversion"/>
  </si>
  <si>
    <t>1.选择日期
2.选择在岗状态
3.输入航站
4.点击“搜索”</t>
    <phoneticPr fontId="44" type="noConversion"/>
  </si>
  <si>
    <t>负责人姓名、电话、邮箱都不显示</t>
    <phoneticPr fontId="44" type="noConversion"/>
  </si>
  <si>
    <t>站长显示常规联系方式</t>
  </si>
  <si>
    <t>站长未离岗时负责人相关信息的正确性校验</t>
    <phoneticPr fontId="46" type="noConversion"/>
  </si>
  <si>
    <t>站长未离岗时站长相关信息的正确性校验</t>
    <phoneticPr fontId="46" type="noConversion"/>
  </si>
  <si>
    <t>0</t>
    <phoneticPr fontId="44" type="noConversion"/>
  </si>
  <si>
    <t>2</t>
    <phoneticPr fontId="44" type="noConversion"/>
  </si>
  <si>
    <t>P</t>
    <phoneticPr fontId="44" type="noConversion"/>
  </si>
  <si>
    <t>2017-02-11~2017-03-12</t>
    <phoneticPr fontId="44" type="noConversion"/>
  </si>
  <si>
    <r>
      <t>C</t>
    </r>
    <r>
      <rPr>
        <sz val="10"/>
        <rFont val="宋体"/>
        <family val="3"/>
        <charset val="134"/>
      </rPr>
      <t>AN</t>
    </r>
    <phoneticPr fontId="44" type="noConversion"/>
  </si>
  <si>
    <r>
      <t>2017-0</t>
    </r>
    <r>
      <rPr>
        <sz val="10"/>
        <rFont val="宋体"/>
        <family val="3"/>
        <charset val="134"/>
      </rPr>
      <t>2</t>
    </r>
    <r>
      <rPr>
        <sz val="10"/>
        <rFont val="宋体"/>
        <family val="3"/>
        <charset val="134"/>
      </rPr>
      <t>-11~2017-0</t>
    </r>
    <r>
      <rPr>
        <sz val="10"/>
        <rFont val="宋体"/>
        <family val="3"/>
        <charset val="134"/>
      </rPr>
      <t>1</t>
    </r>
    <r>
      <rPr>
        <sz val="10"/>
        <rFont val="宋体"/>
        <family val="3"/>
        <charset val="134"/>
      </rPr>
      <t>-12</t>
    </r>
    <phoneticPr fontId="44" type="noConversion"/>
  </si>
  <si>
    <t>出国旅行</t>
    <phoneticPr fontId="44" type="noConversion"/>
  </si>
  <si>
    <r>
      <t>P</t>
    </r>
    <r>
      <rPr>
        <sz val="10"/>
        <rFont val="宋体"/>
        <family val="3"/>
        <charset val="134"/>
      </rPr>
      <t>PO</t>
    </r>
    <phoneticPr fontId="44" type="noConversion"/>
  </si>
  <si>
    <t>1.出国旅行
2.CAN
3.2017-01-11~2017-02-12</t>
    <phoneticPr fontId="44" type="noConversion"/>
  </si>
  <si>
    <t>pv</t>
    <phoneticPr fontId="44" type="noConversion"/>
  </si>
  <si>
    <r>
      <t>2</t>
    </r>
    <r>
      <rPr>
        <sz val="10"/>
        <rFont val="宋体"/>
        <family val="3"/>
        <charset val="134"/>
      </rPr>
      <t>018-02-05~2018-02-11</t>
    </r>
    <phoneticPr fontId="44" type="noConversion"/>
  </si>
  <si>
    <t>1.勾选未上报
2.点击“搜索”</t>
    <phoneticPr fontId="44" type="noConversion"/>
  </si>
  <si>
    <r>
      <t>A</t>
    </r>
    <r>
      <rPr>
        <sz val="10"/>
        <rFont val="宋体"/>
        <family val="3"/>
        <charset val="134"/>
      </rPr>
      <t>SX</t>
    </r>
    <phoneticPr fontId="44" type="noConversion"/>
  </si>
  <si>
    <t>2018-02-05~2018-01-11</t>
    <phoneticPr fontId="44" type="noConversion"/>
  </si>
  <si>
    <t>页码点击翻页正确性校验</t>
    <phoneticPr fontId="46" type="noConversion"/>
  </si>
  <si>
    <t>1.点击"2"跳转到第二页</t>
    <phoneticPr fontId="44" type="noConversion"/>
  </si>
  <si>
    <t>安全生产情况</t>
    <phoneticPr fontId="44" type="noConversion"/>
  </si>
  <si>
    <t>危险品描述</t>
    <phoneticPr fontId="44" type="noConversion"/>
  </si>
  <si>
    <r>
      <t>2</t>
    </r>
    <r>
      <rPr>
        <sz val="10"/>
        <rFont val="宋体"/>
        <family val="3"/>
        <charset val="134"/>
      </rPr>
      <t>017-01-11~2017-02-23</t>
    </r>
    <phoneticPr fontId="44" type="noConversion"/>
  </si>
  <si>
    <t>1.安全生产情况
2.CAN
3.2017-01-11~2017-02-23
4.危险品描述</t>
    <phoneticPr fontId="44" type="noConversion"/>
  </si>
  <si>
    <t>空导出功能有效性校验</t>
    <phoneticPr fontId="44" type="noConversion"/>
  </si>
  <si>
    <t>1.点击“导出”</t>
    <phoneticPr fontId="44" type="noConversion"/>
  </si>
  <si>
    <t>1.2017-12-05~2017-12-06
2.在岗</t>
    <phoneticPr fontId="44" type="noConversion"/>
  </si>
  <si>
    <r>
      <t xml:space="preserve">1.选择日期
2.选择在岗状态
</t>
    </r>
    <r>
      <rPr>
        <sz val="10"/>
        <rFont val="宋体"/>
        <family val="3"/>
        <charset val="134"/>
      </rPr>
      <t>3</t>
    </r>
    <r>
      <rPr>
        <sz val="10"/>
        <rFont val="宋体"/>
        <family val="3"/>
        <charset val="134"/>
      </rPr>
      <t>.点击搜索</t>
    </r>
    <phoneticPr fontId="44" type="noConversion"/>
  </si>
  <si>
    <t>导出一个空的Excel</t>
    <phoneticPr fontId="44" type="noConversion"/>
  </si>
  <si>
    <t>1.点击页码跳转到第二页</t>
    <phoneticPr fontId="44" type="noConversion"/>
  </si>
  <si>
    <t>1.点击添加</t>
    <phoneticPr fontId="44" type="noConversion"/>
  </si>
  <si>
    <t>1.点击下一页图标</t>
    <phoneticPr fontId="44" type="noConversion"/>
  </si>
  <si>
    <t>1.跳转至第二页
2.点击上一页图标</t>
    <phoneticPr fontId="44" type="noConversion"/>
  </si>
  <si>
    <t>1.添加问题小类</t>
    <phoneticPr fontId="57" type="noConversion"/>
  </si>
  <si>
    <t>1.删除第二个问题小类</t>
    <phoneticPr fontId="57" type="noConversion"/>
  </si>
  <si>
    <r>
      <t>P</t>
    </r>
    <r>
      <rPr>
        <sz val="10"/>
        <rFont val="宋体"/>
        <family val="3"/>
        <charset val="134"/>
      </rPr>
      <t>PL</t>
    </r>
    <phoneticPr fontId="44" type="noConversion"/>
  </si>
  <si>
    <t>华南</t>
    <phoneticPr fontId="57" type="noConversion"/>
  </si>
  <si>
    <r>
      <t>C</t>
    </r>
    <r>
      <rPr>
        <sz val="10"/>
        <rFont val="宋体"/>
        <family val="3"/>
        <charset val="134"/>
      </rPr>
      <t>AN</t>
    </r>
    <phoneticPr fontId="57" type="noConversion"/>
  </si>
  <si>
    <t>2018-01-11~2018-01-08</t>
    <phoneticPr fontId="44" type="noConversion"/>
  </si>
  <si>
    <t>2018-01-11~2018-02-08</t>
    <phoneticPr fontId="44" type="noConversion"/>
  </si>
  <si>
    <t>1.点击页码跳转</t>
    <phoneticPr fontId="44" type="noConversion"/>
  </si>
  <si>
    <t>筛选记录的员工号与测试数据相同</t>
    <phoneticPr fontId="44" type="noConversion"/>
  </si>
  <si>
    <t>1.总部人员身份
2.进入运行月报告查询界面</t>
  </si>
  <si>
    <t>1.总部人员身份
2.进入运行月报告问题查询界面</t>
  </si>
  <si>
    <t>1.总部人员身份
2.进入运行月报告问题查询界面
3.存在三页及以上的记录</t>
  </si>
  <si>
    <t>1.总部人员身份
2.进入运行月报告上报页面</t>
  </si>
  <si>
    <t>1.总部人员身份
2.进入运行月报告上报页面
3.填写说明处于展开状态</t>
  </si>
  <si>
    <t>记录被删除并且刷新页面后该数据消失</t>
    <phoneticPr fontId="44" type="noConversion"/>
  </si>
  <si>
    <t>页面记录数正确性校验</t>
    <phoneticPr fontId="46" type="noConversion"/>
  </si>
  <si>
    <t>页面记录显示数量为20条</t>
    <phoneticPr fontId="44" type="noConversion"/>
  </si>
  <si>
    <t>跳转页面后页面记录数正确性校验</t>
    <phoneticPr fontId="46" type="noConversion"/>
  </si>
  <si>
    <t>跳转页面后查询条件正确性校验</t>
    <phoneticPr fontId="46" type="noConversion"/>
  </si>
  <si>
    <t>1.输入航站
2.点击搜索
3.点击下一页</t>
    <phoneticPr fontId="44" type="noConversion"/>
  </si>
  <si>
    <r>
      <t>P</t>
    </r>
    <r>
      <rPr>
        <sz val="10"/>
        <rFont val="宋体"/>
        <family val="3"/>
        <charset val="134"/>
      </rPr>
      <t>EK</t>
    </r>
    <phoneticPr fontId="44" type="noConversion"/>
  </si>
  <si>
    <t>搜索条件框数据不变，页面记录的航站都与测试数据相同</t>
    <phoneticPr fontId="44" type="noConversion"/>
  </si>
  <si>
    <t>1.总部人员身份
2.进入运行月报告问题查询界面
3.存在三页及以上记录</t>
  </si>
  <si>
    <t>跳转到第三页，当前页码为2</t>
    <phoneticPr fontId="44" type="noConversion"/>
  </si>
  <si>
    <t>1.输入问题大类
2.点击搜索
3.点击下一页</t>
    <phoneticPr fontId="44" type="noConversion"/>
  </si>
  <si>
    <t>航站运作情况</t>
    <phoneticPr fontId="44" type="noConversion"/>
  </si>
  <si>
    <t>搜索条件框数据不变，页面记录的问题大类都与测试数据相同</t>
    <phoneticPr fontId="44" type="noConversion"/>
  </si>
  <si>
    <t>1.选择华南大区
2.点击搜索
3.点击下一页</t>
    <phoneticPr fontId="44" type="noConversion"/>
  </si>
  <si>
    <t>搜索条件框数据不变，页面记录的大区都与测试数据相同</t>
    <phoneticPr fontId="44" type="noConversion"/>
  </si>
  <si>
    <r>
      <t>1.</t>
    </r>
    <r>
      <rPr>
        <sz val="10"/>
        <rFont val="宋体"/>
        <family val="3"/>
        <charset val="134"/>
      </rPr>
      <t>总部人员身份
2.进入问题类别维护修改界面</t>
    </r>
    <phoneticPr fontId="57" type="noConversion"/>
  </si>
  <si>
    <r>
      <t>1.</t>
    </r>
    <r>
      <rPr>
        <sz val="10"/>
        <rFont val="宋体"/>
        <family val="3"/>
        <charset val="134"/>
      </rPr>
      <t xml:space="preserve">总部人员身份
</t>
    </r>
    <r>
      <rPr>
        <sz val="10"/>
        <rFont val="宋体"/>
        <family val="3"/>
        <charset val="134"/>
      </rPr>
      <t>2.</t>
    </r>
    <r>
      <rPr>
        <sz val="10"/>
        <rFont val="宋体"/>
        <family val="3"/>
        <charset val="134"/>
      </rPr>
      <t xml:space="preserve">进入问题类别维护界面
</t>
    </r>
    <r>
      <rPr>
        <sz val="10"/>
        <rFont val="宋体"/>
        <family val="3"/>
        <charset val="134"/>
      </rPr>
      <t>3.数据展示区不为空</t>
    </r>
    <phoneticPr fontId="57" type="noConversion"/>
  </si>
  <si>
    <t>问题类别维护修改</t>
  </si>
  <si>
    <t>问题类别维护添加</t>
  </si>
  <si>
    <t>问题类别维护查询</t>
    <phoneticPr fontId="57" type="noConversion"/>
  </si>
  <si>
    <t>1.1340121138
2.PEK
3.2017-10-11~2017-11-12
4.杨国军</t>
    <phoneticPr fontId="44" type="noConversion"/>
  </si>
  <si>
    <t>1.1340121138
2.杨国军
3.PPL
4.2017-10-11~2017-11-12</t>
    <phoneticPr fontId="44" type="noConversion"/>
  </si>
  <si>
    <t>1.1235487954
2.杨国军
3.PEK
4.2017-10-11~2017-11-12</t>
    <phoneticPr fontId="44" type="noConversion"/>
  </si>
  <si>
    <t>1.1340121138
2.杨开运
3.PEK
4.2017-10-11~2017-11-12</t>
    <phoneticPr fontId="44" type="noConversion"/>
  </si>
  <si>
    <r>
      <t xml:space="preserve">1.输入员工号
2.输入姓名
3.输入航站
</t>
    </r>
    <r>
      <rPr>
        <sz val="10"/>
        <rFont val="宋体"/>
        <family val="3"/>
        <charset val="134"/>
      </rPr>
      <t>4.选择离岗时间
5.点击搜索</t>
    </r>
    <phoneticPr fontId="44" type="noConversion"/>
  </si>
  <si>
    <t>筛选记录的航站代码都与测试数据相同</t>
    <phoneticPr fontId="44" type="noConversion"/>
  </si>
  <si>
    <t>筛选记录的离岗时间至少和测试数据存在部分交集</t>
    <phoneticPr fontId="44" type="noConversion"/>
  </si>
  <si>
    <t>筛选记录的离岗报备状态都是已审批</t>
    <phoneticPr fontId="44" type="noConversion"/>
  </si>
  <si>
    <t>1235487954</t>
  </si>
  <si>
    <t>杨杨洋</t>
    <phoneticPr fontId="44" type="noConversion"/>
  </si>
  <si>
    <t>弹出相关提示并且查询无效</t>
    <phoneticPr fontId="44" type="noConversion"/>
  </si>
  <si>
    <t>1.输入员工号
2.输入航站
3.输入离岗时间
4.输入姓名
5.选择已审批
6.点击搜索</t>
    <phoneticPr fontId="44" type="noConversion"/>
  </si>
  <si>
    <t>筛选记录数为0，并弹出相关提示</t>
    <phoneticPr fontId="44" type="noConversion"/>
  </si>
  <si>
    <t>筛选记录的数据与测试数据相同</t>
    <phoneticPr fontId="44" type="noConversion"/>
  </si>
  <si>
    <t>筛选记录的离岗报备状态都是已拒绝</t>
    <phoneticPr fontId="44" type="noConversion"/>
  </si>
  <si>
    <t>13</t>
    <phoneticPr fontId="44" type="noConversion"/>
  </si>
  <si>
    <t>筛选记录的员工号前两位数字和测试数据相同</t>
    <phoneticPr fontId="44" type="noConversion"/>
  </si>
  <si>
    <t>1.输入姓名
2.点击搜索</t>
    <phoneticPr fontId="44" type="noConversion"/>
  </si>
  <si>
    <t>杨</t>
    <phoneticPr fontId="44" type="noConversion"/>
  </si>
  <si>
    <t>筛选记录的姓名开头都与和测试数据相同</t>
    <phoneticPr fontId="44" type="noConversion"/>
  </si>
  <si>
    <t>跳转无效并且提示输入页码输入有误</t>
    <phoneticPr fontId="44" type="noConversion"/>
  </si>
  <si>
    <t>1.点击搜索</t>
    <phoneticPr fontId="44" type="noConversion"/>
  </si>
  <si>
    <t>查询到所有的离岗报备</t>
    <phoneticPr fontId="44" type="noConversion"/>
  </si>
  <si>
    <t>P</t>
    <phoneticPr fontId="44" type="noConversion"/>
  </si>
  <si>
    <t>筛选记录的航站开头都与和测试数据相同</t>
    <phoneticPr fontId="44" type="noConversion"/>
  </si>
  <si>
    <r>
      <t xml:space="preserve">1.点击搜索
</t>
    </r>
    <r>
      <rPr>
        <sz val="10"/>
        <rFont val="宋体"/>
        <family val="3"/>
        <charset val="134"/>
      </rPr>
      <t>2</t>
    </r>
    <r>
      <rPr>
        <sz val="10"/>
        <rFont val="宋体"/>
        <family val="3"/>
        <charset val="134"/>
      </rPr>
      <t>.点击下一页</t>
    </r>
    <phoneticPr fontId="44" type="noConversion"/>
  </si>
  <si>
    <t>跳转后的页码显示数量与跳转前相同</t>
    <phoneticPr fontId="44" type="noConversion"/>
  </si>
  <si>
    <r>
      <t>1.输入航站PEK
2.点击搜索
3</t>
    </r>
    <r>
      <rPr>
        <sz val="10"/>
        <rFont val="宋体"/>
        <family val="3"/>
        <charset val="134"/>
      </rPr>
      <t>.点击下一页</t>
    </r>
    <phoneticPr fontId="44" type="noConversion"/>
  </si>
  <si>
    <r>
      <t>1.输入航站
2.点击搜索
3.修改航站
3</t>
    </r>
    <r>
      <rPr>
        <sz val="10"/>
        <rFont val="宋体"/>
        <family val="3"/>
        <charset val="134"/>
      </rPr>
      <t>.点击搜索</t>
    </r>
    <phoneticPr fontId="44" type="noConversion"/>
  </si>
  <si>
    <r>
      <t>1</t>
    </r>
    <r>
      <rPr>
        <sz val="10"/>
        <rFont val="宋体"/>
        <family val="3"/>
        <charset val="134"/>
      </rPr>
      <t>.PEK
2.CAN</t>
    </r>
    <phoneticPr fontId="44" type="noConversion"/>
  </si>
  <si>
    <t>不从现有结果中搜索而是从总数据中搜索结果</t>
    <phoneticPr fontId="44" type="noConversion"/>
  </si>
  <si>
    <t>修改成功并且不自动填充回去</t>
    <phoneticPr fontId="44" type="noConversion"/>
  </si>
  <si>
    <t>洛洛洛</t>
    <phoneticPr fontId="44" type="noConversion"/>
  </si>
  <si>
    <t>Poly</t>
    <phoneticPr fontId="44" type="noConversion"/>
  </si>
  <si>
    <t>WUH</t>
    <phoneticPr fontId="44" type="noConversion"/>
  </si>
  <si>
    <r>
      <t>1</t>
    </r>
    <r>
      <rPr>
        <sz val="10"/>
        <rFont val="宋体"/>
        <family val="3"/>
        <charset val="134"/>
      </rPr>
      <t>3554564553</t>
    </r>
    <phoneticPr fontId="44" type="noConversion"/>
  </si>
  <si>
    <t>1044628946@qq.com</t>
    <phoneticPr fontId="44" type="noConversion"/>
  </si>
  <si>
    <r>
      <t xml:space="preserve">1.选择事由
2.输入离岗时间
3.输入电话
4.输入邮箱
5.输入负责人
</t>
    </r>
    <r>
      <rPr>
        <sz val="10"/>
        <rFont val="宋体"/>
        <family val="3"/>
        <charset val="134"/>
      </rPr>
      <t>6.勾选内部审批</t>
    </r>
    <r>
      <rPr>
        <sz val="10"/>
        <rFont val="宋体"/>
        <family val="3"/>
        <charset val="134"/>
      </rPr>
      <t xml:space="preserve">
6.点击添加</t>
    </r>
    <phoneticPr fontId="44" type="noConversion"/>
  </si>
  <si>
    <t xml:space="preserve">1.出国旅行
2.2017-10-1~2017-10-07
3.13829362187
4.442444109@qq.com
5.袁健康
</t>
    <phoneticPr fontId="44" type="noConversion"/>
  </si>
  <si>
    <t>1.选择事由
2.输入离岗时间
3.输入电话
4.输入邮箱
5.输入负责人
6.修改员工号
7.勾选内部审批
8.点击添加</t>
    <phoneticPr fontId="44" type="noConversion"/>
  </si>
  <si>
    <t>1.出国旅行
2.2017-10-1~2017-10-07
3.13829362187
4.442444109@qq.com
5.袁健康
6.</t>
    <phoneticPr fontId="44" type="noConversion"/>
  </si>
  <si>
    <t>1.选择事由
2.输入离岗时间
3.输入电话
4.输入邮箱
5.输入负责人
6.修改中文姓名
7.勾选内部审批
8.点击添加</t>
    <phoneticPr fontId="44" type="noConversion"/>
  </si>
  <si>
    <t>1.选择事由
2.输入离岗时间
3.输入电话
4.输入邮箱
5.输入负责人
6.修改外文姓名
7.勾选内部审批
8.点击添加</t>
    <phoneticPr fontId="44" type="noConversion"/>
  </si>
  <si>
    <t>1.选择事由
2.输入离岗时间
3.输入电话
4.输入邮箱
5.输入负责人
6.修改负责人电话
7.勾选内部审批
8.点击添加</t>
    <phoneticPr fontId="44" type="noConversion"/>
  </si>
  <si>
    <t>1.选择事由
2.输入离岗时间
3.输入电话
4.输入邮箱
5.输入负责人
6.修改负责人邮箱
7.勾选内部审批
8.点击添加</t>
    <phoneticPr fontId="44" type="noConversion"/>
  </si>
  <si>
    <t>界面多一行事由文本框供用户输入</t>
    <phoneticPr fontId="44" type="noConversion"/>
  </si>
  <si>
    <r>
      <t xml:space="preserve">1.选择事由
2.输入离岗时间
3.输入电话
4.输入邮箱
5.输入负责人
6.勾选内部审批
</t>
    </r>
    <r>
      <rPr>
        <sz val="10"/>
        <rFont val="宋体"/>
        <family val="3"/>
        <charset val="134"/>
      </rPr>
      <t>7</t>
    </r>
    <r>
      <rPr>
        <sz val="10"/>
        <rFont val="宋体"/>
        <family val="3"/>
        <charset val="134"/>
      </rPr>
      <t>.点击取消</t>
    </r>
    <phoneticPr fontId="44" type="noConversion"/>
  </si>
  <si>
    <t>1.点击添加事由按钮</t>
    <phoneticPr fontId="44" type="noConversion"/>
  </si>
  <si>
    <t>1.点击删除事由按钮</t>
    <phoneticPr fontId="44" type="noConversion"/>
  </si>
  <si>
    <t>删除成功并且对应的事由框从页面消失</t>
    <phoneticPr fontId="44" type="noConversion"/>
  </si>
  <si>
    <t>1340121139</t>
    <phoneticPr fontId="44" type="noConversion"/>
  </si>
  <si>
    <t>修改成功并且中文姓名、外文姓名、所属航站会自动填充</t>
    <phoneticPr fontId="44" type="noConversion"/>
  </si>
  <si>
    <t>1333354274</t>
    <phoneticPr fontId="44" type="noConversion"/>
  </si>
  <si>
    <t>默认界面数据正确性校验</t>
    <phoneticPr fontId="46" type="noConversion"/>
  </si>
  <si>
    <t>界面输入框信息全部为空</t>
    <phoneticPr fontId="44" type="noConversion"/>
  </si>
  <si>
    <t>杨国军</t>
    <phoneticPr fontId="44" type="noConversion"/>
  </si>
  <si>
    <t>页面元素如下：
1.文本框：所属航站、姓名
2.按钮：搜索、审批、删除
3.日期控件：上报时间
4.标签：搜索到X条数据
数据展示区（从前往后）：员工号、中文名、外文名、所属航站、事由、离岗时间、天数、提交人、操作</t>
    <phoneticPr fontId="44" type="noConversion"/>
  </si>
  <si>
    <t>筛选出所有的未批准离岗报备并于数据区展示</t>
    <phoneticPr fontId="44" type="noConversion"/>
  </si>
  <si>
    <t>筛选出对应航站所有人员未审批的离岗报备并于数据区展示</t>
    <phoneticPr fontId="44" type="noConversion"/>
  </si>
  <si>
    <t>1.点击搜索</t>
    <phoneticPr fontId="44" type="noConversion"/>
  </si>
  <si>
    <t>筛选出所有的未批准离岗报备并于数据区按上报时间降序展示</t>
    <phoneticPr fontId="44" type="noConversion"/>
  </si>
  <si>
    <t>筛选出对应员工中文姓名未审批的离岗报备并于数据区展示</t>
    <phoneticPr fontId="44" type="noConversion"/>
  </si>
  <si>
    <t>筛选出对应员工外文姓名未审批的离岗报备并于数据区展示</t>
    <phoneticPr fontId="44" type="noConversion"/>
  </si>
  <si>
    <t>筛选出对应上报时间内未审批的离岗报备并于数据区展示</t>
    <phoneticPr fontId="44" type="noConversion"/>
  </si>
  <si>
    <t>1.输入姓名
2.输入航站
3.选择离岗时间
4.点击搜索</t>
    <phoneticPr fontId="44" type="noConversion"/>
  </si>
  <si>
    <t>1.杨开运
2.PEK
3.2017-10-11~2017-11-12</t>
    <phoneticPr fontId="44" type="noConversion"/>
  </si>
  <si>
    <t>1.杨国军
2.PPL
3.2017-10-11~2017-11-12</t>
    <phoneticPr fontId="44" type="noConversion"/>
  </si>
  <si>
    <t>1.杨国军
2.PEK
3.2017-11-13~2017-11-14</t>
    <phoneticPr fontId="44" type="noConversion"/>
  </si>
  <si>
    <t>1.1340121138
2.杨国军
3.PEK
4.2017-11-13~2017-11-14</t>
    <phoneticPr fontId="44" type="noConversion"/>
  </si>
  <si>
    <t>页面所有输入框数据为空、数据展示区也为空并且页码为1</t>
    <phoneticPr fontId="44" type="noConversion"/>
  </si>
  <si>
    <t>1.点击下一页页码
2.点击上一页功能图标</t>
    <phoneticPr fontId="44" type="noConversion"/>
  </si>
  <si>
    <t>1.点击下一页功能图标</t>
    <phoneticPr fontId="44" type="noConversion"/>
  </si>
  <si>
    <t>1.选择一条报备数据
2.点击查看</t>
    <phoneticPr fontId="44" type="noConversion"/>
  </si>
  <si>
    <t>页面元素如下：
1.文本框：员工号、中文姓名、外文姓名、所属航站、事由、离岗后联系电话、离岗后联系邮箱、离岗后站点负责人联系电话、离岗后站点负责人邮箱
2.勾选框：航展内部已审批通过
3.按钮：取消、提交
4.下拉框：负责人
5.日期控件：离岗时间
6.标签：填报人</t>
    <phoneticPr fontId="44" type="noConversion"/>
  </si>
  <si>
    <t>除了关闭按钮其他元素锁定无法操作，页面元素如下：
1.文本框：员工号、中文姓名、外文姓名、所属航站、事由、离岗后联系电话、离岗后联系邮箱、离岗后站点负责人联系电话、离岗后站点负责人邮箱
2.勾选框：航展内部已审批通过
3.按钮：搜索、离岗报备
4.下拉框：负责人
5.日期控件：离岗时间
6.标签：填报人</t>
    <phoneticPr fontId="44" type="noConversion"/>
  </si>
  <si>
    <t>所有数据框锁定无法操作，页面元素如下：
1.文本框：员工号、中文姓名、外文姓名、所属航站、事由、离岗后联系电话、离岗后联系邮箱、离岗后站点负责人联系电话、离岗后站点负责人邮箱
2.勾选框：航展内部已审批通过
3.按钮：拒绝、同意
4.下拉框：负责人
5.日期控件：离岗时间
6.标签：填报人</t>
    <phoneticPr fontId="44" type="noConversion"/>
  </si>
  <si>
    <t>1.选择一条数据点击后面审批按钮</t>
    <phoneticPr fontId="44" type="noConversion"/>
  </si>
  <si>
    <t>1.选择上报时间
2.点击“搜索”</t>
    <phoneticPr fontId="44" type="noConversion"/>
  </si>
  <si>
    <t>2017-11-13~2017-11-14</t>
  </si>
  <si>
    <t>PEK，。、</t>
    <phoneticPr fontId="44" type="noConversion"/>
  </si>
  <si>
    <t>PEK123</t>
    <phoneticPr fontId="44" type="noConversion"/>
  </si>
  <si>
    <t>PEK北京</t>
    <phoneticPr fontId="44" type="noConversion"/>
  </si>
  <si>
    <t>当离岗报备存在两个事由时，数据区会自动将其合并为一起</t>
    <phoneticPr fontId="44" type="noConversion"/>
  </si>
  <si>
    <t>五个中文部分显示省略号</t>
    <phoneticPr fontId="44" type="noConversion"/>
  </si>
  <si>
    <t>第五个中文后的部分用省略号代替</t>
    <phoneticPr fontId="44" type="noConversion"/>
  </si>
  <si>
    <t>存在两个离岗时间段的情况下，会将两个时间段分成两行显示</t>
    <phoneticPr fontId="46" type="noConversion"/>
  </si>
  <si>
    <t>页面数据与添加时后台维护的数据一致</t>
    <phoneticPr fontId="44" type="noConversion"/>
  </si>
  <si>
    <t>界面元素完整性检验</t>
    <phoneticPr fontId="46" type="noConversion"/>
  </si>
  <si>
    <t>界面元素完整性校验</t>
    <phoneticPr fontId="46" type="noConversion"/>
  </si>
  <si>
    <t xml:space="preserve">
</t>
    <phoneticPr fontId="44" type="noConversion"/>
  </si>
  <si>
    <t>页面元素如下：
1.文本框：航站、在岗状态
2.按钮：搜索、导出
3.日期控件：日期
4.数据展示区（从左往右）：所属航站、姓名、职务、在岗状态、离岗事由、离岗时间、站长电话、站长邮箱、负责人姓名、负责人电话、负责人邮箱
5.翻页控件</t>
    <phoneticPr fontId="44" type="noConversion"/>
  </si>
  <si>
    <t>1.输入中文姓名
2.点击“搜索”</t>
    <phoneticPr fontId="44" type="noConversion"/>
  </si>
  <si>
    <t>1.输入英文姓名
2.点击“搜索”</t>
    <phoneticPr fontId="44" type="noConversion"/>
  </si>
  <si>
    <t>筛选记录的日期与测试数据至少部分重合</t>
    <phoneticPr fontId="44" type="noConversion"/>
  </si>
  <si>
    <t>筛选记录的中文姓名都与测试数据相同</t>
    <phoneticPr fontId="44" type="noConversion"/>
  </si>
  <si>
    <t>筛选记录的外文姓名都与测试数据相同</t>
    <phoneticPr fontId="44" type="noConversion"/>
  </si>
  <si>
    <t>1.输入姓名
2.输入航站
4.选择值班时间
5.点击搜索</t>
    <phoneticPr fontId="44" type="noConversion"/>
  </si>
  <si>
    <t>杨开运</t>
    <phoneticPr fontId="44" type="noConversion"/>
  </si>
  <si>
    <t>Jina</t>
    <phoneticPr fontId="44" type="noConversion"/>
  </si>
  <si>
    <t>1.洛少鹄
2.PEK
3.2017-10-01~2017-10-07</t>
    <phoneticPr fontId="44" type="noConversion"/>
  </si>
  <si>
    <t>节假日报备</t>
    <phoneticPr fontId="44" type="noConversion"/>
  </si>
  <si>
    <t>1.杨开运
2.PEK
3.2017-10-01~2017-10-07</t>
    <phoneticPr fontId="44" type="noConversion"/>
  </si>
  <si>
    <t>1.杨开运
2.PEK
3.2017-11-01~2017-11-07</t>
    <phoneticPr fontId="44" type="noConversion"/>
  </si>
  <si>
    <t>除了关闭按钮其他元素锁定无法操作，页面元素如下：
1.文本框：员工号、中文姓名、外文姓名、邮箱、电话、站长离岗联系电话、站长离岗邮箱
2.勾选框：航站内部已审批通过
3.按钮：取消、提交、“添加在岗时间”、“删除在岗时间”
4.下拉框：所属航站
5.日期控件：在岗时间
6.标签：填报人</t>
    <phoneticPr fontId="44" type="noConversion"/>
  </si>
  <si>
    <t>1.选择值班时间
2.点击搜索</t>
    <phoneticPr fontId="44" type="noConversion"/>
  </si>
  <si>
    <t>节假日值班报备添加</t>
    <phoneticPr fontId="44" type="noConversion"/>
  </si>
  <si>
    <t>节假日值班报备</t>
    <phoneticPr fontId="44" type="noConversion"/>
  </si>
  <si>
    <t>节假日值班报备查询</t>
    <phoneticPr fontId="44" type="noConversion"/>
  </si>
  <si>
    <t>根据登录账号的员工号自动填写且与后台维护的员工号、中文姓名、外文姓名、所属航站、电话和邮箱一致</t>
    <phoneticPr fontId="44" type="noConversion"/>
  </si>
  <si>
    <t>中文姓名、外文姓名、所属航站、填报人电话、填报人邮箱自动填充为空</t>
    <phoneticPr fontId="44" type="noConversion"/>
  </si>
  <si>
    <t>1.修改员工号
2.输入中文姓名
3.输入外文姓名
4.输入所属航站
5.输入事由
6.选择在岗时间
7、输入填报人电话
8.输入填报人邮箱
9.输入站长电话
10.输入站长邮箱
11.勾选航站内部已审批通过</t>
    <phoneticPr fontId="44" type="noConversion"/>
  </si>
  <si>
    <t>1.1333354274
2.洛月鹄
3.Mari
4.CAN
5.出差
6.2017-03-06~2017-04-06
7.15523376984
8.1104628946@qq.com
9.13884695315
10.wdygj1@163.com</t>
    <phoneticPr fontId="44" type="noConversion"/>
  </si>
  <si>
    <t>1.1333354274
2.洛月鹄
3.Mari
4.CAN
5.出差
6.2018-02-01~2018-02-05
7.13566523846
8.442444109@qq.com
9.袁健康</t>
    <phoneticPr fontId="44" type="noConversion"/>
  </si>
  <si>
    <t>页面默认数据正确性校验</t>
    <phoneticPr fontId="46" type="noConversion"/>
  </si>
  <si>
    <t>默认查询数据正确性校验</t>
    <phoneticPr fontId="46" type="noConversion"/>
  </si>
  <si>
    <t>航站代码查询校验</t>
    <phoneticPr fontId="46" type="noConversion"/>
  </si>
  <si>
    <t>员工号查询校验</t>
    <phoneticPr fontId="46" type="noConversion"/>
  </si>
  <si>
    <t>离岗时间查询校验</t>
    <phoneticPr fontId="46" type="noConversion"/>
  </si>
  <si>
    <t>中文姓名查询校验</t>
    <phoneticPr fontId="46" type="noConversion"/>
  </si>
  <si>
    <t>外文姓名查询校验</t>
    <phoneticPr fontId="46" type="noConversion"/>
  </si>
  <si>
    <t>已审批状态查询校验</t>
    <phoneticPr fontId="46" type="noConversion"/>
  </si>
  <si>
    <t>已拒绝状态查询校验</t>
    <phoneticPr fontId="46" type="noConversion"/>
  </si>
  <si>
    <t>不存在航站查询校验</t>
    <phoneticPr fontId="46" type="noConversion"/>
  </si>
  <si>
    <t>不存在员工号查询校验</t>
    <phoneticPr fontId="46" type="noConversion"/>
  </si>
  <si>
    <t>不存在姓名查询校验</t>
    <phoneticPr fontId="46" type="noConversion"/>
  </si>
  <si>
    <t>员工号模糊查询校验</t>
    <phoneticPr fontId="46" type="noConversion"/>
  </si>
  <si>
    <t>姓名模糊查询校验</t>
    <phoneticPr fontId="46" type="noConversion"/>
  </si>
  <si>
    <t>全条件联合查询校验</t>
    <phoneticPr fontId="46" type="noConversion"/>
  </si>
  <si>
    <t>航站代码模糊查询校验</t>
    <phoneticPr fontId="46" type="noConversion"/>
  </si>
  <si>
    <t>离岗时间长度异常校验</t>
    <phoneticPr fontId="44" type="noConversion"/>
  </si>
  <si>
    <t>详情查看功能有效性校验</t>
    <phoneticPr fontId="44" type="noConversion"/>
  </si>
  <si>
    <t>校验航站代码能否自动转换大写有效性</t>
  </si>
  <si>
    <t>校验航站代码能否自动转换大写</t>
    <phoneticPr fontId="46" type="noConversion"/>
  </si>
  <si>
    <t>校验航站代码含数字时是否能够查询</t>
  </si>
  <si>
    <t>校验航站代码含特殊字符时是否能够查询</t>
  </si>
  <si>
    <t>校验航站代码含中文时是否能够查询</t>
  </si>
  <si>
    <t>校验点击页面页码翻页的功能是否有效</t>
  </si>
  <si>
    <t>校验输入指定页码进行跳转的功能是否有效</t>
  </si>
  <si>
    <t>校验页面上一页跳转功能是否有效</t>
  </si>
  <si>
    <t>校验页面下一页跳转功能是否有效</t>
  </si>
  <si>
    <t>校验指定错误页码跳转时能否跳转并且是否有提示</t>
  </si>
  <si>
    <t>校验页面记录数是否正确</t>
  </si>
  <si>
    <t>校验跳转页面后页面记录数是否不变</t>
  </si>
  <si>
    <t>校验跳转页面后查询条件是否不变</t>
  </si>
  <si>
    <t>校验跳转页面后页码显示数量是否不变</t>
  </si>
  <si>
    <t>校验搜索后改变查询条件再次搜索是否是在现有结果中查询</t>
  </si>
  <si>
    <t>校验页面默认数据是否正确</t>
  </si>
  <si>
    <t>校验修改成一个不存在的员工号后对应的中文姓名、外文姓名、所属航站是否会自动填充</t>
  </si>
  <si>
    <t>校验能否添加一个不存在的员工报备信息</t>
  </si>
  <si>
    <t>校验员工号是否能够编辑</t>
  </si>
  <si>
    <t>校验中文姓名是否能够编辑并保存</t>
  </si>
  <si>
    <t>校验外文姓名是否能够编辑并保存</t>
  </si>
  <si>
    <t>校验所属航站是否能够编辑并保存</t>
  </si>
  <si>
    <t>校验负责人电话是否能够编辑并保存</t>
  </si>
  <si>
    <t>校验负责人邮箱是否能够编辑并保存</t>
  </si>
  <si>
    <t>校验员工号是否是必填的</t>
  </si>
  <si>
    <t>校验中文姓名是否是必填的</t>
  </si>
  <si>
    <t>校验外文姓名是否是必填的</t>
  </si>
  <si>
    <t>校验所属航站是否是必填的</t>
  </si>
  <si>
    <t>校验负责人电话是否是必填的</t>
  </si>
  <si>
    <t>校验过程</t>
  </si>
  <si>
    <t>单一离岗时间不关联，其他全条件关联查询，校验是否会返回数据并给与相关提示</t>
  </si>
  <si>
    <t>单一姓名不关联，其他全条件关联查询，校验是否会返回数据并给与相关提示</t>
  </si>
  <si>
    <t>单一航站不关联，其他全条件关联查询，校验是否会返回数据并给与相关提示</t>
  </si>
  <si>
    <t>单一员工号不关联，其他全条件关联查询，校验是否会返回数据并给与相关提示</t>
  </si>
  <si>
    <t>校验负责人邮箱是否是必填的</t>
  </si>
  <si>
    <t>校验离岗时间是否是必填的</t>
  </si>
  <si>
    <t>校验电话是否是必填的</t>
  </si>
  <si>
    <t>校验邮箱是否是必填的</t>
  </si>
  <si>
    <t>校验负责人是否是必填的</t>
  </si>
  <si>
    <t>校验内部审批是否是必填的</t>
  </si>
  <si>
    <t>校验离岗报备添加功能是否有效</t>
  </si>
  <si>
    <t>校验离岗报备是否可以重复添加</t>
  </si>
  <si>
    <t>校验取消按钮功能是否有效</t>
  </si>
  <si>
    <t>校验单事由时添加事由功能是否有效</t>
  </si>
  <si>
    <t>校验双事由时添加事由是否会继续添加</t>
  </si>
  <si>
    <t>校验单事由时删除功能是否有效</t>
  </si>
  <si>
    <t>校验离岗时间长度异常时是否可以进行查询并且是否存在相关提示</t>
  </si>
  <si>
    <t>校验邮箱填写缺少"@"时添加是否可以添加并且是否会弹出相应提醒</t>
  </si>
  <si>
    <t>校验邮箱填写缺少"."时添加是否可以添加并且是否会弹出相应提醒</t>
  </si>
  <si>
    <t>校验默认查询是否会返回所有数据</t>
  </si>
  <si>
    <t>校验查询结果是否按上报时间降序排序</t>
  </si>
  <si>
    <t>校验是否可以根据航站代码进行查询</t>
  </si>
  <si>
    <t>校验是否可以根据中文姓名进行查询</t>
  </si>
  <si>
    <t>校验是否可以根据外文姓名进行查询</t>
  </si>
  <si>
    <t>校验是否可以根据上报时间进行查询</t>
  </si>
  <si>
    <t>校验不存在的航站代码查询是否会返回数据并弹出提示</t>
  </si>
  <si>
    <t>校验不存在的姓名查询是否会返回数据并弹出提示</t>
  </si>
  <si>
    <t>校验不存在的上报时间查询是否会返回数据并弹出提示</t>
  </si>
  <si>
    <t>校验姓名是否支持模糊查询</t>
  </si>
  <si>
    <t>校验航站代码是否支持模糊查询</t>
  </si>
  <si>
    <t>单一离岗时间不关联，其他全条件关联查询，校验是否会返回数据并且给与相关提示</t>
  </si>
  <si>
    <t>单一姓名不关联，其他全条件关联查询，校验是否会返回数据并且给与相关提示</t>
  </si>
  <si>
    <t>单一航站不关联，其他全条件关联查询，校验是否会返回数据并且给与相关提示</t>
  </si>
  <si>
    <t>校验审批界面元素是否完整</t>
  </si>
  <si>
    <t>校验页面数据是否正确</t>
  </si>
  <si>
    <t>校验审批同意功能是否有效</t>
  </si>
  <si>
    <t>校验审批拒绝功能是否有效</t>
  </si>
  <si>
    <t>校验两个事由时，是否会合并显示</t>
  </si>
  <si>
    <t>校验两个事由合并的情况下，第5个中文是否会省略</t>
  </si>
  <si>
    <t>校验两个事由合并的情况下，超过5个中文的部分是否会省略</t>
  </si>
  <si>
    <t>校验两个离岗时间段的情况下，是否会分行显示</t>
  </si>
  <si>
    <t>校验是否可以根据值班日期进行查询</t>
  </si>
  <si>
    <t>校验是否可以根据英文姓名进行查询</t>
  </si>
  <si>
    <t>单一值班日期不关联，其他全条件关联查询，校验是否会返回数据并给与相关提示</t>
  </si>
  <si>
    <t>校验详情查看功能是否有效</t>
  </si>
  <si>
    <t>校验删除功能是否有效</t>
  </si>
  <si>
    <t>校验值班日期长度异常时是否可以进行查询并且是否存在相关提示</t>
  </si>
  <si>
    <t>校验员工号，中文姓名、外文姓名、所属航站、填报人电话、填报人邮箱自动填充是否正确</t>
  </si>
  <si>
    <t>校验修改成一个不存在的员工号，中文姓名、外文姓名、所属航站、填报人电话、填报人邮箱自动填充是否正确</t>
  </si>
  <si>
    <t>校验填报人电话是否能够编辑并保存</t>
  </si>
  <si>
    <t>校验填报人邮箱是否能够编辑并保存</t>
  </si>
  <si>
    <t>校验填报人电话是否是必填的</t>
  </si>
  <si>
    <t>校验填报人邮箱是否是必填的</t>
  </si>
  <si>
    <t>校验在岗时间是否是必填的</t>
  </si>
  <si>
    <t>校验站长电话是否是必填的</t>
  </si>
  <si>
    <t>校验站长邮箱是否是必填的</t>
  </si>
  <si>
    <t>1.修改员工号
2.输入中文姓名
3.输入外文姓名
4.输入所属航站
5.输入填报人电话
6.输入填报人邮箱
7.输入在岗时间
8.输入站长电话
9.输入站长邮箱
10.勾选内部审批
11.点击添加</t>
    <phoneticPr fontId="44" type="noConversion"/>
  </si>
  <si>
    <t>1.修改中文姓名
2.输入在岗时间
3.输入站长电话
4.输入站长邮箱
5.勾选内部审批
6.点击添加</t>
    <phoneticPr fontId="44" type="noConversion"/>
  </si>
  <si>
    <t>1.
2.2017-10-1~2017-10-07
3.13829362187
4.432444109@qq.com</t>
    <phoneticPr fontId="44" type="noConversion"/>
  </si>
  <si>
    <t>1.修改外文姓名
2.输入在岗时间
3.输入站长电话
4.输入站长邮箱
5.勾选内部审批
6.点击添加</t>
    <phoneticPr fontId="44" type="noConversion"/>
  </si>
  <si>
    <t>1.修改所属航站
2.输入在岗时间
3.输入站长电话
4.输入站长邮箱
5.勾选内部审批
6.点击添加</t>
    <phoneticPr fontId="44" type="noConversion"/>
  </si>
  <si>
    <t>1.修改填报人电话
2.输入在岗时间
3.输入站长电话
4.输入站长邮箱
5.勾选内部审批
6.点击添加</t>
    <phoneticPr fontId="44" type="noConversion"/>
  </si>
  <si>
    <t>1.修改填报人邮箱
2.输入在岗时间
3.输入站长电话
4.输入站长邮箱
5.勾选内部审批
6.点击添加</t>
    <phoneticPr fontId="44" type="noConversion"/>
  </si>
  <si>
    <t>1.输入站长电话
2.输入站长邮箱
3.勾选内部审批
4.点击添加</t>
    <phoneticPr fontId="44" type="noConversion"/>
  </si>
  <si>
    <t>1.13829362187
2.432444110@qq.com</t>
    <phoneticPr fontId="44" type="noConversion"/>
  </si>
  <si>
    <t>1.输入在岗时间
2.输入站长邮箱
3.勾选内部审批
4.点击添加</t>
    <phoneticPr fontId="44" type="noConversion"/>
  </si>
  <si>
    <t>1.2017-10-1~2017-10-07
2.432444110@qq.com</t>
    <phoneticPr fontId="44" type="noConversion"/>
  </si>
  <si>
    <t>1.2017-10-1~2017-10-07
2.13829362187</t>
    <phoneticPr fontId="44" type="noConversion"/>
  </si>
  <si>
    <t>1.输入在岗时间
2.输入站长电话
3.输入站长邮箱
4.勾选内部审批
5.点击添加</t>
    <phoneticPr fontId="44" type="noConversion"/>
  </si>
  <si>
    <t>1.2017-10-1~2017-10-07
2.13829362187
3.432444109@qq.com</t>
    <phoneticPr fontId="44" type="noConversion"/>
  </si>
  <si>
    <t>1.输入在岗时间
2.输入站长电话
3.输入站长邮箱
4.点击添加</t>
    <phoneticPr fontId="44" type="noConversion"/>
  </si>
  <si>
    <t>校验节假日报备是否可以重复添加相同时间段的节假日报备</t>
    <phoneticPr fontId="44" type="noConversion"/>
  </si>
  <si>
    <t>校验节假日报备是否可以重复添加部分重复时间段的节假日报备</t>
    <phoneticPr fontId="44" type="noConversion"/>
  </si>
  <si>
    <t>1.2017-10-6~2017-10-08
2.13829362187
3.432444109@qq.com</t>
    <phoneticPr fontId="44" type="noConversion"/>
  </si>
  <si>
    <t>1.2017-10-18~2017-10-19
2.13829362187
3.432444109@qq.com</t>
    <phoneticPr fontId="44" type="noConversion"/>
  </si>
  <si>
    <t>1.输入在岗时间
2.输入站长电话
3.输入站长邮箱
4.勾选内部审批
5.点击取消</t>
    <phoneticPr fontId="44" type="noConversion"/>
  </si>
  <si>
    <t>校验一个在岗时间段添加时间段功能是否有效</t>
    <phoneticPr fontId="44" type="noConversion"/>
  </si>
  <si>
    <t>1.点击添加在岗时间段按钮</t>
    <phoneticPr fontId="44" type="noConversion"/>
  </si>
  <si>
    <t>界面多一行在岗时间段文本框供用户输入</t>
    <phoneticPr fontId="44" type="noConversion"/>
  </si>
  <si>
    <t>校验十个在岗时间段继续添加时间段功能是否有效</t>
    <phoneticPr fontId="44" type="noConversion"/>
  </si>
  <si>
    <t>校验一个在岗时间段删除时间段功能是否有效</t>
    <phoneticPr fontId="44" type="noConversion"/>
  </si>
  <si>
    <t>校验十个在岗时间段删除时间段功能是否有效</t>
    <phoneticPr fontId="44" type="noConversion"/>
  </si>
  <si>
    <t>删除成功并且对应的在岗时间选择框从页面消失</t>
    <phoneticPr fontId="44" type="noConversion"/>
  </si>
  <si>
    <t>1.点击删除在岗时间按钮</t>
    <phoneticPr fontId="44" type="noConversion"/>
  </si>
  <si>
    <t>1.2017-10-1~2017-10-07
2.13829362187
3.432444109qq.com</t>
    <phoneticPr fontId="44" type="noConversion"/>
  </si>
  <si>
    <t>1.2017-10-1~2017-10-07
2.13829362187
3.432444109@qqcom</t>
    <phoneticPr fontId="44" type="noConversion"/>
  </si>
  <si>
    <t>1.2017-10-1~2017-10-07
2.13829362187
3.432%…&amp;444109qq.com</t>
    <phoneticPr fontId="44" type="noConversion"/>
  </si>
  <si>
    <t>校验填报人邮箱填写缺少"@"时添加是否可以添加并且是否会弹出相应提醒</t>
    <phoneticPr fontId="44" type="noConversion"/>
  </si>
  <si>
    <t>校验填报人邮箱填写缺少"."时添加是否可以添加并且是否会弹出相应提醒</t>
    <phoneticPr fontId="44" type="noConversion"/>
  </si>
  <si>
    <t>校验站长邮箱填写缺少"@"时添加是否可以添加并且是否会弹出相应提醒</t>
    <phoneticPr fontId="44" type="noConversion"/>
  </si>
  <si>
    <t>校验站长邮箱填写缺少"."时添加是否可以添加并且是否会弹出相应提醒</t>
    <phoneticPr fontId="44" type="noConversion"/>
  </si>
  <si>
    <t>1.输入在岗时间
2.输入站长电话
3.输入站长邮箱
4.修改填报人邮箱
5.勾选内部审批
6.点击添加</t>
    <phoneticPr fontId="44" type="noConversion"/>
  </si>
  <si>
    <t>1.2017-10-1~2017-10-07
2.13829362187
3.432444109@qq.com
4.442444109qq.com</t>
    <phoneticPr fontId="44" type="noConversion"/>
  </si>
  <si>
    <t>1.2017-10-1~2017-10-07
2.13829362187
3.432444109@qq.com
4.442444109@qqcom</t>
    <phoneticPr fontId="44" type="noConversion"/>
  </si>
  <si>
    <t>1.2017-10-1~2017-10-07
2.13829362187
3.432444109@qq.com
4.44%…&amp;2444109@qq.com</t>
    <phoneticPr fontId="44" type="noConversion"/>
  </si>
  <si>
    <t>节假日报备提交成功后站内信提醒管理员校验</t>
    <phoneticPr fontId="44" type="noConversion"/>
  </si>
  <si>
    <t>1.2017-10-9~2017-10-10
2.13829362187
3.422444109@qq.com</t>
    <phoneticPr fontId="44" type="noConversion"/>
  </si>
  <si>
    <t>1.总部人员身份
2.进入节假日值班报备添加界面
3.添加报备成功</t>
    <phoneticPr fontId="44" type="noConversion"/>
  </si>
  <si>
    <t>1.查看站内信是否存在相关提醒</t>
    <phoneticPr fontId="44" type="noConversion"/>
  </si>
  <si>
    <r>
      <t>标题为</t>
    </r>
    <r>
      <rPr>
        <sz val="10.5"/>
        <rFont val="Calibri"/>
        <family val="2"/>
      </rPr>
      <t>XX</t>
    </r>
    <r>
      <rPr>
        <sz val="10.5"/>
        <rFont val="宋体"/>
        <family val="3"/>
        <charset val="134"/>
      </rPr>
      <t>航站</t>
    </r>
    <r>
      <rPr>
        <sz val="10.5"/>
        <rFont val="Calibri"/>
        <family val="2"/>
      </rPr>
      <t>XX</t>
    </r>
    <r>
      <rPr>
        <sz val="10.5"/>
        <rFont val="宋体"/>
        <family val="3"/>
        <charset val="134"/>
      </rPr>
      <t>（姓名）提交了节假日值班报备，</t>
    </r>
    <phoneticPr fontId="44" type="noConversion"/>
  </si>
  <si>
    <t>站内信提醒管理员详情查看校验</t>
    <phoneticPr fontId="44" type="noConversion"/>
  </si>
  <si>
    <t>1.点击标题</t>
    <phoneticPr fontId="44" type="noConversion"/>
  </si>
  <si>
    <t>详情中通过表格列出具体的值班报备信息</t>
    <phoneticPr fontId="44" type="noConversion"/>
  </si>
  <si>
    <t>在岗时间控件长度异常校验</t>
    <phoneticPr fontId="44" type="noConversion"/>
  </si>
  <si>
    <t>弹出提示并且数据展示区为空</t>
    <phoneticPr fontId="44" type="noConversion"/>
  </si>
  <si>
    <t>默认查询校验</t>
    <phoneticPr fontId="44" type="noConversion"/>
  </si>
  <si>
    <t>筛选出所有的人员在岗状态信息</t>
    <phoneticPr fontId="44" type="noConversion"/>
  </si>
  <si>
    <t>单一航站不关联，其他全条件关联查询，校验是否会返回数据并给与相关提示</t>
    <phoneticPr fontId="44" type="noConversion"/>
  </si>
  <si>
    <t>单一日期不关联，其他全条件关联查询，校验是否会返回数据并给与相关提示</t>
    <phoneticPr fontId="44" type="noConversion"/>
  </si>
  <si>
    <t>1.PPL
2.2017-12-01~2017-12-21
3.在岗</t>
    <phoneticPr fontId="44" type="noConversion"/>
  </si>
  <si>
    <t>1.PEK
2.2017-01-02~2017-01-203
3.在岗</t>
    <phoneticPr fontId="44" type="noConversion"/>
  </si>
  <si>
    <t>1.PEK
2.2017-12-01~2017-12-02
3.在岗</t>
    <phoneticPr fontId="44" type="noConversion"/>
  </si>
  <si>
    <t>单一在岗状态不关联，其他全条件关联查询，校验是否会返回数据并给与相关提示</t>
    <phoneticPr fontId="44" type="noConversion"/>
  </si>
  <si>
    <t>航站代码模糊查询校验</t>
    <phoneticPr fontId="44" type="noConversion"/>
  </si>
  <si>
    <t>界面元素完整性校验</t>
    <phoneticPr fontId="44" type="noConversion"/>
  </si>
  <si>
    <t>页面默认数据正确性校验</t>
    <phoneticPr fontId="44" type="noConversion"/>
  </si>
  <si>
    <t>页面元素如下:
1.文本框：航站
2.按钮：搜索、导出
3.数据区显示列：所属航站、姓名、职务、电话、邮箱
4.翻页控件</t>
    <phoneticPr fontId="44" type="noConversion"/>
  </si>
  <si>
    <t>默认搜索正确性校验</t>
    <phoneticPr fontId="44" type="noConversion"/>
  </si>
  <si>
    <t>1.点击搜索</t>
    <phoneticPr fontId="44" type="noConversion"/>
  </si>
  <si>
    <t>筛选出现行所有航站负责人信息</t>
    <phoneticPr fontId="44" type="noConversion"/>
  </si>
  <si>
    <t>1.总部人员身份
2.进入管理员站内信界面
3.存在至少一封站内信</t>
    <phoneticPr fontId="44" type="noConversion"/>
  </si>
  <si>
    <t>站内信</t>
    <phoneticPr fontId="44" type="noConversion"/>
  </si>
  <si>
    <t>报备时间依旧采用北京时间，切换时区不会发生变更</t>
    <phoneticPr fontId="44" type="noConversion"/>
  </si>
  <si>
    <t>1.输入航站PEK
2.点击搜索</t>
    <phoneticPr fontId="44" type="noConversion"/>
  </si>
  <si>
    <t>PEK负责人之一是李强</t>
    <phoneticPr fontId="44" type="noConversion"/>
  </si>
  <si>
    <t>PEK负责人不是李强</t>
    <phoneticPr fontId="44" type="noConversion"/>
  </si>
  <si>
    <t>航站代码查询校验</t>
    <phoneticPr fontId="44" type="noConversion"/>
  </si>
  <si>
    <t>日期查询校验</t>
    <phoneticPr fontId="44" type="noConversion"/>
  </si>
  <si>
    <t>1.选择日期
2.点击搜索</t>
    <phoneticPr fontId="44" type="noConversion"/>
  </si>
  <si>
    <t>默认查询数据正确性校验</t>
    <phoneticPr fontId="44" type="noConversion"/>
  </si>
  <si>
    <t>页面元素如下:
1.文本框：航站
2.按钮：搜索、导出
3.数据区显示列：航站、描述、搜索日期的天数
4.日期控件：日期
5.翻页控件</t>
    <phoneticPr fontId="44" type="noConversion"/>
  </si>
  <si>
    <t>查询到所有的节假日值班表</t>
    <phoneticPr fontId="44" type="noConversion"/>
  </si>
  <si>
    <t>不存在航站查询校验</t>
    <phoneticPr fontId="44" type="noConversion"/>
  </si>
  <si>
    <t>校验航站代码能否自动转换大写</t>
    <phoneticPr fontId="44" type="noConversion"/>
  </si>
  <si>
    <t>页面页码点击翻页正确性校验</t>
    <phoneticPr fontId="44" type="noConversion"/>
  </si>
  <si>
    <t>页面跳转到指定页码正确性校验</t>
    <phoneticPr fontId="44" type="noConversion"/>
  </si>
  <si>
    <t>页面跳转至上一页正确性校验</t>
    <phoneticPr fontId="44" type="noConversion"/>
  </si>
  <si>
    <t>页面跳转至下一页正确性校验</t>
    <phoneticPr fontId="44" type="noConversion"/>
  </si>
  <si>
    <t>页面记录数正确性校验</t>
    <phoneticPr fontId="44" type="noConversion"/>
  </si>
  <si>
    <t>跳转页面后页面记录数正确性校验</t>
    <phoneticPr fontId="44" type="noConversion"/>
  </si>
  <si>
    <t>跳转页面后查询条件正确性校验</t>
    <phoneticPr fontId="44" type="noConversion"/>
  </si>
  <si>
    <t>页面元素如下:
1.文本框：航站、离岗原因
2.按钮：搜索、导出
3.数据区显示列：员工号、中文姓名、外文姓名、所属航站、离岗原因、离岗时间、类型、状态
4.日期控件：日期
5.翻页控件</t>
    <phoneticPr fontId="44" type="noConversion"/>
  </si>
  <si>
    <t>页面元素如下:
1.文本框：航站、员工号、姓名
3.按钮：搜索、离岗报备 
4.数据区显示列：员工号、中文姓名、外文姓名、所属航站、事由、离岗时间、天数、状态、提交人、操作
5.数据区按钮：查看、删除
6.日期控件：离岗时间
7.翻页控件</t>
    <phoneticPr fontId="44" type="noConversion"/>
  </si>
  <si>
    <t>筛选出对应日期内所有的离岗报备</t>
    <phoneticPr fontId="44" type="noConversion"/>
  </si>
  <si>
    <t>筛选出对应离岗员工所有的离岗报备</t>
    <phoneticPr fontId="44" type="noConversion"/>
  </si>
  <si>
    <t>1.输入航站
2.选择离岗原因
3.选择日期
4.点击搜索</t>
    <phoneticPr fontId="44" type="noConversion"/>
  </si>
  <si>
    <t>1.PPL
2.回国开会
3.2017-10-11~2017-10-12</t>
    <phoneticPr fontId="44" type="noConversion"/>
  </si>
  <si>
    <t>单一离岗原因不关联，其他全条件关联查询，校验是否会返回数据并给与相关提示</t>
    <phoneticPr fontId="44" type="noConversion"/>
  </si>
  <si>
    <t>单一日期不关联，其他全条件关联查询，校验是否会返回数据并给与相关提示</t>
    <phoneticPr fontId="44" type="noConversion"/>
  </si>
  <si>
    <t>1.PEK
2.出差旅行
3.2017-10-11~2017-10-12</t>
    <phoneticPr fontId="44" type="noConversion"/>
  </si>
  <si>
    <t>1.PEK
2.回国开会
3.2017-09-11~2017-09-12</t>
    <phoneticPr fontId="44" type="noConversion"/>
  </si>
  <si>
    <t>页面元素如下:
1.文本框：航站
2.勾选框：未上报
3.按钮：搜索、导出
4.数据区显示列：航站、月份、运行月报告、上报时间、上报人、操作
5.数据区按钮：查看、删除
6.日期控件：日期
7.翻页控件
8.标签：共搜索到X到数据</t>
    <phoneticPr fontId="44" type="noConversion"/>
  </si>
  <si>
    <t>1.输入航站
2.选择日期
3.勾选未上报
4.点击搜索</t>
    <phoneticPr fontId="44" type="noConversion"/>
  </si>
  <si>
    <t>单一日期不关联，其他全条件关联查询，校验是否会返回数据并给与相关提示</t>
    <phoneticPr fontId="57" type="noConversion"/>
  </si>
  <si>
    <t>1.PEK
2.2018-10-11~2018-11-12</t>
    <phoneticPr fontId="44" type="noConversion"/>
  </si>
  <si>
    <t>单一未上报不关联，其他全条件关联查询，校验是否会返回数据并给与相关提示</t>
    <phoneticPr fontId="57" type="noConversion"/>
  </si>
  <si>
    <r>
      <t>1.CAN
2.2018-02-05~2018-0</t>
    </r>
    <r>
      <rPr>
        <sz val="10"/>
        <rFont val="宋体"/>
        <family val="3"/>
        <charset val="134"/>
      </rPr>
      <t>3</t>
    </r>
    <r>
      <rPr>
        <sz val="10"/>
        <rFont val="宋体"/>
        <family val="3"/>
        <charset val="134"/>
      </rPr>
      <t>-11</t>
    </r>
    <phoneticPr fontId="44" type="noConversion"/>
  </si>
  <si>
    <t>1.PPL
2.2018-02-05~2018-03-11</t>
    <phoneticPr fontId="44" type="noConversion"/>
  </si>
  <si>
    <t>1.输入航站
2.点击搜索</t>
    <phoneticPr fontId="44" type="noConversion"/>
  </si>
  <si>
    <r>
      <t xml:space="preserve">1.输入航站
</t>
    </r>
    <r>
      <rPr>
        <sz val="10"/>
        <rFont val="宋体"/>
        <family val="3"/>
        <charset val="134"/>
      </rPr>
      <t>2.点击搜索</t>
    </r>
    <phoneticPr fontId="44" type="noConversion"/>
  </si>
  <si>
    <t>筛选出对应航站负责人信息</t>
    <phoneticPr fontId="44" type="noConversion"/>
  </si>
  <si>
    <t>删除运行月报告校验</t>
    <phoneticPr fontId="44" type="noConversion"/>
  </si>
  <si>
    <t>1.总部人员身份
2.进入运行月报告查询界面
3.存在三页及以上记录</t>
    <phoneticPr fontId="44" type="noConversion"/>
  </si>
  <si>
    <t>页面元素如下:
1.文本框：航站
2.下拉框：问题大类、问题小类
3.按钮：搜索、导出 
4.数据区显示列：航站、月份、问题大类、问题小类、问题描述、上报时间、操作
5.数据区按钮：查看
6.日期控件：日期
7.翻页控件
8.标签：共搜索到X条数据</t>
    <phoneticPr fontId="44" type="noConversion"/>
  </si>
  <si>
    <r>
      <t>1.安全生产情况
2.</t>
    </r>
    <r>
      <rPr>
        <sz val="10"/>
        <rFont val="宋体"/>
        <family val="3"/>
        <charset val="134"/>
      </rPr>
      <t>PPL</t>
    </r>
    <r>
      <rPr>
        <sz val="10"/>
        <rFont val="宋体"/>
        <family val="3"/>
        <charset val="134"/>
      </rPr>
      <t xml:space="preserve">
3.2017-01-11~2017-02-23
4.危险品描述</t>
    </r>
    <phoneticPr fontId="44" type="noConversion"/>
  </si>
  <si>
    <t>单一问题大类不关联，其他全条件关联查询，校验是否会返回数据并给与相关提示</t>
    <phoneticPr fontId="57" type="noConversion"/>
  </si>
  <si>
    <r>
      <t>1.出国开会
2.CAN</t>
    </r>
    <r>
      <rPr>
        <sz val="10"/>
        <rFont val="宋体"/>
        <family val="3"/>
        <charset val="134"/>
      </rPr>
      <t xml:space="preserve">
3.2017-01-11~2017-02-23
4.危险品描述</t>
    </r>
    <phoneticPr fontId="44" type="noConversion"/>
  </si>
  <si>
    <t>数据展示区为空并给与相应提示</t>
    <phoneticPr fontId="44" type="noConversion"/>
  </si>
  <si>
    <t>单一问题小类不关联，其他全条件关联查询，校验是否会返回数据并给与相关提示</t>
    <phoneticPr fontId="57" type="noConversion"/>
  </si>
  <si>
    <t>1.安全生产情况
2.CAN
3.2017-01-11~2017-02-23
4.特殊货物描述</t>
    <phoneticPr fontId="44" type="noConversion"/>
  </si>
  <si>
    <r>
      <t>1.安全生产情况
2.CAN
3.2017-0</t>
    </r>
    <r>
      <rPr>
        <sz val="10"/>
        <rFont val="宋体"/>
        <family val="3"/>
        <charset val="134"/>
      </rPr>
      <t>3</t>
    </r>
    <r>
      <rPr>
        <sz val="10"/>
        <rFont val="宋体"/>
        <family val="3"/>
        <charset val="134"/>
      </rPr>
      <t>-11~2017-0</t>
    </r>
    <r>
      <rPr>
        <sz val="10"/>
        <rFont val="宋体"/>
        <family val="3"/>
        <charset val="134"/>
      </rPr>
      <t>4</t>
    </r>
    <r>
      <rPr>
        <sz val="10"/>
        <rFont val="宋体"/>
        <family val="3"/>
        <charset val="134"/>
      </rPr>
      <t>-23
4.危险品描述</t>
    </r>
    <phoneticPr fontId="44" type="noConversion"/>
  </si>
  <si>
    <t>页面元素如下：
1.多行文本框：问题
2.标签：航站、上报人、上报日期、上报月份、填写说明
3.按钮：展开、附件、“删除问题”、“添加问题”、提交、取消
4.下拉框：上报年月</t>
    <phoneticPr fontId="44" type="noConversion"/>
  </si>
  <si>
    <t>界面输入框信息全部为空，航站、上报人取当前账号信息；上报日期、上报年月取当前时间；填写说明为后台维护数据</t>
    <phoneticPr fontId="44" type="noConversion"/>
  </si>
  <si>
    <t>只有一个问题时，删除问题异常校验</t>
    <phoneticPr fontId="44" type="noConversion"/>
  </si>
  <si>
    <t>1.总部人员身份
2.进入运行月报告上报页面
3.只存在一个问题小类</t>
    <phoneticPr fontId="57" type="noConversion"/>
  </si>
  <si>
    <t>1.总部人员身份
2.进入运行月报告上报页面
3.存在两个问题小类</t>
    <phoneticPr fontId="57" type="noConversion"/>
  </si>
  <si>
    <t>1.删除问题小类</t>
    <phoneticPr fontId="57" type="noConversion"/>
  </si>
  <si>
    <t>删除失败并给与相关提示</t>
    <phoneticPr fontId="57" type="noConversion"/>
  </si>
  <si>
    <t>1.删除第一个问题小类</t>
    <phoneticPr fontId="57" type="noConversion"/>
  </si>
  <si>
    <t>两个问题但是删除第一个问题的异常校验</t>
    <phoneticPr fontId="44" type="noConversion"/>
  </si>
  <si>
    <t>查询到所有的问题大类</t>
    <phoneticPr fontId="44" type="noConversion"/>
  </si>
  <si>
    <t>页面元素如下:
1.下拉框：问题大类
2.按钮：搜索、添加 
3.数据区显示列：序号、问题大类、最后修改时间、维护人、操作
4.数据区按钮：查看、修改、删除
5.翻页控件</t>
    <phoneticPr fontId="44" type="noConversion"/>
  </si>
  <si>
    <t>安全正常情况</t>
    <phoneticPr fontId="57" type="noConversion"/>
  </si>
  <si>
    <t>查询到对应的问题大类的相关信息</t>
    <phoneticPr fontId="44" type="noConversion"/>
  </si>
  <si>
    <t>问题类别维护添加</t>
    <phoneticPr fontId="57" type="noConversion"/>
  </si>
  <si>
    <t>1.总部人员身份
2.进入问题类别维护查询界面
3.存在三页及以上的记录</t>
    <phoneticPr fontId="57" type="noConversion"/>
  </si>
  <si>
    <t>1.安全生产情况
2.航站运作情况</t>
    <phoneticPr fontId="44" type="noConversion"/>
  </si>
  <si>
    <t>指定错误页码跳转校验</t>
    <phoneticPr fontId="46" type="noConversion"/>
  </si>
  <si>
    <t>提示输入页码输入有误并且跳转无效</t>
    <phoneticPr fontId="44" type="noConversion"/>
  </si>
  <si>
    <r>
      <t>1.输入问题大类
2.输入填写说明</t>
    </r>
    <r>
      <rPr>
        <sz val="10"/>
        <rFont val="宋体"/>
        <family val="3"/>
        <charset val="134"/>
      </rPr>
      <t xml:space="preserve">
</t>
    </r>
    <r>
      <rPr>
        <sz val="10"/>
        <rFont val="宋体"/>
        <family val="3"/>
        <charset val="134"/>
      </rPr>
      <t>3</t>
    </r>
    <r>
      <rPr>
        <sz val="10"/>
        <rFont val="宋体"/>
        <family val="3"/>
        <charset val="134"/>
      </rPr>
      <t>.点击“提交”</t>
    </r>
    <phoneticPr fontId="57" type="noConversion"/>
  </si>
  <si>
    <r>
      <t>1</t>
    </r>
    <r>
      <rPr>
        <sz val="10"/>
        <rFont val="宋体"/>
        <family val="3"/>
        <charset val="134"/>
      </rPr>
      <t>.危险品运作情况
2.如实填写</t>
    </r>
    <phoneticPr fontId="57" type="noConversion"/>
  </si>
  <si>
    <t>1.危险品泄露
2.如实填写</t>
    <phoneticPr fontId="57" type="noConversion"/>
  </si>
  <si>
    <t>1.危险品破坏
2.安全生产情况</t>
    <phoneticPr fontId="57" type="noConversion"/>
  </si>
  <si>
    <r>
      <t>1</t>
    </r>
    <r>
      <rPr>
        <sz val="10"/>
        <rFont val="宋体"/>
        <family val="3"/>
        <charset val="134"/>
      </rPr>
      <t>.总部人员身份
2.进入问题类别维护添加界面</t>
    </r>
    <phoneticPr fontId="57" type="noConversion"/>
  </si>
  <si>
    <r>
      <t>1.</t>
    </r>
    <r>
      <rPr>
        <sz val="10"/>
        <rFont val="宋体"/>
        <family val="3"/>
        <charset val="134"/>
      </rPr>
      <t>总部人员身份
2.进入问题类别维护添加界面
3.存在两个问题小类</t>
    </r>
    <phoneticPr fontId="57" type="noConversion"/>
  </si>
  <si>
    <t xml:space="preserve">页面元素如下:
1.文本框：问题大类、问题小类、填写说明
3.按钮：取消、提交、“添加问题小类”、“删除问题小类” </t>
    <phoneticPr fontId="44" type="noConversion"/>
  </si>
  <si>
    <t>页面所有输入框数据为空、全部元素全部处于可操作状态</t>
    <phoneticPr fontId="44" type="noConversion"/>
  </si>
  <si>
    <t>问题大类修改为空可行性校验</t>
    <phoneticPr fontId="44" type="noConversion"/>
  </si>
  <si>
    <t>1.将问题大类修改为空
2.点击提交</t>
    <phoneticPr fontId="57" type="noConversion"/>
  </si>
  <si>
    <t>查询到所有航站所有月份的总上报率</t>
    <phoneticPr fontId="44" type="noConversion"/>
  </si>
  <si>
    <t>1.选择大区
2.点击“搜索”</t>
    <phoneticPr fontId="44" type="noConversion"/>
  </si>
  <si>
    <t>单一大区不关联，其他全条件关联查询，校验是否会返回数据并给与相关提示</t>
    <phoneticPr fontId="57" type="noConversion"/>
  </si>
  <si>
    <t>单一航站不关联，其他全条件关联查询，校验是否会返回数据并给与相关提示</t>
    <phoneticPr fontId="57" type="noConversion"/>
  </si>
  <si>
    <r>
      <t>1.2018-01-11~2018-0</t>
    </r>
    <r>
      <rPr>
        <sz val="10"/>
        <rFont val="宋体"/>
        <family val="3"/>
        <charset val="134"/>
      </rPr>
      <t>2</t>
    </r>
    <r>
      <rPr>
        <sz val="10"/>
        <rFont val="宋体"/>
        <family val="3"/>
        <charset val="134"/>
      </rPr>
      <t>-08
2.华北
3.PEK</t>
    </r>
    <phoneticPr fontId="44" type="noConversion"/>
  </si>
  <si>
    <t>1.2018-01-11~2018-02-08
2.华南
3.PEK</t>
    <phoneticPr fontId="44" type="noConversion"/>
  </si>
  <si>
    <r>
      <t>1.2018-01-11~2018-02</t>
    </r>
    <r>
      <rPr>
        <sz val="10"/>
        <rFont val="宋体"/>
        <family val="3"/>
        <charset val="134"/>
      </rPr>
      <t>-08
2.华北
3.</t>
    </r>
    <r>
      <rPr>
        <sz val="10"/>
        <rFont val="宋体"/>
        <family val="3"/>
        <charset val="134"/>
      </rPr>
      <t>SZX</t>
    </r>
    <phoneticPr fontId="44" type="noConversion"/>
  </si>
  <si>
    <r>
      <t>1.2018-11-11~2018-12</t>
    </r>
    <r>
      <rPr>
        <sz val="10"/>
        <rFont val="宋体"/>
        <family val="3"/>
        <charset val="134"/>
      </rPr>
      <t>-08
2.华北
3.PEK</t>
    </r>
    <phoneticPr fontId="44" type="noConversion"/>
  </si>
  <si>
    <r>
      <t>1.</t>
    </r>
    <r>
      <rPr>
        <sz val="10"/>
        <rFont val="宋体"/>
        <family val="3"/>
        <charset val="134"/>
      </rPr>
      <t>总部人员身份
2.进入运行月报告上报率统计界面
3.存在三页及以上记录</t>
    </r>
    <phoneticPr fontId="44" type="noConversion"/>
  </si>
  <si>
    <t>数据展示区中，区域图标应该比航站图标长一倍</t>
    <phoneticPr fontId="57" type="noConversion"/>
  </si>
  <si>
    <t>1.总部人员身份
2.进入运行月报告上报率统计界面
3.存在记录</t>
    <phoneticPr fontId="44" type="noConversion"/>
  </si>
  <si>
    <t>数据展示区中，区域图标应该比航站图标长度校验</t>
    <phoneticPr fontId="57" type="noConversion"/>
  </si>
  <si>
    <t>数据展示区中，小数点位数校验</t>
    <phoneticPr fontId="57" type="noConversion"/>
  </si>
  <si>
    <t>1.总部人员身份
2.进入运行月报告上报率统计界面
3.存在上报率含小数点的记录</t>
    <phoneticPr fontId="44" type="noConversion"/>
  </si>
  <si>
    <t>采用四舍五入的方法，保留小数点后两位</t>
    <phoneticPr fontId="57" type="noConversion"/>
  </si>
  <si>
    <t>搜索结果数量统计是否正确</t>
    <phoneticPr fontId="44" type="noConversion"/>
  </si>
  <si>
    <t>PEK</t>
    <phoneticPr fontId="44" type="noConversion"/>
  </si>
  <si>
    <t>显示的结果数与标签“共搜索到X条数据”中的X相等</t>
    <phoneticPr fontId="44" type="noConversion"/>
  </si>
  <si>
    <t xml:space="preserve">
页面元素如下:
1.文本框：航站、员工号、姓名
2.标签：共搜索到X条数据
3.按钮：搜索、离岗报备 
4.数据区显示列：员工号、中文姓名、外文姓名、所属航站、事由、离岗时间、天数、状态、提交人、操作
5.数据区按钮：查看、删除
6.日期控件：离岗时间
7.翻页控件
</t>
    <phoneticPr fontId="44" type="noConversion"/>
  </si>
  <si>
    <t>1.选择离岗时间
2.点击搜索</t>
    <phoneticPr fontId="44" type="noConversion"/>
  </si>
  <si>
    <t>1.选择已审批状态
2.点击搜索</t>
    <phoneticPr fontId="44" type="noConversion"/>
  </si>
  <si>
    <t>1.选择已拒绝状态
2.点击搜索</t>
    <phoneticPr fontId="44" type="noConversion"/>
  </si>
  <si>
    <t>校验负责人电话和邮箱自动填充是否正确</t>
    <phoneticPr fontId="44" type="noConversion"/>
  </si>
  <si>
    <t>根据负责人自动填写电话和邮箱且与后台维护的负责人电话一致</t>
    <phoneticPr fontId="44" type="noConversion"/>
  </si>
  <si>
    <t>中文姓名、外文姓名、所属航站自动填充为空</t>
    <phoneticPr fontId="44" type="noConversion"/>
  </si>
  <si>
    <t>1.修改员工号
2.输入中文姓名
3.输入外文姓名
4.输入所属航站
5.事由
6.离岗时间
7.填报人电话
8.填报人邮箱
9.选择负责人
10.点击添加</t>
    <phoneticPr fontId="44" type="noConversion"/>
  </si>
  <si>
    <t>1.
2.Jiny
3.PEK
4.出国旅行
5.2017-10-1~2017-10-07
6.13829362187
7.442444109@qq.com
8.袁健康</t>
    <phoneticPr fontId="44" type="noConversion"/>
  </si>
  <si>
    <t>1.修改员工号
2.输入中文名
3.输入外文名
4.输入所属航站
5.事由
6.离岗时间
7.填报人电话
8.填报人邮箱
9.选择负责人
10.点击添加</t>
    <phoneticPr fontId="44" type="noConversion"/>
  </si>
  <si>
    <t>1.选择事由
2.输入离岗时间
3.输入电话
4.输入邮箱
5.输入负责人
6.修改所属航站
7.勾选内部审批
8.点击添加</t>
    <phoneticPr fontId="44" type="noConversion"/>
  </si>
  <si>
    <t>校验是否能帮非登录账号添加离岗报备</t>
    <phoneticPr fontId="44" type="noConversion"/>
  </si>
  <si>
    <t>1.出国旅行
2.2017-10-1~2017-10-07
3.13829362187
4.442444109@qq.com
5.袁健康
6.1340121139</t>
    <phoneticPr fontId="44" type="noConversion"/>
  </si>
  <si>
    <t>全条件关联查询</t>
    <phoneticPr fontId="44" type="noConversion"/>
  </si>
  <si>
    <t>1.杨国军
2.PEK
3.2017-10-11~2017-11-12</t>
    <phoneticPr fontId="44" type="noConversion"/>
  </si>
  <si>
    <t>根据条件筛选出对应数据</t>
    <phoneticPr fontId="44" type="noConversion"/>
  </si>
  <si>
    <t>1.选择一个未批准的离岗报备，点击“审批”
2.点击同意</t>
    <phoneticPr fontId="44" type="noConversion"/>
  </si>
  <si>
    <t>1.选择一个未批准的离岗报备，点击“审批”</t>
    <phoneticPr fontId="44" type="noConversion"/>
  </si>
  <si>
    <t>校验审批子页面是否能够增加事由</t>
    <phoneticPr fontId="44" type="noConversion"/>
  </si>
  <si>
    <t>校验审批子页面是否能够删除事由</t>
    <phoneticPr fontId="44" type="noConversion"/>
  </si>
  <si>
    <t>1.选择一个未批准的离岗报备，点击“审批”
3.点击“增加事由”按钮</t>
    <phoneticPr fontId="44" type="noConversion"/>
  </si>
  <si>
    <t>1.选择一个未批准的离岗报备，点击“审批”
3.点击“删除事由”按钮</t>
    <phoneticPr fontId="44" type="noConversion"/>
  </si>
  <si>
    <t>操作无效并给与相应提示</t>
    <phoneticPr fontId="44" type="noConversion"/>
  </si>
  <si>
    <t>页面元素如下:
1.文本框：航站、姓名
3.按钮：搜索、节假日报备 
4.数据区显示列：员工号、中文姓名、外文姓名、所属航站、值班时间、提交人、操作
5.数据区按钮：查看、删除
6.日期控件：值班日期
7.翻页控件</t>
    <phoneticPr fontId="44" type="noConversion"/>
  </si>
  <si>
    <t>页面元素如下:
1.文本框：员工号、中文姓名、外文姓名、所属航站、邮箱、电话
2.按钮：取消、添加、“添加在岗时间”、“删除在岗时间”
3.日期控件：在岗时间
4.翻页控件
5.标签：填报人</t>
    <phoneticPr fontId="44" type="noConversion"/>
  </si>
  <si>
    <t>1.
2.杨开运
3.Jina
4.PEK
5.13578849758
6.442444109@qq.com
7.2018-01-17~2018-01-18
8.18814953624
9.1104628947@qq.com</t>
    <phoneticPr fontId="44" type="noConversion"/>
  </si>
  <si>
    <t>节假日值班报备时区校验</t>
    <phoneticPr fontId="44" type="noConversion"/>
  </si>
  <si>
    <t>添加成功并能在节假日报备查询中查询到相关记录</t>
    <phoneticPr fontId="44" type="noConversion"/>
  </si>
  <si>
    <t>1.选择在岗时间
2.点击“搜索”</t>
    <phoneticPr fontId="44" type="noConversion"/>
  </si>
  <si>
    <t>与测试数据部分重合的记录对应在岗状态都为部分在岗</t>
    <phoneticPr fontId="44" type="noConversion"/>
  </si>
  <si>
    <t>1.总部人员身份
2.航站负责人即时查询界面
3.存在PEK负责人李强2018-01-17~2018-01-18离岗报备
4.DFW时区登录
5.本地时间为2018-01-16 10:00</t>
    <phoneticPr fontId="44" type="noConversion"/>
  </si>
  <si>
    <t>1.总部人员身份
2.航站负责人即时查询界面
3.存在PEK负责人李强2018-01-17~2018-01-18离岗报备
4.DFW时区登录
5.本地时间为2018-01-18 14:00</t>
    <phoneticPr fontId="44" type="noConversion"/>
  </si>
  <si>
    <t>校验不同时区登录，对应的负责人报备时间超过最晚时间一分钟时是否有效</t>
    <phoneticPr fontId="46" type="noConversion"/>
  </si>
  <si>
    <t>校验不同时区登录，对应的负责人报备时间等于最晚时间时是否有效</t>
    <phoneticPr fontId="46" type="noConversion"/>
  </si>
  <si>
    <t>校验不同时区登录，对应的负责人报备时间等于最早时间时是否有效</t>
    <phoneticPr fontId="46" type="noConversion"/>
  </si>
  <si>
    <t>校验不同时区登录，对应的负责人报备时间离最早时间还差一分钟时是否有效</t>
    <phoneticPr fontId="46" type="noConversion"/>
  </si>
  <si>
    <t>1.选择一个未批准的离岗报备，点击“审批”
2.点击拒绝</t>
    <phoneticPr fontId="44" type="noConversion"/>
  </si>
  <si>
    <t>在审批查询界面消失且查询不到；在离岗报备查询中能查询到该记录，点击查看进去后状态变为已同意</t>
    <phoneticPr fontId="44" type="noConversion"/>
  </si>
  <si>
    <t>在审批查询界面消失且查询不到；在离岗报备查询中能查询到该记录，点击查看进去后状态变为已拒绝</t>
    <phoneticPr fontId="44" type="noConversion"/>
  </si>
  <si>
    <t>未审批报备删除功能有效性校验</t>
    <phoneticPr fontId="44" type="noConversion"/>
  </si>
  <si>
    <t>已同意报备删除功能有效性校验</t>
    <phoneticPr fontId="44" type="noConversion"/>
  </si>
  <si>
    <t>1.选择一条未审批报备数据
2.点击删除</t>
    <phoneticPr fontId="44" type="noConversion"/>
  </si>
  <si>
    <t>1.选择一条已同意报备数据
2.点击删除</t>
    <phoneticPr fontId="44" type="noConversion"/>
  </si>
  <si>
    <t>已拒绝报备删除功能有效性校验</t>
    <phoneticPr fontId="44" type="noConversion"/>
  </si>
  <si>
    <t>1.选择一条已拒绝报备数据
2.点击删除</t>
    <phoneticPr fontId="44" type="noConversion"/>
  </si>
  <si>
    <t>1.总部人员身份
2.进入管理员站内信界面
3.存在至少一封未点击过的站内信</t>
    <phoneticPr fontId="44" type="noConversion"/>
  </si>
  <si>
    <t>校验未点击过的站内信状态</t>
    <phoneticPr fontId="44" type="noConversion"/>
  </si>
  <si>
    <t>校验点击过的站内信状态</t>
    <phoneticPr fontId="44" type="noConversion"/>
  </si>
  <si>
    <t>未点击过的站内信为未读状态</t>
    <phoneticPr fontId="44" type="noConversion"/>
  </si>
  <si>
    <t>点击过的站内信为已读状态</t>
    <phoneticPr fontId="44" type="noConversion"/>
  </si>
  <si>
    <t>1.点击未读状态站内信的标题</t>
    <phoneticPr fontId="44" type="noConversion"/>
  </si>
  <si>
    <t>1.总部人员身份
2.进入管理员站内信界面
3.存在至少一封未读状态的站内信</t>
    <phoneticPr fontId="44" type="noConversion"/>
  </si>
  <si>
    <t>错误页码跳转校验</t>
  </si>
  <si>
    <r>
      <rPr>
        <sz val="10"/>
        <rFont val="宋体"/>
        <family val="3"/>
        <charset val="134"/>
      </rPr>
      <t>1</t>
    </r>
    <r>
      <rPr>
        <sz val="10"/>
        <rFont val="宋体"/>
        <family val="3"/>
        <charset val="134"/>
      </rPr>
      <t xml:space="preserve">.输入航站
</t>
    </r>
    <r>
      <rPr>
        <sz val="10"/>
        <rFont val="宋体"/>
        <family val="3"/>
        <charset val="134"/>
      </rPr>
      <t>2</t>
    </r>
    <r>
      <rPr>
        <sz val="10"/>
        <rFont val="宋体"/>
        <family val="3"/>
        <charset val="134"/>
      </rPr>
      <t xml:space="preserve">.选择日期
</t>
    </r>
    <r>
      <rPr>
        <sz val="10"/>
        <rFont val="宋体"/>
        <family val="3"/>
        <charset val="134"/>
      </rPr>
      <t>3.勾选未上报
4.点击“搜索”</t>
    </r>
    <phoneticPr fontId="44" type="noConversion"/>
  </si>
  <si>
    <t>BBTJ</t>
    <phoneticPr fontId="44" type="noConversion"/>
  </si>
  <si>
    <r>
      <t>W</t>
    </r>
    <r>
      <rPr>
        <sz val="10.5"/>
        <rFont val="宋体"/>
        <family val="3"/>
        <charset val="134"/>
      </rPr>
      <t>TCX</t>
    </r>
    <phoneticPr fontId="44" type="noConversion"/>
  </si>
  <si>
    <t>1.输入问题大类
2.输入问题小类
3.输入填写说明
4.点击“提交”</t>
    <phoneticPr fontId="57" type="noConversion"/>
  </si>
  <si>
    <t>1.点击“添加问题小类”按钮</t>
    <phoneticPr fontId="57" type="noConversion"/>
  </si>
  <si>
    <t>1.点击“删除问题小类”按钮删除第二个问题小类</t>
    <phoneticPr fontId="57" type="noConversion"/>
  </si>
  <si>
    <t>添加一个问题小类可用性校验</t>
    <phoneticPr fontId="44" type="noConversion"/>
  </si>
  <si>
    <t>添加十个问题小类可用性校验</t>
    <phoneticPr fontId="44" type="noConversion"/>
  </si>
  <si>
    <t>1.点击“添加问题小类”按钮十次</t>
    <phoneticPr fontId="57" type="noConversion"/>
  </si>
  <si>
    <t>页面多出十组问题小类供用户填写</t>
    <phoneticPr fontId="57" type="noConversion"/>
  </si>
  <si>
    <t>删除第二个问题小类可用性校验</t>
    <phoneticPr fontId="44" type="noConversion"/>
  </si>
  <si>
    <t>删除第一个问题小类可用性校验</t>
    <phoneticPr fontId="44" type="noConversion"/>
  </si>
  <si>
    <t>1.点击“删除问题小类”按钮删除问题小类</t>
    <phoneticPr fontId="57" type="noConversion"/>
  </si>
  <si>
    <t>1.总部人员身份
2.进入问题类别维护添加界面
3.只存在一个问题小类</t>
    <phoneticPr fontId="57" type="noConversion"/>
  </si>
  <si>
    <t>1.输入问题大类
2.点击搜索
3.修改问题大类
4.点击搜索</t>
    <phoneticPr fontId="44" type="noConversion"/>
  </si>
  <si>
    <t>单问题小类添加功能有效性校验</t>
    <phoneticPr fontId="44" type="noConversion"/>
  </si>
  <si>
    <t>1.输入问题大类
2.添加十个问题小类
3.填写十个问题小类
3.输入填写说明
4.点击“提交”</t>
    <phoneticPr fontId="57" type="noConversion"/>
  </si>
  <si>
    <t>1.安全生产情况2
2.安全1
3.仔细填写</t>
    <phoneticPr fontId="57" type="noConversion"/>
  </si>
  <si>
    <t>1.安全生产情况2
2.十个问题小类
3.仔细填写</t>
    <phoneticPr fontId="57" type="noConversion"/>
  </si>
  <si>
    <t>问题小类最长填写长度校验</t>
    <phoneticPr fontId="57" type="noConversion"/>
  </si>
  <si>
    <t>问题大类超填写长度校验</t>
    <phoneticPr fontId="57" type="noConversion"/>
  </si>
  <si>
    <t>问题大类最长填写长度校验</t>
    <phoneticPr fontId="57" type="noConversion"/>
  </si>
  <si>
    <t>填写说明最长填写长度校验</t>
    <phoneticPr fontId="57" type="noConversion"/>
  </si>
  <si>
    <t>问题小类超填写长度校验</t>
    <phoneticPr fontId="57" type="noConversion"/>
  </si>
  <si>
    <t>填写说明超填写长度校验</t>
    <phoneticPr fontId="57" type="noConversion"/>
  </si>
  <si>
    <r>
      <t>1.安全生产1</t>
    </r>
    <r>
      <rPr>
        <sz val="10"/>
        <rFont val="宋体"/>
        <family val="3"/>
        <charset val="134"/>
      </rPr>
      <t xml:space="preserve">
</t>
    </r>
    <r>
      <rPr>
        <sz val="10"/>
        <rFont val="宋体"/>
        <family val="3"/>
        <charset val="134"/>
      </rPr>
      <t>2.</t>
    </r>
    <r>
      <rPr>
        <sz val="10"/>
        <rFont val="宋体"/>
        <family val="3"/>
        <charset val="134"/>
      </rPr>
      <t>填写2</t>
    </r>
    <r>
      <rPr>
        <sz val="10"/>
        <rFont val="宋体"/>
        <family val="3"/>
        <charset val="134"/>
      </rPr>
      <t>1</t>
    </r>
    <r>
      <rPr>
        <sz val="10"/>
        <rFont val="宋体"/>
        <family val="3"/>
        <charset val="134"/>
      </rPr>
      <t xml:space="preserve">个中文
</t>
    </r>
    <r>
      <rPr>
        <sz val="10"/>
        <rFont val="宋体"/>
        <family val="3"/>
        <charset val="134"/>
      </rPr>
      <t>3.注意尽量详细</t>
    </r>
    <phoneticPr fontId="57" type="noConversion"/>
  </si>
  <si>
    <r>
      <t>1.安全生产1</t>
    </r>
    <r>
      <rPr>
        <sz val="10"/>
        <rFont val="宋体"/>
        <family val="3"/>
        <charset val="134"/>
      </rPr>
      <t xml:space="preserve">
</t>
    </r>
    <r>
      <rPr>
        <sz val="10"/>
        <rFont val="宋体"/>
        <family val="3"/>
        <charset val="134"/>
      </rPr>
      <t>2.</t>
    </r>
    <r>
      <rPr>
        <sz val="10"/>
        <rFont val="宋体"/>
        <family val="3"/>
        <charset val="134"/>
      </rPr>
      <t xml:space="preserve">危险品保存情况
</t>
    </r>
    <r>
      <rPr>
        <sz val="10"/>
        <rFont val="宋体"/>
        <family val="3"/>
        <charset val="134"/>
      </rPr>
      <t>3.150个中文</t>
    </r>
    <phoneticPr fontId="57" type="noConversion"/>
  </si>
  <si>
    <r>
      <t>1.安全生产1</t>
    </r>
    <r>
      <rPr>
        <sz val="10"/>
        <rFont val="宋体"/>
        <family val="3"/>
        <charset val="134"/>
      </rPr>
      <t xml:space="preserve">
</t>
    </r>
    <r>
      <rPr>
        <sz val="10"/>
        <rFont val="宋体"/>
        <family val="3"/>
        <charset val="134"/>
      </rPr>
      <t>2.</t>
    </r>
    <r>
      <rPr>
        <sz val="10"/>
        <rFont val="宋体"/>
        <family val="3"/>
        <charset val="134"/>
      </rPr>
      <t xml:space="preserve">20个中文
</t>
    </r>
    <r>
      <rPr>
        <sz val="10"/>
        <rFont val="宋体"/>
        <family val="3"/>
        <charset val="134"/>
      </rPr>
      <t>3.注意尽量详细</t>
    </r>
    <phoneticPr fontId="57" type="noConversion"/>
  </si>
  <si>
    <r>
      <t>1.20个中文</t>
    </r>
    <r>
      <rPr>
        <sz val="10"/>
        <rFont val="宋体"/>
        <family val="3"/>
        <charset val="134"/>
      </rPr>
      <t xml:space="preserve">
</t>
    </r>
    <r>
      <rPr>
        <sz val="10"/>
        <rFont val="宋体"/>
        <family val="3"/>
        <charset val="134"/>
      </rPr>
      <t>2.</t>
    </r>
    <r>
      <rPr>
        <sz val="10"/>
        <rFont val="宋体"/>
        <family val="3"/>
        <charset val="134"/>
      </rPr>
      <t xml:space="preserve">危险品保存情况
</t>
    </r>
    <r>
      <rPr>
        <sz val="10"/>
        <rFont val="宋体"/>
        <family val="3"/>
        <charset val="134"/>
      </rPr>
      <t>3.注意尽量详细</t>
    </r>
    <r>
      <rPr>
        <sz val="11"/>
        <color theme="1"/>
        <rFont val="宋体"/>
        <family val="2"/>
        <scheme val="minor"/>
      </rPr>
      <t/>
    </r>
    <phoneticPr fontId="57" type="noConversion"/>
  </si>
  <si>
    <r>
      <t>1.21个中文</t>
    </r>
    <r>
      <rPr>
        <sz val="10"/>
        <rFont val="宋体"/>
        <family val="3"/>
        <charset val="134"/>
      </rPr>
      <t xml:space="preserve">
</t>
    </r>
    <r>
      <rPr>
        <sz val="10"/>
        <rFont val="宋体"/>
        <family val="3"/>
        <charset val="134"/>
      </rPr>
      <t>2.</t>
    </r>
    <r>
      <rPr>
        <sz val="10"/>
        <rFont val="宋体"/>
        <family val="3"/>
        <charset val="134"/>
      </rPr>
      <t xml:space="preserve">危险品保存情况
</t>
    </r>
    <r>
      <rPr>
        <sz val="10"/>
        <rFont val="宋体"/>
        <family val="3"/>
        <charset val="134"/>
      </rPr>
      <t>3.注意尽量详细</t>
    </r>
    <r>
      <rPr>
        <sz val="11"/>
        <color theme="1"/>
        <rFont val="宋体"/>
        <family val="2"/>
        <scheme val="minor"/>
      </rPr>
      <t/>
    </r>
    <phoneticPr fontId="57" type="noConversion"/>
  </si>
  <si>
    <r>
      <t>1.安全生产1</t>
    </r>
    <r>
      <rPr>
        <sz val="10"/>
        <rFont val="宋体"/>
        <family val="3"/>
        <charset val="134"/>
      </rPr>
      <t xml:space="preserve">
</t>
    </r>
    <r>
      <rPr>
        <sz val="10"/>
        <rFont val="宋体"/>
        <family val="3"/>
        <charset val="134"/>
      </rPr>
      <t>2.</t>
    </r>
    <r>
      <rPr>
        <sz val="10"/>
        <rFont val="宋体"/>
        <family val="3"/>
        <charset val="134"/>
      </rPr>
      <t xml:space="preserve">危险品保存情况
</t>
    </r>
    <r>
      <rPr>
        <sz val="10"/>
        <rFont val="宋体"/>
        <family val="3"/>
        <charset val="134"/>
      </rPr>
      <t>3.151个中文</t>
    </r>
    <phoneticPr fontId="57" type="noConversion"/>
  </si>
  <si>
    <t>添加成功并返回查询界面</t>
    <phoneticPr fontId="57" type="noConversion"/>
  </si>
  <si>
    <t>10个问题小类添加有效性校验</t>
    <phoneticPr fontId="44" type="noConversion"/>
  </si>
  <si>
    <t>1.总部人员身份
2.进入问题类别维护修改界面
3.只存在一个问题小类</t>
    <phoneticPr fontId="57" type="noConversion"/>
  </si>
  <si>
    <t>1.总部人员身份
2.进入问题类别维护修改界面
3.存在两个问题小类</t>
    <phoneticPr fontId="57" type="noConversion"/>
  </si>
  <si>
    <t>单问题小类修改功能有效性校验</t>
    <phoneticPr fontId="44" type="noConversion"/>
  </si>
  <si>
    <t>修改成功并返回查询界面</t>
    <phoneticPr fontId="57" type="noConversion"/>
  </si>
  <si>
    <t>1.总部人员身份
2.进入问题类别维护修改界面
3.修改的是单问题小类的问题</t>
    <phoneticPr fontId="57" type="noConversion"/>
  </si>
  <si>
    <t>1.输入问题大类
2.添加十个问题小类
3.填写十个问题小类
4.输入填写说明
5.点击“提交”</t>
    <phoneticPr fontId="57" type="noConversion"/>
  </si>
  <si>
    <t>1.选择负责人</t>
    <phoneticPr fontId="44" type="noConversion"/>
  </si>
  <si>
    <t>1.修改员工号</t>
    <phoneticPr fontId="44" type="noConversion"/>
  </si>
  <si>
    <t>1.修改中文姓名</t>
    <phoneticPr fontId="44" type="noConversion"/>
  </si>
  <si>
    <t>1.修改外文姓名</t>
    <phoneticPr fontId="44" type="noConversion"/>
  </si>
  <si>
    <t>1.修改所属航站</t>
    <phoneticPr fontId="44" type="noConversion"/>
  </si>
  <si>
    <t>1.修改负责人电话</t>
    <phoneticPr fontId="44" type="noConversion"/>
  </si>
  <si>
    <t>1.修改负责人邮箱</t>
    <phoneticPr fontId="44" type="noConversion"/>
  </si>
  <si>
    <t>1.选择上报时间
2.点击“搜索”</t>
    <phoneticPr fontId="44" type="noConversion"/>
  </si>
  <si>
    <t>1.输入姓名
2.点击“搜索”</t>
    <phoneticPr fontId="44" type="noConversion"/>
  </si>
  <si>
    <t>1.输入航站
2.点击搜索
3.修改航站
4.点击搜索</t>
    <phoneticPr fontId="44" type="noConversion"/>
  </si>
  <si>
    <t>1.点击第二页页码</t>
    <phoneticPr fontId="44" type="noConversion"/>
  </si>
  <si>
    <t>1.点击第二页页码
2.点击上一页功能图标</t>
    <phoneticPr fontId="44" type="noConversion"/>
  </si>
  <si>
    <t>1.输入航站
2.选择日期
3.选择在岗状态
4.点击“搜索”</t>
    <phoneticPr fontId="44" type="noConversion"/>
  </si>
  <si>
    <r>
      <t>1</t>
    </r>
    <r>
      <rPr>
        <sz val="10"/>
        <rFont val="宋体"/>
        <family val="3"/>
        <charset val="134"/>
      </rPr>
      <t>.</t>
    </r>
    <r>
      <rPr>
        <sz val="10"/>
        <rFont val="宋体"/>
        <family val="3"/>
        <charset val="134"/>
      </rPr>
      <t xml:space="preserve">输入航站
</t>
    </r>
    <phoneticPr fontId="44" type="noConversion"/>
  </si>
  <si>
    <r>
      <t>1</t>
    </r>
    <r>
      <rPr>
        <sz val="10"/>
        <rFont val="宋体"/>
        <family val="3"/>
        <charset val="134"/>
      </rPr>
      <t>.</t>
    </r>
    <r>
      <rPr>
        <sz val="10"/>
        <rFont val="宋体"/>
        <family val="3"/>
        <charset val="134"/>
      </rPr>
      <t>点击查看</t>
    </r>
    <phoneticPr fontId="44" type="noConversion"/>
  </si>
  <si>
    <r>
      <t>1</t>
    </r>
    <r>
      <rPr>
        <sz val="10"/>
        <rFont val="宋体"/>
        <family val="3"/>
        <charset val="134"/>
      </rPr>
      <t>.</t>
    </r>
    <r>
      <rPr>
        <sz val="10"/>
        <rFont val="宋体"/>
        <family val="3"/>
        <charset val="134"/>
      </rPr>
      <t>删除一条数据</t>
    </r>
    <phoneticPr fontId="44" type="noConversion"/>
  </si>
  <si>
    <t>1.删除一条数据</t>
    <phoneticPr fontId="44" type="noConversion"/>
  </si>
  <si>
    <t>删除报备数据功能校验</t>
    <phoneticPr fontId="44" type="noConversion"/>
  </si>
  <si>
    <t>校验修改成10个问题小类的有效性</t>
    <phoneticPr fontId="44" type="noConversion"/>
  </si>
  <si>
    <t>校验站长邮箱填写存在除@和.外的特殊符号时添加是否可以添加并且是否会弹出相应提醒</t>
    <phoneticPr fontId="44" type="noConversion"/>
  </si>
  <si>
    <t>校验填报人邮箱填写存在除@和.外的特殊符号时添加是否可以添加并且是否会弹出相应提醒</t>
    <phoneticPr fontId="44" type="noConversion"/>
  </si>
  <si>
    <t>校验邮箱填写存在除@和.外的特殊符号时添加是否可以添加并且是否会弹出相应提醒</t>
    <phoneticPr fontId="44" type="noConversion"/>
  </si>
  <si>
    <t>1.点击删除事由按钮删除第二条事由</t>
    <phoneticPr fontId="44" type="noConversion"/>
  </si>
  <si>
    <t>校验双事由删除第二条功能是否有效</t>
    <phoneticPr fontId="44" type="noConversion"/>
  </si>
  <si>
    <t>校验双事由删除第一条事由是否有效</t>
    <phoneticPr fontId="44" type="noConversion"/>
  </si>
  <si>
    <t>1.点击删除事由按钮删除第一条事由</t>
    <phoneticPr fontId="44" type="noConversion"/>
  </si>
  <si>
    <t>上传覆盖有效性校验</t>
    <phoneticPr fontId="46" type="noConversion"/>
  </si>
  <si>
    <t>1.总部人员身份
2.进入通讯录界面
3.已存在上传的通讯录</t>
    <phoneticPr fontId="61" type="noConversion"/>
  </si>
  <si>
    <t>下载的通讯录文件与刚刚上传文件一致</t>
    <phoneticPr fontId="61" type="noConversion"/>
  </si>
  <si>
    <t>校验这个月已经上传过运行月报告的情况下是否能够继续上传</t>
    <phoneticPr fontId="44" type="noConversion"/>
  </si>
  <si>
    <t>1.填写问题
2.点击提交</t>
    <phoneticPr fontId="57" type="noConversion"/>
  </si>
  <si>
    <t>1.安全生产情况22
2.安全1
3.仔细填写</t>
    <phoneticPr fontId="57" type="noConversion"/>
  </si>
  <si>
    <t>1.总部人员身份
2.进入问题类别维护添加界面
3.系统已存在相同问题大类</t>
    <phoneticPr fontId="57" type="noConversion"/>
  </si>
  <si>
    <t>校验是否可以重复添加同样的问题大类</t>
    <phoneticPr fontId="57" type="noConversion"/>
  </si>
  <si>
    <t>1.总部人员身份
2.进入问题类别维护添加界面
3.系统已存在相同问题小类</t>
    <phoneticPr fontId="57" type="noConversion"/>
  </si>
  <si>
    <t>1.安全生产情况23
2.安全1
3.仔细填写</t>
    <phoneticPr fontId="57" type="noConversion"/>
  </si>
  <si>
    <t>校验是否可以再一个大类中重复添加同样的问题小类</t>
    <phoneticPr fontId="57" type="noConversion"/>
  </si>
  <si>
    <t>1.输入问题大类
2.输入问题小类
3.点击添加问题小类
4.填写问题小类2
5.输入填写说明
6.点击“提交”</t>
    <phoneticPr fontId="57" type="noConversion"/>
  </si>
  <si>
    <t>1.安全生产情况23
2.安全1
3.安全1
4.仔细填写</t>
    <phoneticPr fontId="57" type="noConversion"/>
  </si>
  <si>
    <t>1.输入问题大类
2.输入问题小类
5.输入填写说明
6.点击“提交”</t>
    <phoneticPr fontId="57" type="noConversion"/>
  </si>
  <si>
    <t>1.总部人员身份
2.进入问题类别维护添加界面
3.系统其他大类已存在相同问题小类</t>
    <phoneticPr fontId="57" type="noConversion"/>
  </si>
  <si>
    <t>校验是否可以在不同大类中添加一个同样的问题小类</t>
    <phoneticPr fontId="57" type="noConversion"/>
  </si>
  <si>
    <t>2017-10-01</t>
    <phoneticPr fontId="44" type="noConversion"/>
  </si>
  <si>
    <t>袁国军</t>
    <phoneticPr fontId="44" type="noConversion"/>
  </si>
  <si>
    <t>航站二期</t>
    <phoneticPr fontId="44" type="noConversion"/>
  </si>
  <si>
    <t>根据登录账号的员工号自动填写且与后台维护的员工号、中文姓名、外文姓名、所属航站一致</t>
  </si>
  <si>
    <t>测试标识</t>
  </si>
  <si>
    <t>Web</t>
    <phoneticPr fontId="44" type="noConversion"/>
  </si>
  <si>
    <r>
      <t>L</t>
    </r>
    <r>
      <rPr>
        <sz val="10.5"/>
        <rFont val="宋体"/>
        <family val="3"/>
        <charset val="134"/>
      </rPr>
      <t>GBB</t>
    </r>
    <phoneticPr fontId="44" type="noConversion"/>
  </si>
  <si>
    <r>
      <t>J</t>
    </r>
    <r>
      <rPr>
        <sz val="10.5"/>
        <rFont val="宋体"/>
        <family val="3"/>
        <charset val="134"/>
      </rPr>
      <t>RBB</t>
    </r>
    <phoneticPr fontId="44" type="noConversion"/>
  </si>
  <si>
    <r>
      <t>LB</t>
    </r>
    <r>
      <rPr>
        <sz val="10.5"/>
        <rFont val="宋体"/>
        <family val="3"/>
        <charset val="134"/>
      </rPr>
      <t>WH</t>
    </r>
    <phoneticPr fontId="44" type="noConversion"/>
  </si>
  <si>
    <t>通讯录和站内信</t>
    <phoneticPr fontId="44" type="noConversion"/>
  </si>
  <si>
    <t>站内信</t>
    <phoneticPr fontId="44" type="noConversion"/>
  </si>
  <si>
    <t>ZNXJ</t>
    <phoneticPr fontId="44" type="noConversion"/>
  </si>
  <si>
    <t>1.登录总部人员身份
2.转到离岗报备查询界面</t>
  </si>
  <si>
    <t>1.总部人员身份
2.转到离岗报备查询界面</t>
  </si>
  <si>
    <t>1.总部人员身份
2.转到离岗报备查询界面
3.存在三页及以上记录</t>
  </si>
  <si>
    <t>1.总部人员身份
2.转到离岗报备添加界面</t>
  </si>
  <si>
    <t>1.总部人员身份
2.转到离岗报备添加界面
3.已存在该时间段的离岗报备</t>
  </si>
  <si>
    <t>1.总部人员身份
2.转到离岗报备添加界面
3.只存在一条事由</t>
  </si>
  <si>
    <t>1.总部人员身份
2.转到离岗报备添加界面
3.存在两条事由</t>
  </si>
  <si>
    <t>1.总部人员身份
2.转到离岗报备审批界面</t>
  </si>
  <si>
    <t>1.总部人员身份
2.转到离岗报备审批界面
3.存在未批准的离岗报备</t>
  </si>
  <si>
    <t>1.总部人员身份
2.转到离岗报备审批界面
3.存在至少一条数据</t>
  </si>
  <si>
    <t>1.总部人员身份
2.转到离岗报备审批界面
3.存在两个事由的离岗报备</t>
  </si>
  <si>
    <t>1.总部人员身份
2.转到离岗报备审批界面
3.存在两个事由的离岗报备并且合并超过5个中文</t>
  </si>
  <si>
    <t>1.总部人员身份
2.转到离岗报备审批界面
3.存在两个离岗时间段的离岗报备</t>
  </si>
  <si>
    <t>1.总部人员身份
2.转到离岗报备审批界面
3.存在三页及以上记录</t>
  </si>
  <si>
    <t>1.总部人员身份
2.转到节假日值班报备查询界面</t>
  </si>
  <si>
    <t>1.总部人员身份
2.转到节假日值班报备查询界面
3.存在三页及以上记录</t>
  </si>
  <si>
    <t>1使用东九区
2.总部人员身份
3..转到节假日值班报备查询界面</t>
  </si>
  <si>
    <t>1.总部人员身份
2.转到节假日值班报备添加界面</t>
  </si>
  <si>
    <t>1.总部人员身份
2.转到节假日值班报备添加界面
3.已存在该填报人相同时间段的节假日报备</t>
  </si>
  <si>
    <t>1.总部人员身份
2.转到节假日值班报备添加界面
3.已存在该填报人部分时间段重合的节假日报备</t>
  </si>
  <si>
    <t>1.总部人员身份
2.转到节假日值班报备添加界面
3.存在一个在岗时间段</t>
  </si>
  <si>
    <t>1.总部人员身份
2.转到节假日值班报备添加界面
3.存在十个在岗时间段</t>
  </si>
  <si>
    <t>1.总部人员身份
2.转到在岗状态表界面</t>
  </si>
  <si>
    <t>1.总部人员身份
2.转到在岗状态表界面
3.存在在岗时间部分重合与测试数据时间的记录</t>
  </si>
  <si>
    <t>1.总部人员身份
2.转到在岗状态表界面
3.存在三页及以上记录</t>
  </si>
  <si>
    <t>1.总部人员身份
2.转到航站负责人即时查询界面</t>
  </si>
  <si>
    <t>1.总部人员身份
2.转到航站负责人即时查询界面
3.存在三页及以上记录</t>
  </si>
  <si>
    <t>1.总部人员身份
2.转到航站负责人即时查询界面
3.存在节日报备的负责人</t>
  </si>
  <si>
    <t>1.总部人员身份
2.转到航站负责人即时查询界面
3.存在离岗报备的负责人</t>
  </si>
  <si>
    <t xml:space="preserve">1.总部人员身份
2.转到航站负责人即时查询界面
3.存在PEK负责人李强2018-01-17~2018-01-18离岗报备
4.DFW时区登录
5.本地时间为2018-01-16 09:59 </t>
  </si>
  <si>
    <t>1.总部人员身份
2.转到在岗状态表界面
3.存在PEK负责人李强2018-01-17~2018-01-18离岗报备
4.DFW时区登录
5.本地时间为2018-01-18 14:01</t>
  </si>
  <si>
    <t>1.总部人员身份
2.转到节假日值班表界面</t>
  </si>
  <si>
    <t>1.总部人员身份
2.转到节假日值班表界面
3.存在三页及以上记录</t>
  </si>
  <si>
    <t>1.总部人员身份
2.转到离岗报备统计界面</t>
  </si>
  <si>
    <t>1.总部人员身份
3.转到离岗报备统计界面</t>
  </si>
  <si>
    <t>1.总部人员身份
2.转到离岗报备统计界面
3.存在三页及以上记录</t>
  </si>
  <si>
    <t>1.总部人员身份
2.转到离岗报备查询界面</t>
    <phoneticPr fontId="44" type="noConversion"/>
  </si>
  <si>
    <t>自动化</t>
  </si>
  <si>
    <t>1.登录航站人员身份
2.转到离岗报备查询界面</t>
    <phoneticPr fontId="44" type="noConversion"/>
  </si>
  <si>
    <t>1.输入航站代码
2.点击搜索</t>
    <phoneticPr fontId="44" type="noConversion"/>
  </si>
</sst>
</file>

<file path=xl/styles.xml><?xml version="1.0" encoding="utf-8"?>
<styleSheet xmlns="http://schemas.openxmlformats.org/spreadsheetml/2006/main">
  <numFmts count="1">
    <numFmt numFmtId="176" formatCode="0_ "/>
  </numFmts>
  <fonts count="73">
    <font>
      <sz val="12"/>
      <name val="宋体"/>
      <charset val="134"/>
    </font>
    <font>
      <sz val="11"/>
      <color theme="1"/>
      <name val="宋体"/>
      <family val="2"/>
      <scheme val="minor"/>
    </font>
    <font>
      <sz val="11"/>
      <name val="宋体"/>
      <family val="3"/>
      <charset val="134"/>
    </font>
    <font>
      <b/>
      <sz val="12"/>
      <name val="宋体"/>
      <family val="3"/>
      <charset val="134"/>
    </font>
    <font>
      <b/>
      <sz val="11"/>
      <name val="宋体"/>
      <family val="3"/>
      <charset val="134"/>
    </font>
    <font>
      <sz val="11"/>
      <color indexed="12"/>
      <name val="宋体"/>
      <family val="3"/>
      <charset val="134"/>
    </font>
    <font>
      <sz val="10"/>
      <name val="宋体"/>
      <family val="3"/>
      <charset val="134"/>
    </font>
    <font>
      <b/>
      <sz val="18"/>
      <name val="黑体"/>
      <family val="3"/>
      <charset val="134"/>
    </font>
    <font>
      <b/>
      <sz val="10"/>
      <name val="宋体"/>
      <family val="3"/>
      <charset val="134"/>
    </font>
    <font>
      <sz val="10.5"/>
      <name val="宋体"/>
      <family val="3"/>
      <charset val="134"/>
    </font>
    <font>
      <b/>
      <sz val="16"/>
      <name val="宋体"/>
      <family val="3"/>
      <charset val="134"/>
    </font>
    <font>
      <sz val="10.5"/>
      <color indexed="10"/>
      <name val="宋体"/>
      <family val="3"/>
      <charset val="134"/>
    </font>
    <font>
      <sz val="24"/>
      <name val="宋体"/>
      <family val="3"/>
      <charset val="134"/>
    </font>
    <font>
      <b/>
      <sz val="24"/>
      <name val="宋体"/>
      <family val="3"/>
      <charset val="134"/>
    </font>
    <font>
      <sz val="14"/>
      <name val="楷体_GB2312"/>
      <family val="3"/>
      <charset val="134"/>
    </font>
    <font>
      <sz val="12"/>
      <name val="楷体_GB2312"/>
      <family val="3"/>
      <charset val="134"/>
    </font>
    <font>
      <sz val="12"/>
      <color indexed="55"/>
      <name val="楷体_GB2312"/>
      <charset val="134"/>
    </font>
    <font>
      <sz val="18"/>
      <name val="黑体"/>
      <family val="3"/>
      <charset val="134"/>
    </font>
    <font>
      <sz val="14"/>
      <name val="宋体"/>
      <family val="3"/>
      <charset val="134"/>
    </font>
    <font>
      <sz val="36"/>
      <name val="黑体"/>
      <family val="3"/>
      <charset val="134"/>
    </font>
    <font>
      <sz val="12"/>
      <name val="Times New Roman"/>
      <family val="1"/>
    </font>
    <font>
      <b/>
      <sz val="36"/>
      <name val="楷体_GB2312"/>
      <charset val="134"/>
    </font>
    <font>
      <b/>
      <sz val="14"/>
      <name val="楷体_GB2312"/>
      <family val="3"/>
      <charset val="134"/>
    </font>
    <font>
      <sz val="18"/>
      <name val="楷体_GB2312"/>
      <family val="3"/>
      <charset val="134"/>
    </font>
    <font>
      <b/>
      <sz val="10.5"/>
      <name val="黑体"/>
      <family val="3"/>
      <charset val="134"/>
    </font>
    <font>
      <sz val="11"/>
      <color indexed="9"/>
      <name val="宋体"/>
      <family val="3"/>
      <charset val="134"/>
    </font>
    <font>
      <i/>
      <sz val="11"/>
      <color indexed="23"/>
      <name val="宋体"/>
      <family val="3"/>
      <charset val="134"/>
    </font>
    <font>
      <b/>
      <sz val="13"/>
      <color indexed="56"/>
      <name val="宋体"/>
      <family val="3"/>
      <charset val="134"/>
    </font>
    <font>
      <sz val="11"/>
      <color indexed="10"/>
      <name val="宋体"/>
      <family val="3"/>
      <charset val="134"/>
    </font>
    <font>
      <sz val="11"/>
      <color indexed="20"/>
      <name val="宋体"/>
      <family val="3"/>
      <charset val="134"/>
    </font>
    <font>
      <b/>
      <sz val="18"/>
      <color indexed="56"/>
      <name val="宋体"/>
      <family val="3"/>
      <charset val="134"/>
    </font>
    <font>
      <b/>
      <sz val="11"/>
      <color indexed="52"/>
      <name val="宋体"/>
      <family val="3"/>
      <charset val="134"/>
    </font>
    <font>
      <sz val="10"/>
      <name val="Arial"/>
      <family val="2"/>
    </font>
    <font>
      <sz val="11"/>
      <color indexed="8"/>
      <name val="宋体"/>
      <family val="3"/>
      <charset val="134"/>
    </font>
    <font>
      <sz val="11"/>
      <color indexed="17"/>
      <name val="宋体"/>
      <family val="3"/>
      <charset val="134"/>
    </font>
    <font>
      <sz val="11"/>
      <color indexed="62"/>
      <name val="宋体"/>
      <family val="3"/>
      <charset val="134"/>
    </font>
    <font>
      <b/>
      <sz val="11"/>
      <color indexed="63"/>
      <name val="宋体"/>
      <family val="3"/>
      <charset val="134"/>
    </font>
    <font>
      <sz val="11"/>
      <name val="ＭＳ Ｐゴシック"/>
      <family val="2"/>
      <charset val="134"/>
    </font>
    <font>
      <sz val="11"/>
      <color indexed="60"/>
      <name val="宋体"/>
      <family val="3"/>
      <charset val="134"/>
    </font>
    <font>
      <sz val="11"/>
      <color indexed="52"/>
      <name val="宋体"/>
      <family val="3"/>
      <charset val="134"/>
    </font>
    <font>
      <b/>
      <sz val="11"/>
      <color indexed="8"/>
      <name val="宋体"/>
      <family val="3"/>
      <charset val="134"/>
    </font>
    <font>
      <b/>
      <sz val="11"/>
      <color indexed="56"/>
      <name val="宋体"/>
      <family val="3"/>
      <charset val="134"/>
    </font>
    <font>
      <b/>
      <sz val="11"/>
      <color indexed="9"/>
      <name val="宋体"/>
      <family val="3"/>
      <charset val="134"/>
    </font>
    <font>
      <b/>
      <sz val="15"/>
      <color indexed="56"/>
      <name val="宋体"/>
      <family val="3"/>
      <charset val="134"/>
    </font>
    <font>
      <sz val="9"/>
      <name val="宋体"/>
      <family val="3"/>
      <charset val="134"/>
    </font>
    <font>
      <sz val="12"/>
      <name val="宋体"/>
      <family val="3"/>
      <charset val="134"/>
    </font>
    <font>
      <sz val="9"/>
      <name val="宋体"/>
      <family val="3"/>
      <charset val="134"/>
    </font>
    <font>
      <sz val="10"/>
      <name val="宋体"/>
      <family val="3"/>
      <charset val="134"/>
    </font>
    <font>
      <sz val="9"/>
      <color indexed="81"/>
      <name val="宋体"/>
      <family val="3"/>
      <charset val="134"/>
    </font>
    <font>
      <sz val="10"/>
      <name val="宋体"/>
      <family val="3"/>
      <charset val="134"/>
    </font>
    <font>
      <sz val="10.5"/>
      <name val="宋体"/>
      <family val="3"/>
      <charset val="134"/>
    </font>
    <font>
      <sz val="10"/>
      <name val="宋体"/>
      <family val="3"/>
      <charset val="134"/>
    </font>
    <font>
      <sz val="10"/>
      <name val="宋体"/>
      <family val="3"/>
      <charset val="134"/>
    </font>
    <font>
      <sz val="10"/>
      <color indexed="8"/>
      <name val="宋体"/>
      <family val="3"/>
      <charset val="134"/>
    </font>
    <font>
      <sz val="10"/>
      <name val="宋体"/>
      <family val="3"/>
      <charset val="134"/>
    </font>
    <font>
      <sz val="10"/>
      <name val="宋体"/>
      <family val="3"/>
      <charset val="134"/>
    </font>
    <font>
      <sz val="10"/>
      <name val="宋体"/>
      <family val="3"/>
      <charset val="134"/>
    </font>
    <font>
      <sz val="9"/>
      <name val="宋体"/>
      <family val="3"/>
      <charset val="134"/>
    </font>
    <font>
      <sz val="10.5"/>
      <name val="宋体"/>
      <family val="3"/>
      <charset val="134"/>
    </font>
    <font>
      <sz val="10"/>
      <name val="宋体"/>
      <family val="3"/>
      <charset val="134"/>
    </font>
    <font>
      <sz val="10.5"/>
      <name val="宋体"/>
      <family val="3"/>
      <charset val="134"/>
    </font>
    <font>
      <sz val="9"/>
      <name val="宋体"/>
      <family val="3"/>
      <charset val="134"/>
    </font>
    <font>
      <sz val="10"/>
      <name val="宋体"/>
      <family val="3"/>
      <charset val="134"/>
    </font>
    <font>
      <sz val="10.5"/>
      <name val="Calibri"/>
      <family val="2"/>
    </font>
    <font>
      <sz val="10"/>
      <name val="宋体"/>
      <family val="3"/>
      <charset val="134"/>
    </font>
    <font>
      <sz val="10.5"/>
      <name val="宋体"/>
      <family val="3"/>
      <charset val="134"/>
    </font>
    <font>
      <sz val="11"/>
      <name val="宋体"/>
      <family val="3"/>
      <charset val="134"/>
    </font>
    <font>
      <b/>
      <sz val="11"/>
      <name val="宋体"/>
      <family val="3"/>
      <charset val="134"/>
    </font>
    <font>
      <sz val="10"/>
      <name val="宋体"/>
      <family val="3"/>
      <charset val="134"/>
    </font>
    <font>
      <sz val="10"/>
      <name val="宋体"/>
      <family val="3"/>
      <charset val="134"/>
    </font>
    <font>
      <sz val="10"/>
      <name val="宋体"/>
      <family val="3"/>
      <charset val="134"/>
    </font>
    <font>
      <sz val="10"/>
      <color theme="1"/>
      <name val="宋体"/>
      <family val="3"/>
      <charset val="134"/>
    </font>
    <font>
      <u/>
      <sz val="12"/>
      <color theme="10"/>
      <name val="宋体"/>
      <family val="3"/>
      <charset val="134"/>
    </font>
  </fonts>
  <fills count="27">
    <fill>
      <patternFill patternType="none"/>
    </fill>
    <fill>
      <patternFill patternType="gray125"/>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36"/>
        <bgColor indexed="64"/>
      </patternFill>
    </fill>
    <fill>
      <patternFill patternType="solid">
        <fgColor indexed="49"/>
        <bgColor indexed="64"/>
      </patternFill>
    </fill>
    <fill>
      <patternFill patternType="solid">
        <fgColor indexed="52"/>
        <bgColor indexed="64"/>
      </patternFill>
    </fill>
    <fill>
      <patternFill patternType="solid">
        <fgColor indexed="22"/>
        <bgColor indexed="64"/>
      </patternFill>
    </fill>
    <fill>
      <patternFill patternType="solid">
        <fgColor indexed="55"/>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43"/>
        <bgColor indexed="64"/>
      </patternFill>
    </fill>
    <fill>
      <patternFill patternType="solid">
        <fgColor indexed="26"/>
        <bgColor indexed="64"/>
      </patternFill>
    </fill>
    <fill>
      <patternFill patternType="solid">
        <fgColor indexed="9"/>
        <bgColor indexed="64"/>
      </patternFill>
    </fill>
    <fill>
      <patternFill patternType="solid">
        <fgColor rgb="FFFFFF00"/>
        <bgColor indexed="64"/>
      </patternFill>
    </fill>
    <fill>
      <patternFill patternType="solid">
        <fgColor theme="0"/>
        <bgColor indexed="64"/>
      </patternFill>
    </fill>
  </fills>
  <borders count="34">
    <border>
      <left/>
      <right/>
      <top/>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right style="medium">
        <color indexed="64"/>
      </right>
      <top/>
      <bottom style="medium">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s>
  <cellStyleXfs count="50">
    <xf numFmtId="0" fontId="0" fillId="0" borderId="0">
      <alignment vertical="center"/>
    </xf>
    <xf numFmtId="0" fontId="33" fillId="2" borderId="0" applyNumberFormat="0" applyBorder="0" applyAlignment="0" applyProtection="0">
      <alignment vertical="center"/>
    </xf>
    <xf numFmtId="0" fontId="33" fillId="3" borderId="0" applyNumberFormat="0" applyBorder="0" applyAlignment="0" applyProtection="0">
      <alignment vertical="center"/>
    </xf>
    <xf numFmtId="0" fontId="33" fillId="4" borderId="0" applyNumberFormat="0" applyBorder="0" applyAlignment="0" applyProtection="0">
      <alignment vertical="center"/>
    </xf>
    <xf numFmtId="0" fontId="33" fillId="5" borderId="0" applyNumberFormat="0" applyBorder="0" applyAlignment="0" applyProtection="0">
      <alignment vertical="center"/>
    </xf>
    <xf numFmtId="0" fontId="33" fillId="6" borderId="0" applyNumberFormat="0" applyBorder="0" applyAlignment="0" applyProtection="0">
      <alignment vertical="center"/>
    </xf>
    <xf numFmtId="0" fontId="33" fillId="7" borderId="0" applyNumberFormat="0" applyBorder="0" applyAlignment="0" applyProtection="0">
      <alignment vertical="center"/>
    </xf>
    <xf numFmtId="0" fontId="33" fillId="8" borderId="0" applyNumberFormat="0" applyBorder="0" applyAlignment="0" applyProtection="0">
      <alignment vertical="center"/>
    </xf>
    <xf numFmtId="0" fontId="33" fillId="9" borderId="0" applyNumberFormat="0" applyBorder="0" applyAlignment="0" applyProtection="0">
      <alignment vertical="center"/>
    </xf>
    <xf numFmtId="0" fontId="33" fillId="10" borderId="0" applyNumberFormat="0" applyBorder="0" applyAlignment="0" applyProtection="0">
      <alignment vertical="center"/>
    </xf>
    <xf numFmtId="0" fontId="33" fillId="5" borderId="0" applyNumberFormat="0" applyBorder="0" applyAlignment="0" applyProtection="0">
      <alignment vertical="center"/>
    </xf>
    <xf numFmtId="0" fontId="33" fillId="8" borderId="0" applyNumberFormat="0" applyBorder="0" applyAlignment="0" applyProtection="0">
      <alignment vertical="center"/>
    </xf>
    <xf numFmtId="0" fontId="33" fillId="11" borderId="0" applyNumberFormat="0" applyBorder="0" applyAlignment="0" applyProtection="0">
      <alignment vertical="center"/>
    </xf>
    <xf numFmtId="0" fontId="25" fillId="12" borderId="0" applyNumberFormat="0" applyBorder="0" applyAlignment="0" applyProtection="0">
      <alignment vertical="center"/>
    </xf>
    <xf numFmtId="0" fontId="25" fillId="9" borderId="0" applyNumberFormat="0" applyBorder="0" applyAlignment="0" applyProtection="0">
      <alignment vertical="center"/>
    </xf>
    <xf numFmtId="0" fontId="25" fillId="10" borderId="0" applyNumberFormat="0" applyBorder="0" applyAlignment="0" applyProtection="0">
      <alignment vertical="center"/>
    </xf>
    <xf numFmtId="0" fontId="25"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32" fillId="0" borderId="0"/>
    <xf numFmtId="0" fontId="30" fillId="0" borderId="0" applyNumberFormat="0" applyFill="0" applyBorder="0" applyAlignment="0" applyProtection="0">
      <alignment vertical="center"/>
    </xf>
    <xf numFmtId="0" fontId="43" fillId="0" borderId="1" applyNumberFormat="0" applyFill="0" applyAlignment="0" applyProtection="0">
      <alignment vertical="center"/>
    </xf>
    <xf numFmtId="0" fontId="27" fillId="0" borderId="2" applyNumberFormat="0" applyFill="0" applyAlignment="0" applyProtection="0">
      <alignment vertical="center"/>
    </xf>
    <xf numFmtId="0" fontId="41" fillId="0" borderId="3" applyNumberFormat="0" applyFill="0" applyAlignment="0" applyProtection="0">
      <alignment vertical="center"/>
    </xf>
    <xf numFmtId="0" fontId="41" fillId="0" borderId="0" applyNumberFormat="0" applyFill="0" applyBorder="0" applyAlignment="0" applyProtection="0">
      <alignment vertical="center"/>
    </xf>
    <xf numFmtId="0" fontId="29" fillId="3" borderId="0" applyNumberFormat="0" applyBorder="0" applyAlignment="0" applyProtection="0">
      <alignment vertical="center"/>
    </xf>
    <xf numFmtId="0" fontId="45" fillId="0" borderId="0"/>
    <xf numFmtId="0" fontId="45" fillId="0" borderId="0"/>
    <xf numFmtId="0" fontId="45" fillId="0" borderId="0"/>
    <xf numFmtId="0" fontId="6" fillId="0" borderId="0"/>
    <xf numFmtId="0" fontId="45" fillId="0" borderId="0">
      <alignment vertical="center"/>
    </xf>
    <xf numFmtId="0" fontId="37" fillId="0" borderId="0">
      <alignment vertical="center"/>
    </xf>
    <xf numFmtId="0" fontId="34" fillId="4" borderId="0" applyNumberFormat="0" applyBorder="0" applyAlignment="0" applyProtection="0">
      <alignment vertical="center"/>
    </xf>
    <xf numFmtId="0" fontId="40" fillId="0" borderId="4" applyNumberFormat="0" applyFill="0" applyAlignment="0" applyProtection="0">
      <alignment vertical="center"/>
    </xf>
    <xf numFmtId="0" fontId="31" fillId="16" borderId="5" applyNumberFormat="0" applyAlignment="0" applyProtection="0">
      <alignment vertical="center"/>
    </xf>
    <xf numFmtId="0" fontId="42" fillId="17" borderId="6" applyNumberFormat="0" applyAlignment="0" applyProtection="0">
      <alignment vertical="center"/>
    </xf>
    <xf numFmtId="0" fontId="26"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39" fillId="0" borderId="7" applyNumberFormat="0" applyFill="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5" fillId="13" borderId="0" applyNumberFormat="0" applyBorder="0" applyAlignment="0" applyProtection="0">
      <alignment vertical="center"/>
    </xf>
    <xf numFmtId="0" fontId="25" fillId="14" borderId="0" applyNumberFormat="0" applyBorder="0" applyAlignment="0" applyProtection="0">
      <alignment vertical="center"/>
    </xf>
    <xf numFmtId="0" fontId="25" fillId="21" borderId="0" applyNumberFormat="0" applyBorder="0" applyAlignment="0" applyProtection="0">
      <alignment vertical="center"/>
    </xf>
    <xf numFmtId="0" fontId="38" fillId="22" borderId="0" applyNumberFormat="0" applyBorder="0" applyAlignment="0" applyProtection="0">
      <alignment vertical="center"/>
    </xf>
    <xf numFmtId="0" fontId="36" fillId="16" borderId="8" applyNumberFormat="0" applyAlignment="0" applyProtection="0">
      <alignment vertical="center"/>
    </xf>
    <xf numFmtId="0" fontId="35" fillId="7" borderId="5" applyNumberFormat="0" applyAlignment="0" applyProtection="0">
      <alignment vertical="center"/>
    </xf>
    <xf numFmtId="0" fontId="45" fillId="23" borderId="9" applyNumberFormat="0" applyFont="0" applyAlignment="0" applyProtection="0">
      <alignment vertical="center"/>
    </xf>
    <xf numFmtId="0" fontId="72" fillId="0" borderId="0" applyNumberFormat="0" applyFill="0" applyBorder="0" applyAlignment="0" applyProtection="0">
      <alignment vertical="center"/>
    </xf>
  </cellStyleXfs>
  <cellXfs count="273">
    <xf numFmtId="0" fontId="0" fillId="0" borderId="0" xfId="0">
      <alignment vertical="center"/>
    </xf>
    <xf numFmtId="0" fontId="2" fillId="24" borderId="0" xfId="0" applyFont="1" applyFill="1">
      <alignment vertical="center"/>
    </xf>
    <xf numFmtId="0" fontId="3" fillId="24" borderId="0" xfId="0" applyFont="1" applyFill="1">
      <alignment vertical="center"/>
    </xf>
    <xf numFmtId="0" fontId="4" fillId="24" borderId="0" xfId="0" applyFont="1" applyFill="1">
      <alignment vertical="center"/>
    </xf>
    <xf numFmtId="0" fontId="5" fillId="24" borderId="0" xfId="0" applyFont="1" applyFill="1">
      <alignment vertical="center"/>
    </xf>
    <xf numFmtId="0" fontId="6" fillId="24" borderId="0" xfId="31" applyFont="1" applyFill="1" applyAlignment="1">
      <alignment vertical="center" wrapText="1"/>
    </xf>
    <xf numFmtId="49" fontId="6" fillId="24" borderId="0" xfId="26" applyNumberFormat="1" applyFont="1" applyFill="1" applyAlignment="1">
      <alignment horizontal="center" vertical="center"/>
    </xf>
    <xf numFmtId="0" fontId="6" fillId="24" borderId="0" xfId="26" applyFont="1" applyFill="1"/>
    <xf numFmtId="0" fontId="6" fillId="24" borderId="0" xfId="26" applyFont="1" applyFill="1" applyAlignment="1">
      <alignment horizontal="center"/>
    </xf>
    <xf numFmtId="0" fontId="6" fillId="24" borderId="0" xfId="26" applyFont="1" applyFill="1" applyAlignment="1">
      <alignment horizontal="center" vertical="center"/>
    </xf>
    <xf numFmtId="0" fontId="6" fillId="24" borderId="0" xfId="26" applyFont="1" applyFill="1" applyAlignment="1">
      <alignment horizontal="left"/>
    </xf>
    <xf numFmtId="0" fontId="7" fillId="24" borderId="0" xfId="31" applyFont="1" applyFill="1" applyBorder="1" applyAlignment="1" applyProtection="1">
      <alignment horizontal="center" vertical="center" wrapText="1"/>
    </xf>
    <xf numFmtId="0" fontId="6" fillId="24" borderId="0" xfId="31" applyFont="1" applyFill="1" applyBorder="1" applyAlignment="1" applyProtection="1">
      <alignment horizontal="center" vertical="center" wrapText="1"/>
    </xf>
    <xf numFmtId="49" fontId="6" fillId="8" borderId="10" xfId="26" applyNumberFormat="1" applyFont="1" applyFill="1" applyBorder="1" applyAlignment="1">
      <alignment horizontal="center" vertical="center"/>
    </xf>
    <xf numFmtId="49" fontId="6" fillId="8" borderId="10" xfId="26" applyNumberFormat="1" applyFont="1" applyFill="1" applyBorder="1" applyAlignment="1">
      <alignment horizontal="center" vertical="center" wrapText="1"/>
    </xf>
    <xf numFmtId="49" fontId="6" fillId="8" borderId="10" xfId="19" applyNumberFormat="1" applyFont="1" applyFill="1" applyBorder="1" applyAlignment="1">
      <alignment horizontal="center" vertical="center" wrapText="1"/>
    </xf>
    <xf numFmtId="0" fontId="6" fillId="8" borderId="10" xfId="19" applyNumberFormat="1" applyFont="1" applyFill="1" applyBorder="1" applyAlignment="1">
      <alignment horizontal="center" vertical="center"/>
    </xf>
    <xf numFmtId="0" fontId="6" fillId="0" borderId="11" xfId="0" applyFont="1" applyBorder="1" applyAlignment="1">
      <alignment horizontal="left" vertical="top" wrapText="1"/>
    </xf>
    <xf numFmtId="49" fontId="6" fillId="24" borderId="12" xfId="26" applyNumberFormat="1" applyFont="1" applyFill="1" applyBorder="1" applyAlignment="1">
      <alignment horizontal="center" vertical="center" wrapText="1"/>
    </xf>
    <xf numFmtId="0" fontId="6" fillId="0" borderId="11" xfId="0" applyFont="1" applyBorder="1" applyAlignment="1">
      <alignment horizontal="center" vertical="top" wrapText="1"/>
    </xf>
    <xf numFmtId="0" fontId="6" fillId="24" borderId="11" xfId="26" applyFont="1" applyFill="1" applyBorder="1" applyAlignment="1">
      <alignment vertical="top" wrapText="1"/>
    </xf>
    <xf numFmtId="0" fontId="6" fillId="24" borderId="12" xfId="26" applyFont="1" applyFill="1" applyBorder="1" applyAlignment="1">
      <alignment horizontal="left" vertical="center" wrapText="1"/>
    </xf>
    <xf numFmtId="0" fontId="6" fillId="24" borderId="13" xfId="26" applyFont="1" applyFill="1" applyBorder="1" applyAlignment="1">
      <alignment vertical="center"/>
    </xf>
    <xf numFmtId="0" fontId="6" fillId="24" borderId="11" xfId="26" applyFont="1" applyFill="1" applyBorder="1" applyAlignment="1">
      <alignment vertical="center" wrapText="1"/>
    </xf>
    <xf numFmtId="0" fontId="6" fillId="16" borderId="14" xfId="31" applyFont="1" applyFill="1" applyBorder="1" applyAlignment="1">
      <alignment vertical="center" wrapText="1"/>
    </xf>
    <xf numFmtId="0" fontId="6" fillId="16" borderId="10" xfId="31" applyFont="1" applyFill="1" applyBorder="1" applyAlignment="1">
      <alignment vertical="center" wrapText="1"/>
    </xf>
    <xf numFmtId="0" fontId="6" fillId="16" borderId="15" xfId="31" applyFont="1" applyFill="1" applyBorder="1" applyAlignment="1">
      <alignment vertical="center" wrapText="1"/>
    </xf>
    <xf numFmtId="0" fontId="6" fillId="16" borderId="16" xfId="31" applyFont="1" applyFill="1" applyBorder="1" applyAlignment="1">
      <alignment vertical="center" wrapText="1"/>
    </xf>
    <xf numFmtId="0" fontId="6" fillId="16" borderId="11" xfId="31" applyFont="1" applyFill="1" applyBorder="1" applyAlignment="1">
      <alignment vertical="center" wrapText="1"/>
    </xf>
    <xf numFmtId="9" fontId="6" fillId="16" borderId="11" xfId="31" applyNumberFormat="1" applyFont="1" applyFill="1" applyBorder="1" applyAlignment="1">
      <alignment vertical="center" wrapText="1"/>
    </xf>
    <xf numFmtId="0" fontId="6" fillId="16" borderId="17" xfId="31" applyFont="1" applyFill="1" applyBorder="1" applyAlignment="1">
      <alignment vertical="center" wrapText="1"/>
    </xf>
    <xf numFmtId="10" fontId="6" fillId="16" borderId="11" xfId="31" applyNumberFormat="1" applyFont="1" applyFill="1" applyBorder="1" applyAlignment="1">
      <alignment vertical="center" wrapText="1"/>
    </xf>
    <xf numFmtId="0" fontId="6" fillId="16" borderId="18" xfId="31" applyFont="1" applyFill="1" applyBorder="1" applyAlignment="1">
      <alignment vertical="center" wrapText="1"/>
    </xf>
    <xf numFmtId="9" fontId="6" fillId="16" borderId="19" xfId="31" applyNumberFormat="1" applyFont="1" applyFill="1" applyBorder="1" applyAlignment="1">
      <alignment vertical="center" wrapText="1"/>
    </xf>
    <xf numFmtId="0" fontId="6" fillId="16" borderId="20" xfId="31" applyFont="1" applyFill="1" applyBorder="1" applyAlignment="1">
      <alignment vertical="center" wrapText="1"/>
    </xf>
    <xf numFmtId="49" fontId="6" fillId="8" borderId="15" xfId="26" applyNumberFormat="1" applyFont="1" applyFill="1" applyBorder="1" applyAlignment="1">
      <alignment horizontal="center" vertical="center"/>
    </xf>
    <xf numFmtId="49" fontId="6" fillId="8" borderId="14" xfId="19" applyNumberFormat="1" applyFont="1" applyFill="1" applyBorder="1" applyAlignment="1">
      <alignment horizontal="center" vertical="center" wrapText="1"/>
    </xf>
    <xf numFmtId="0" fontId="6" fillId="24" borderId="17" xfId="31" applyFont="1" applyFill="1" applyBorder="1" applyAlignment="1">
      <alignment horizontal="center" vertical="center" wrapText="1"/>
    </xf>
    <xf numFmtId="0" fontId="6" fillId="24" borderId="21" xfId="31" applyFont="1" applyFill="1" applyBorder="1" applyAlignment="1">
      <alignment horizontal="center" vertical="top" wrapText="1"/>
    </xf>
    <xf numFmtId="0" fontId="6" fillId="24" borderId="11" xfId="26" applyFont="1" applyFill="1" applyBorder="1"/>
    <xf numFmtId="0" fontId="6" fillId="24" borderId="11" xfId="26" applyFont="1" applyFill="1" applyBorder="1" applyAlignment="1">
      <alignment horizontal="center" vertical="center" wrapText="1"/>
    </xf>
    <xf numFmtId="0" fontId="6" fillId="24" borderId="17" xfId="26" applyFont="1" applyFill="1" applyBorder="1"/>
    <xf numFmtId="0" fontId="6" fillId="24" borderId="22" xfId="31" applyFont="1" applyFill="1" applyBorder="1" applyAlignment="1">
      <alignment horizontal="center" vertical="center" wrapText="1"/>
    </xf>
    <xf numFmtId="49" fontId="6" fillId="8" borderId="23" xfId="26" applyNumberFormat="1" applyFont="1" applyFill="1" applyBorder="1" applyAlignment="1">
      <alignment horizontal="center" vertical="center"/>
    </xf>
    <xf numFmtId="0" fontId="6" fillId="0" borderId="18" xfId="0" applyFont="1" applyBorder="1" applyAlignment="1">
      <alignment horizontal="left" vertical="top" wrapText="1"/>
    </xf>
    <xf numFmtId="49" fontId="6" fillId="24" borderId="19" xfId="26" applyNumberFormat="1" applyFont="1" applyFill="1" applyBorder="1" applyAlignment="1">
      <alignment horizontal="center" vertical="center" wrapText="1"/>
    </xf>
    <xf numFmtId="0" fontId="6" fillId="24" borderId="18" xfId="26" applyFont="1" applyFill="1" applyBorder="1" applyAlignment="1">
      <alignment vertical="top" wrapText="1"/>
    </xf>
    <xf numFmtId="0" fontId="6" fillId="24" borderId="18" xfId="26" applyFont="1" applyFill="1" applyBorder="1" applyAlignment="1">
      <alignment vertical="center" wrapText="1"/>
    </xf>
    <xf numFmtId="0" fontId="6" fillId="24" borderId="19" xfId="26" applyFont="1" applyFill="1" applyBorder="1" applyAlignment="1">
      <alignment horizontal="left" vertical="center" wrapText="1"/>
    </xf>
    <xf numFmtId="0" fontId="6" fillId="24" borderId="20" xfId="31" applyFont="1" applyFill="1" applyBorder="1" applyAlignment="1">
      <alignment horizontal="center" vertical="center" wrapText="1"/>
    </xf>
    <xf numFmtId="0" fontId="6" fillId="24" borderId="24" xfId="31" applyFont="1" applyFill="1" applyBorder="1" applyAlignment="1">
      <alignment horizontal="center" vertical="top" wrapText="1"/>
    </xf>
    <xf numFmtId="0" fontId="6" fillId="24" borderId="18" xfId="26" applyFont="1" applyFill="1" applyBorder="1"/>
    <xf numFmtId="0" fontId="6" fillId="24" borderId="18" xfId="26" applyFont="1" applyFill="1" applyBorder="1" applyAlignment="1">
      <alignment horizontal="center" vertical="center" wrapText="1"/>
    </xf>
    <xf numFmtId="0" fontId="6" fillId="24" borderId="20" xfId="26" applyFont="1" applyFill="1" applyBorder="1"/>
    <xf numFmtId="49" fontId="6" fillId="24" borderId="0" xfId="26" applyNumberFormat="1" applyFont="1" applyFill="1" applyAlignment="1">
      <alignment horizontal="center" vertical="center" wrapText="1"/>
    </xf>
    <xf numFmtId="0" fontId="6" fillId="24" borderId="0" xfId="26" applyFont="1" applyFill="1" applyAlignment="1">
      <alignment vertical="center" wrapText="1"/>
    </xf>
    <xf numFmtId="0" fontId="6" fillId="6" borderId="0" xfId="26" applyFont="1" applyFill="1" applyAlignment="1">
      <alignment vertical="center" wrapText="1"/>
    </xf>
    <xf numFmtId="0" fontId="6" fillId="0" borderId="0" xfId="26" applyFont="1" applyFill="1" applyAlignment="1">
      <alignment vertical="center" wrapText="1"/>
    </xf>
    <xf numFmtId="0" fontId="6" fillId="24" borderId="0" xfId="26" applyFont="1" applyFill="1" applyAlignment="1">
      <alignment horizontal="center" vertical="center" wrapText="1"/>
    </xf>
    <xf numFmtId="0" fontId="6" fillId="24" borderId="0" xfId="26" applyFont="1" applyFill="1" applyAlignment="1">
      <alignment horizontal="left" vertical="center" wrapText="1"/>
    </xf>
    <xf numFmtId="0" fontId="6" fillId="24" borderId="11" xfId="31" applyFont="1" applyFill="1" applyBorder="1" applyAlignment="1">
      <alignment vertical="center" wrapText="1"/>
    </xf>
    <xf numFmtId="0" fontId="6" fillId="24" borderId="11" xfId="31" applyFont="1" applyFill="1" applyBorder="1" applyAlignment="1" applyProtection="1">
      <alignment horizontal="center" vertical="center" wrapText="1"/>
    </xf>
    <xf numFmtId="49" fontId="6" fillId="24" borderId="11" xfId="26" applyNumberFormat="1" applyFont="1" applyFill="1" applyBorder="1" applyAlignment="1">
      <alignment horizontal="center" vertical="center" wrapText="1"/>
    </xf>
    <xf numFmtId="49" fontId="6" fillId="8" borderId="11" xfId="26" applyNumberFormat="1" applyFont="1" applyFill="1" applyBorder="1" applyAlignment="1">
      <alignment horizontal="center" vertical="center" wrapText="1"/>
    </xf>
    <xf numFmtId="176" fontId="6" fillId="24" borderId="11" xfId="26" applyNumberFormat="1" applyFont="1" applyFill="1" applyBorder="1" applyAlignment="1">
      <alignment horizontal="center" vertical="center" wrapText="1"/>
    </xf>
    <xf numFmtId="0" fontId="6" fillId="24" borderId="11" xfId="27" applyFont="1" applyFill="1" applyBorder="1" applyAlignment="1" applyProtection="1">
      <alignment vertical="center" wrapText="1"/>
      <protection locked="0"/>
    </xf>
    <xf numFmtId="49" fontId="6" fillId="24" borderId="11" xfId="26" applyNumberFormat="1" applyFont="1" applyFill="1" applyBorder="1" applyAlignment="1">
      <alignment vertical="center" wrapText="1"/>
    </xf>
    <xf numFmtId="0" fontId="6" fillId="0" borderId="11" xfId="0" applyFont="1" applyBorder="1" applyAlignment="1">
      <alignment horizontal="left" vertical="center" wrapText="1"/>
    </xf>
    <xf numFmtId="49" fontId="6" fillId="8" borderId="11" xfId="19" applyNumberFormat="1" applyFont="1" applyFill="1" applyBorder="1" applyAlignment="1">
      <alignment horizontal="center" vertical="center" wrapText="1"/>
    </xf>
    <xf numFmtId="0" fontId="6" fillId="8" borderId="11" xfId="19" applyNumberFormat="1" applyFont="1" applyFill="1" applyBorder="1" applyAlignment="1">
      <alignment horizontal="center" vertical="center" wrapText="1"/>
    </xf>
    <xf numFmtId="0" fontId="6" fillId="24" borderId="11" xfId="26" applyFont="1" applyFill="1" applyBorder="1" applyAlignment="1">
      <alignment horizontal="left" vertical="center" wrapText="1"/>
    </xf>
    <xf numFmtId="0" fontId="6" fillId="0" borderId="11" xfId="0" applyFont="1" applyBorder="1" applyAlignment="1">
      <alignment horizontal="center" vertical="center" wrapText="1"/>
    </xf>
    <xf numFmtId="0" fontId="6" fillId="24" borderId="11" xfId="31" applyFont="1" applyFill="1" applyBorder="1" applyAlignment="1">
      <alignment horizontal="center" vertical="center" wrapText="1"/>
    </xf>
    <xf numFmtId="0" fontId="6" fillId="6" borderId="11" xfId="26" applyFont="1" applyFill="1" applyBorder="1" applyAlignment="1">
      <alignment vertical="center" wrapText="1"/>
    </xf>
    <xf numFmtId="176" fontId="6" fillId="6" borderId="11" xfId="26" applyNumberFormat="1" applyFont="1" applyFill="1" applyBorder="1" applyAlignment="1">
      <alignment horizontal="center" vertical="center" wrapText="1"/>
    </xf>
    <xf numFmtId="49" fontId="6" fillId="6" borderId="11" xfId="26" applyNumberFormat="1" applyFont="1" applyFill="1" applyBorder="1" applyAlignment="1">
      <alignment horizontal="center" vertical="center" wrapText="1"/>
    </xf>
    <xf numFmtId="0" fontId="6" fillId="6" borderId="11" xfId="27" applyFont="1" applyFill="1" applyBorder="1" applyAlignment="1" applyProtection="1">
      <alignment vertical="center" wrapText="1"/>
      <protection locked="0"/>
    </xf>
    <xf numFmtId="0" fontId="6" fillId="0" borderId="11" xfId="26" applyFont="1" applyFill="1" applyBorder="1" applyAlignment="1">
      <alignment vertical="center" wrapText="1"/>
    </xf>
    <xf numFmtId="176" fontId="6" fillId="0" borderId="11" xfId="26" applyNumberFormat="1" applyFont="1" applyFill="1" applyBorder="1" applyAlignment="1">
      <alignment horizontal="center" vertical="center" wrapText="1"/>
    </xf>
    <xf numFmtId="49" fontId="6" fillId="0" borderId="11" xfId="26" applyNumberFormat="1" applyFont="1" applyFill="1" applyBorder="1" applyAlignment="1">
      <alignment horizontal="center" vertical="center" wrapText="1"/>
    </xf>
    <xf numFmtId="49" fontId="6" fillId="0" borderId="11" xfId="26" applyNumberFormat="1" applyFont="1" applyFill="1" applyBorder="1" applyAlignment="1">
      <alignment vertical="center" wrapText="1"/>
    </xf>
    <xf numFmtId="0" fontId="6" fillId="0" borderId="11" xfId="27" applyFont="1" applyFill="1" applyBorder="1" applyAlignment="1" applyProtection="1">
      <alignment vertical="center" wrapText="1"/>
      <protection locked="0"/>
    </xf>
    <xf numFmtId="49" fontId="6" fillId="6" borderId="11" xfId="26" applyNumberFormat="1" applyFont="1" applyFill="1" applyBorder="1" applyAlignment="1">
      <alignment vertical="center" wrapText="1"/>
    </xf>
    <xf numFmtId="0" fontId="6" fillId="0" borderId="11" xfId="0" applyFont="1" applyBorder="1" applyAlignment="1">
      <alignment vertical="center" wrapText="1"/>
    </xf>
    <xf numFmtId="0" fontId="6" fillId="6" borderId="11" xfId="0" applyFont="1" applyFill="1" applyBorder="1" applyAlignment="1">
      <alignment horizontal="center" vertical="center" wrapText="1"/>
    </xf>
    <xf numFmtId="0" fontId="6" fillId="6" borderId="11" xfId="26" applyFont="1" applyFill="1" applyBorder="1" applyAlignment="1">
      <alignment horizontal="center" vertical="center" wrapText="1"/>
    </xf>
    <xf numFmtId="0" fontId="6" fillId="6" borderId="11" xfId="26" applyFont="1" applyFill="1" applyBorder="1" applyAlignment="1">
      <alignment horizontal="left" vertical="center" wrapText="1"/>
    </xf>
    <xf numFmtId="0" fontId="6" fillId="0" borderId="11" xfId="0" applyFont="1" applyFill="1" applyBorder="1" applyAlignment="1">
      <alignment horizontal="center" vertical="center" wrapText="1"/>
    </xf>
    <xf numFmtId="0" fontId="6" fillId="0" borderId="11" xfId="26" applyFont="1" applyFill="1" applyBorder="1" applyAlignment="1">
      <alignment horizontal="center" vertical="center" wrapText="1"/>
    </xf>
    <xf numFmtId="0" fontId="6" fillId="0" borderId="11" xfId="26" applyFont="1" applyFill="1" applyBorder="1" applyAlignment="1">
      <alignment horizontal="left" vertical="center" wrapText="1"/>
    </xf>
    <xf numFmtId="0" fontId="6" fillId="6" borderId="11" xfId="31" applyFont="1" applyFill="1" applyBorder="1" applyAlignment="1">
      <alignment horizontal="center" vertical="center" wrapText="1"/>
    </xf>
    <xf numFmtId="0" fontId="6" fillId="0" borderId="11" xfId="31" applyFont="1" applyFill="1" applyBorder="1" applyAlignment="1">
      <alignment horizontal="center" vertical="center" wrapText="1"/>
    </xf>
    <xf numFmtId="0" fontId="9" fillId="24" borderId="11" xfId="27" applyFont="1" applyFill="1" applyBorder="1" applyAlignment="1" applyProtection="1">
      <alignment vertical="center" wrapText="1"/>
      <protection locked="0"/>
    </xf>
    <xf numFmtId="0" fontId="6" fillId="24" borderId="12" xfId="26" applyFont="1" applyFill="1" applyBorder="1" applyAlignment="1">
      <alignment vertical="center" wrapText="1"/>
    </xf>
    <xf numFmtId="0" fontId="6" fillId="24" borderId="0" xfId="31" applyFont="1" applyFill="1" applyBorder="1" applyAlignment="1" applyProtection="1">
      <alignment horizontal="left" vertical="center" wrapText="1"/>
    </xf>
    <xf numFmtId="0" fontId="6" fillId="24" borderId="11" xfId="31" applyFont="1" applyFill="1" applyBorder="1" applyAlignment="1" applyProtection="1">
      <alignment horizontal="left" vertical="center" wrapText="1"/>
    </xf>
    <xf numFmtId="49" fontId="6" fillId="8" borderId="11" xfId="26" applyNumberFormat="1" applyFont="1" applyFill="1" applyBorder="1" applyAlignment="1">
      <alignment horizontal="left" vertical="center" wrapText="1"/>
    </xf>
    <xf numFmtId="49" fontId="6" fillId="8" borderId="11" xfId="19" applyNumberFormat="1" applyFont="1" applyFill="1" applyBorder="1" applyAlignment="1">
      <alignment horizontal="left" vertical="center" wrapText="1"/>
    </xf>
    <xf numFmtId="0" fontId="6" fillId="0" borderId="11" xfId="0" applyFont="1" applyFill="1" applyBorder="1" applyAlignment="1">
      <alignment horizontal="left" vertical="center" wrapText="1"/>
    </xf>
    <xf numFmtId="0" fontId="6" fillId="6" borderId="11" xfId="0" applyFont="1" applyFill="1" applyBorder="1" applyAlignment="1">
      <alignment horizontal="left" vertical="center" wrapText="1"/>
    </xf>
    <xf numFmtId="0" fontId="9" fillId="6" borderId="11" xfId="27" applyFont="1" applyFill="1" applyBorder="1" applyAlignment="1" applyProtection="1">
      <alignment vertical="center" wrapText="1"/>
      <protection locked="0"/>
    </xf>
    <xf numFmtId="0" fontId="9" fillId="24" borderId="0" xfId="0" applyFont="1" applyFill="1" applyAlignment="1">
      <alignment horizontal="left" vertical="center"/>
    </xf>
    <xf numFmtId="0" fontId="6" fillId="0" borderId="0" xfId="0" applyFont="1">
      <alignment vertical="center"/>
    </xf>
    <xf numFmtId="0" fontId="9" fillId="0" borderId="0" xfId="0" applyFont="1">
      <alignment vertical="center"/>
    </xf>
    <xf numFmtId="0" fontId="9" fillId="0" borderId="0" xfId="0" applyFont="1" applyAlignment="1">
      <alignment horizontal="center" vertical="center"/>
    </xf>
    <xf numFmtId="0" fontId="9" fillId="0" borderId="0" xfId="27" applyFont="1"/>
    <xf numFmtId="0" fontId="9" fillId="0" borderId="0" xfId="27" applyFont="1" applyAlignment="1">
      <alignment horizontal="center"/>
    </xf>
    <xf numFmtId="0" fontId="9" fillId="0" borderId="0" xfId="27" applyFont="1" applyFill="1" applyAlignment="1">
      <alignment horizontal="center" vertical="center" wrapText="1"/>
    </xf>
    <xf numFmtId="0" fontId="9" fillId="24" borderId="0" xfId="27" applyFont="1" applyFill="1" applyAlignment="1">
      <alignment horizontal="center" vertical="center" wrapText="1"/>
    </xf>
    <xf numFmtId="0" fontId="9" fillId="16" borderId="0" xfId="27" applyFont="1" applyFill="1" applyAlignment="1">
      <alignment horizontal="left" vertical="center" wrapText="1"/>
    </xf>
    <xf numFmtId="0" fontId="9" fillId="24" borderId="0" xfId="27" applyFont="1" applyFill="1" applyAlignment="1">
      <alignment horizontal="left" vertical="center" wrapText="1"/>
    </xf>
    <xf numFmtId="0" fontId="9" fillId="8" borderId="14" xfId="27" applyFont="1" applyFill="1" applyBorder="1" applyAlignment="1">
      <alignment horizontal="center" vertical="center" wrapText="1"/>
    </xf>
    <xf numFmtId="0" fontId="9" fillId="8" borderId="23" xfId="27" applyFont="1" applyFill="1" applyBorder="1" applyAlignment="1">
      <alignment horizontal="center" vertical="center" wrapText="1"/>
    </xf>
    <xf numFmtId="0" fontId="9" fillId="8" borderId="10" xfId="27" applyFont="1" applyFill="1" applyBorder="1" applyAlignment="1">
      <alignment horizontal="center" vertical="center" wrapText="1"/>
    </xf>
    <xf numFmtId="0" fontId="9" fillId="24" borderId="11" xfId="27" applyFont="1" applyFill="1" applyBorder="1" applyAlignment="1">
      <alignment horizontal="left" vertical="center" wrapText="1"/>
    </xf>
    <xf numFmtId="0" fontId="6" fillId="24" borderId="11" xfId="27" applyFont="1" applyFill="1" applyBorder="1" applyAlignment="1">
      <alignment horizontal="left" vertical="center" wrapText="1"/>
    </xf>
    <xf numFmtId="0" fontId="11" fillId="24" borderId="13" xfId="0" applyFont="1" applyFill="1" applyBorder="1" applyAlignment="1">
      <alignment horizontal="center" vertical="center"/>
    </xf>
    <xf numFmtId="0" fontId="9" fillId="24" borderId="0" xfId="27" applyFont="1" applyFill="1" applyBorder="1" applyAlignment="1" applyProtection="1">
      <alignment vertical="center" wrapText="1"/>
    </xf>
    <xf numFmtId="0" fontId="9" fillId="24" borderId="0" xfId="27" applyFont="1" applyFill="1" applyBorder="1" applyAlignment="1">
      <alignment vertical="center" wrapText="1"/>
    </xf>
    <xf numFmtId="0" fontId="9" fillId="24" borderId="0" xfId="27" applyFont="1" applyFill="1" applyAlignment="1">
      <alignment horizontal="right" vertical="center" wrapText="1"/>
    </xf>
    <xf numFmtId="0" fontId="9" fillId="24" borderId="0" xfId="27" applyFont="1" applyFill="1" applyAlignment="1">
      <alignment vertical="center" wrapText="1"/>
    </xf>
    <xf numFmtId="0" fontId="9" fillId="8" borderId="15" xfId="27" applyFont="1" applyFill="1" applyBorder="1" applyAlignment="1">
      <alignment horizontal="center" vertical="center" wrapText="1"/>
    </xf>
    <xf numFmtId="0" fontId="9" fillId="24" borderId="17" xfId="27" applyFont="1" applyFill="1" applyBorder="1" applyAlignment="1">
      <alignment horizontal="left" vertical="center" wrapText="1"/>
    </xf>
    <xf numFmtId="0" fontId="9" fillId="24" borderId="0" xfId="27" applyFont="1" applyFill="1" applyBorder="1" applyAlignment="1">
      <alignment horizontal="left" vertical="center" wrapText="1"/>
    </xf>
    <xf numFmtId="0" fontId="9" fillId="24" borderId="0" xfId="27" applyFont="1" applyFill="1" applyAlignment="1">
      <alignment horizontal="left"/>
    </xf>
    <xf numFmtId="0" fontId="6" fillId="24" borderId="25" xfId="28" applyFont="1" applyFill="1" applyBorder="1" applyAlignment="1">
      <alignment vertical="center" wrapText="1"/>
    </xf>
    <xf numFmtId="0" fontId="6" fillId="0" borderId="0" xfId="27" applyFont="1"/>
    <xf numFmtId="0" fontId="9" fillId="24" borderId="0" xfId="27" applyFont="1" applyFill="1" applyBorder="1" applyAlignment="1">
      <alignment horizontal="center" vertical="center" wrapText="1"/>
    </xf>
    <xf numFmtId="0" fontId="6" fillId="0" borderId="0" xfId="30" applyFont="1">
      <alignment vertical="center"/>
    </xf>
    <xf numFmtId="0" fontId="12" fillId="0" borderId="0" xfId="30" applyFont="1" applyAlignment="1">
      <alignment horizontal="centerContinuous" vertical="center"/>
    </xf>
    <xf numFmtId="0" fontId="6" fillId="0" borderId="0" xfId="30" applyFont="1" applyAlignment="1">
      <alignment horizontal="centerContinuous" vertical="center"/>
    </xf>
    <xf numFmtId="0" fontId="13" fillId="0" borderId="0" xfId="30" applyFont="1" applyAlignment="1">
      <alignment horizontal="centerContinuous" vertical="center"/>
    </xf>
    <xf numFmtId="0" fontId="4" fillId="8" borderId="11" xfId="30" applyFont="1" applyFill="1" applyBorder="1" applyAlignment="1">
      <alignment horizontal="center" vertical="center" wrapText="1"/>
    </xf>
    <xf numFmtId="14" fontId="2" fillId="0" borderId="11" xfId="30" applyNumberFormat="1" applyFont="1" applyBorder="1" applyAlignment="1">
      <alignment horizontal="center" vertical="top" wrapText="1"/>
    </xf>
    <xf numFmtId="0" fontId="2" fillId="0" borderId="11" xfId="30" applyFont="1" applyBorder="1" applyAlignment="1">
      <alignment vertical="top" wrapText="1"/>
    </xf>
    <xf numFmtId="0" fontId="2" fillId="0" borderId="11" xfId="30" applyFont="1" applyBorder="1" applyAlignment="1">
      <alignment horizontal="justify" vertical="top" wrapText="1"/>
    </xf>
    <xf numFmtId="0" fontId="2" fillId="0" borderId="11" xfId="30" applyFont="1" applyBorder="1" applyAlignment="1">
      <alignment horizontal="center" vertical="top" wrapText="1"/>
    </xf>
    <xf numFmtId="0" fontId="45" fillId="0" borderId="0" xfId="30" applyAlignment="1">
      <alignment vertical="center"/>
    </xf>
    <xf numFmtId="0" fontId="14" fillId="0" borderId="0" xfId="29" applyFont="1" applyBorder="1" applyAlignment="1">
      <alignment wrapText="1"/>
    </xf>
    <xf numFmtId="0" fontId="6" fillId="0" borderId="0" xfId="29" applyBorder="1" applyAlignment="1">
      <alignment wrapText="1"/>
    </xf>
    <xf numFmtId="0" fontId="15" fillId="0" borderId="0" xfId="29" applyFont="1" applyBorder="1" applyAlignment="1">
      <alignment wrapText="1"/>
    </xf>
    <xf numFmtId="0" fontId="16" fillId="0" borderId="0" xfId="30" applyFont="1" applyAlignment="1">
      <alignment vertical="center"/>
    </xf>
    <xf numFmtId="0" fontId="16" fillId="0" borderId="0" xfId="0" applyFont="1" applyFill="1" applyAlignment="1">
      <alignment vertical="center" wrapText="1"/>
    </xf>
    <xf numFmtId="0" fontId="45" fillId="0" borderId="0" xfId="30">
      <alignment vertical="center"/>
    </xf>
    <xf numFmtId="0" fontId="17" fillId="0" borderId="0" xfId="30" applyFont="1" applyAlignment="1">
      <alignment vertical="center"/>
    </xf>
    <xf numFmtId="0" fontId="7" fillId="0" borderId="0" xfId="30" applyFont="1" applyAlignment="1">
      <alignment vertical="center"/>
    </xf>
    <xf numFmtId="0" fontId="14" fillId="0" borderId="0" xfId="29" applyFont="1" applyAlignment="1">
      <alignment horizontal="right" wrapText="1"/>
    </xf>
    <xf numFmtId="0" fontId="18" fillId="0" borderId="0" xfId="30" applyFont="1" applyAlignment="1">
      <alignment vertical="center"/>
    </xf>
    <xf numFmtId="0" fontId="18" fillId="0" borderId="0" xfId="30" applyFont="1" applyAlignment="1">
      <alignment horizontal="centerContinuous" vertical="center"/>
    </xf>
    <xf numFmtId="0" fontId="45" fillId="0" borderId="0" xfId="30" applyAlignment="1">
      <alignment horizontal="centerContinuous" vertical="center"/>
    </xf>
    <xf numFmtId="0" fontId="20" fillId="0" borderId="0" xfId="29" applyFont="1" applyAlignment="1">
      <alignment horizontal="left" vertical="top" wrapText="1"/>
    </xf>
    <xf numFmtId="0" fontId="20" fillId="0" borderId="0" xfId="29" applyFont="1" applyFill="1" applyAlignment="1">
      <alignment vertical="top" wrapText="1"/>
    </xf>
    <xf numFmtId="0" fontId="20" fillId="0" borderId="0" xfId="29" applyFont="1" applyAlignment="1">
      <alignment wrapText="1"/>
    </xf>
    <xf numFmtId="0" fontId="22" fillId="0" borderId="0" xfId="30" applyFont="1" applyAlignment="1">
      <alignment horizontal="centerContinuous" vertical="center"/>
    </xf>
    <xf numFmtId="0" fontId="15" fillId="0" borderId="11" xfId="29" applyFont="1" applyBorder="1" applyAlignment="1">
      <alignment horizontal="center" vertical="center" wrapText="1"/>
    </xf>
    <xf numFmtId="0" fontId="15" fillId="0" borderId="11" xfId="29" applyFont="1" applyBorder="1" applyAlignment="1">
      <alignment vertical="center" wrapText="1"/>
    </xf>
    <xf numFmtId="0" fontId="15" fillId="0" borderId="11" xfId="29" applyFont="1" applyBorder="1" applyAlignment="1">
      <alignment horizontal="distributed" vertical="center" wrapText="1"/>
    </xf>
    <xf numFmtId="14" fontId="15" fillId="0" borderId="11" xfId="29" applyNumberFormat="1" applyFont="1" applyBorder="1" applyAlignment="1">
      <alignment vertical="center" wrapText="1"/>
    </xf>
    <xf numFmtId="0" fontId="16" fillId="0" borderId="0" xfId="0" applyFont="1" applyFill="1" applyBorder="1" applyAlignment="1">
      <alignment vertical="center"/>
    </xf>
    <xf numFmtId="0" fontId="16" fillId="0" borderId="0" xfId="0" applyFont="1" applyFill="1" applyBorder="1" applyAlignment="1">
      <alignment vertical="center" wrapText="1"/>
    </xf>
    <xf numFmtId="0" fontId="24" fillId="0" borderId="0" xfId="30" applyFont="1" applyAlignment="1">
      <alignment horizontal="justify" vertical="center"/>
    </xf>
    <xf numFmtId="0" fontId="9" fillId="0" borderId="0" xfId="30" applyFont="1" applyAlignment="1">
      <alignment horizontal="center" vertical="center"/>
    </xf>
    <xf numFmtId="0" fontId="6" fillId="24" borderId="26" xfId="27" applyFont="1" applyFill="1" applyBorder="1" applyAlignment="1">
      <alignment horizontal="left" vertical="center" wrapText="1"/>
    </xf>
    <xf numFmtId="0" fontId="6" fillId="24" borderId="27" xfId="27" applyFont="1" applyFill="1" applyBorder="1" applyAlignment="1">
      <alignment horizontal="left" vertical="center" wrapText="1"/>
    </xf>
    <xf numFmtId="0" fontId="11" fillId="24" borderId="28" xfId="0" applyFont="1" applyFill="1" applyBorder="1" applyAlignment="1">
      <alignment horizontal="center" vertical="center"/>
    </xf>
    <xf numFmtId="0" fontId="9" fillId="24" borderId="11" xfId="0" applyFont="1" applyFill="1" applyBorder="1" applyAlignment="1">
      <alignment horizontal="left" vertical="center"/>
    </xf>
    <xf numFmtId="176" fontId="6" fillId="24" borderId="11" xfId="26" applyNumberFormat="1" applyFont="1" applyFill="1" applyBorder="1" applyAlignment="1">
      <alignment horizontal="left" vertical="center" wrapText="1"/>
    </xf>
    <xf numFmtId="0" fontId="6" fillId="24" borderId="11" xfId="27" applyFont="1" applyFill="1" applyBorder="1" applyAlignment="1" applyProtection="1">
      <alignment horizontal="left" vertical="center" wrapText="1"/>
      <protection locked="0"/>
    </xf>
    <xf numFmtId="0" fontId="49" fillId="24" borderId="11" xfId="27" applyFont="1" applyFill="1" applyBorder="1" applyAlignment="1">
      <alignment horizontal="left" vertical="center" wrapText="1"/>
    </xf>
    <xf numFmtId="0" fontId="50" fillId="24" borderId="17" xfId="27" applyFont="1" applyFill="1" applyBorder="1" applyAlignment="1">
      <alignment horizontal="left" vertical="center" wrapText="1"/>
    </xf>
    <xf numFmtId="0" fontId="51" fillId="24" borderId="11" xfId="27" applyFont="1" applyFill="1" applyBorder="1" applyAlignment="1">
      <alignment horizontal="left" vertical="center" wrapText="1"/>
    </xf>
    <xf numFmtId="0" fontId="51" fillId="24" borderId="11" xfId="26" applyFont="1" applyFill="1" applyBorder="1" applyAlignment="1">
      <alignment horizontal="left" vertical="center" wrapText="1"/>
    </xf>
    <xf numFmtId="0" fontId="52" fillId="24" borderId="11" xfId="26" applyFont="1" applyFill="1" applyBorder="1" applyAlignment="1">
      <alignment horizontal="left" vertical="center" wrapText="1"/>
    </xf>
    <xf numFmtId="0" fontId="54" fillId="24" borderId="11" xfId="26" applyFont="1" applyFill="1" applyBorder="1" applyAlignment="1">
      <alignment horizontal="left" vertical="center" wrapText="1"/>
    </xf>
    <xf numFmtId="0" fontId="55" fillId="24" borderId="11" xfId="26" applyFont="1" applyFill="1" applyBorder="1" applyAlignment="1">
      <alignment horizontal="left" vertical="center" wrapText="1"/>
    </xf>
    <xf numFmtId="0" fontId="71" fillId="24" borderId="11" xfId="31" applyFont="1" applyFill="1" applyBorder="1" applyAlignment="1">
      <alignment horizontal="left" vertical="center" wrapText="1"/>
    </xf>
    <xf numFmtId="0" fontId="56" fillId="24" borderId="11" xfId="26" applyFont="1" applyFill="1" applyBorder="1" applyAlignment="1">
      <alignment horizontal="left" vertical="center" wrapText="1"/>
    </xf>
    <xf numFmtId="0" fontId="71" fillId="24" borderId="11" xfId="31" applyFont="1" applyFill="1" applyBorder="1" applyAlignment="1">
      <alignment horizontal="left" vertical="center" wrapText="1"/>
    </xf>
    <xf numFmtId="49" fontId="56" fillId="24" borderId="11" xfId="26" applyNumberFormat="1" applyFont="1" applyFill="1" applyBorder="1" applyAlignment="1">
      <alignment horizontal="left" vertical="center" wrapText="1"/>
    </xf>
    <xf numFmtId="0" fontId="56" fillId="24" borderId="11" xfId="27" applyFont="1" applyFill="1" applyBorder="1" applyAlignment="1">
      <alignment horizontal="left" vertical="center" wrapText="1"/>
    </xf>
    <xf numFmtId="0" fontId="58" fillId="24" borderId="17" xfId="27" applyFont="1" applyFill="1" applyBorder="1" applyAlignment="1">
      <alignment horizontal="left" vertical="center" wrapText="1"/>
    </xf>
    <xf numFmtId="0" fontId="71" fillId="25" borderId="11" xfId="31" applyFont="1" applyFill="1" applyBorder="1" applyAlignment="1">
      <alignment horizontal="left" vertical="center" wrapText="1"/>
    </xf>
    <xf numFmtId="0" fontId="71" fillId="24" borderId="11" xfId="31" applyFont="1" applyFill="1" applyBorder="1" applyAlignment="1">
      <alignment horizontal="left" vertical="center" wrapText="1"/>
    </xf>
    <xf numFmtId="0" fontId="59" fillId="24" borderId="11" xfId="26" applyFont="1" applyFill="1" applyBorder="1" applyAlignment="1">
      <alignment horizontal="left" vertical="center" wrapText="1"/>
    </xf>
    <xf numFmtId="49" fontId="59" fillId="24" borderId="11" xfId="26" applyNumberFormat="1" applyFont="1" applyFill="1" applyBorder="1" applyAlignment="1">
      <alignment horizontal="left" vertical="center" wrapText="1"/>
    </xf>
    <xf numFmtId="0" fontId="59" fillId="0" borderId="11" xfId="0" applyFont="1" applyBorder="1" applyAlignment="1">
      <alignment horizontal="left" vertical="center" wrapText="1"/>
    </xf>
    <xf numFmtId="0" fontId="71" fillId="26" borderId="11" xfId="31" applyFont="1" applyFill="1" applyBorder="1" applyAlignment="1">
      <alignment horizontal="left" vertical="center" wrapText="1"/>
    </xf>
    <xf numFmtId="0" fontId="59" fillId="24" borderId="11" xfId="27" applyFont="1" applyFill="1" applyBorder="1" applyAlignment="1">
      <alignment horizontal="left" vertical="center" wrapText="1"/>
    </xf>
    <xf numFmtId="0" fontId="60" fillId="24" borderId="17" xfId="27" applyFont="1" applyFill="1" applyBorder="1" applyAlignment="1">
      <alignment horizontal="left" vertical="center" wrapText="1"/>
    </xf>
    <xf numFmtId="0" fontId="71" fillId="26" borderId="11" xfId="31" applyFont="1" applyFill="1" applyBorder="1" applyAlignment="1">
      <alignment horizontal="left" vertical="center" wrapText="1"/>
    </xf>
    <xf numFmtId="0" fontId="64" fillId="24" borderId="11" xfId="27" applyFont="1" applyFill="1" applyBorder="1" applyAlignment="1">
      <alignment horizontal="left" vertical="center" wrapText="1"/>
    </xf>
    <xf numFmtId="0" fontId="65" fillId="24" borderId="11" xfId="0" applyFont="1" applyFill="1" applyBorder="1" applyAlignment="1">
      <alignment horizontal="left" vertical="center"/>
    </xf>
    <xf numFmtId="0" fontId="66" fillId="24" borderId="0" xfId="0" applyFont="1" applyFill="1">
      <alignment vertical="center"/>
    </xf>
    <xf numFmtId="0" fontId="67" fillId="24" borderId="0" xfId="0" applyFont="1" applyFill="1">
      <alignment vertical="center"/>
    </xf>
    <xf numFmtId="0" fontId="66" fillId="24" borderId="0" xfId="0" applyFont="1" applyFill="1" applyAlignment="1">
      <alignment vertical="center"/>
    </xf>
    <xf numFmtId="49" fontId="6" fillId="24" borderId="11" xfId="31" applyNumberFormat="1" applyFont="1" applyFill="1" applyBorder="1" applyAlignment="1" applyProtection="1">
      <alignment horizontal="center" vertical="center" wrapText="1"/>
    </xf>
    <xf numFmtId="49" fontId="8" fillId="6" borderId="11" xfId="31" applyNumberFormat="1" applyFont="1" applyFill="1" applyBorder="1" applyAlignment="1" applyProtection="1">
      <alignment horizontal="center" vertical="center" wrapText="1"/>
    </xf>
    <xf numFmtId="0" fontId="6" fillId="24" borderId="11" xfId="26" applyFont="1" applyFill="1" applyBorder="1" applyAlignment="1">
      <alignment horizontal="left" vertical="top" wrapText="1"/>
    </xf>
    <xf numFmtId="0" fontId="6" fillId="24" borderId="11" xfId="27" applyFont="1" applyFill="1" applyBorder="1" applyAlignment="1" applyProtection="1">
      <alignment horizontal="left" vertical="top" wrapText="1"/>
      <protection locked="0"/>
    </xf>
    <xf numFmtId="0" fontId="71" fillId="24" borderId="11" xfId="31" applyFont="1" applyFill="1" applyBorder="1" applyAlignment="1">
      <alignment horizontal="left" vertical="top" wrapText="1"/>
    </xf>
    <xf numFmtId="0" fontId="59" fillId="24" borderId="11" xfId="27" applyFont="1" applyFill="1" applyBorder="1" applyAlignment="1">
      <alignment horizontal="left" vertical="top" wrapText="1"/>
    </xf>
    <xf numFmtId="0" fontId="56" fillId="24" borderId="11" xfId="26" applyFont="1" applyFill="1" applyBorder="1" applyAlignment="1">
      <alignment horizontal="left" vertical="top" wrapText="1"/>
    </xf>
    <xf numFmtId="0" fontId="68" fillId="24" borderId="11" xfId="26" applyFont="1" applyFill="1" applyBorder="1" applyAlignment="1">
      <alignment horizontal="left" vertical="top" wrapText="1"/>
    </xf>
    <xf numFmtId="0" fontId="59" fillId="24" borderId="11" xfId="26" applyFont="1" applyFill="1" applyBorder="1" applyAlignment="1">
      <alignment horizontal="left" vertical="top" wrapText="1"/>
    </xf>
    <xf numFmtId="49" fontId="59" fillId="24" borderId="11" xfId="26" applyNumberFormat="1" applyFont="1" applyFill="1" applyBorder="1" applyAlignment="1">
      <alignment horizontal="left" vertical="top" wrapText="1"/>
    </xf>
    <xf numFmtId="0" fontId="47" fillId="24" borderId="11" xfId="27" applyFont="1" applyFill="1" applyBorder="1" applyAlignment="1">
      <alignment horizontal="left" vertical="center" wrapText="1"/>
    </xf>
    <xf numFmtId="0" fontId="6" fillId="24" borderId="11" xfId="31" applyNumberFormat="1" applyFont="1" applyFill="1" applyBorder="1" applyAlignment="1" applyProtection="1">
      <alignment horizontal="center" vertical="center" wrapText="1"/>
    </xf>
    <xf numFmtId="0" fontId="6" fillId="24" borderId="11" xfId="31" applyNumberFormat="1" applyFont="1" applyFill="1" applyBorder="1" applyAlignment="1" applyProtection="1">
      <alignment horizontal="left" vertical="center" wrapText="1"/>
    </xf>
    <xf numFmtId="0" fontId="6" fillId="24" borderId="11" xfId="31" applyNumberFormat="1" applyFont="1" applyFill="1" applyBorder="1" applyAlignment="1">
      <alignment vertical="center" wrapText="1"/>
    </xf>
    <xf numFmtId="0" fontId="6" fillId="16" borderId="11" xfId="31" applyNumberFormat="1" applyFont="1" applyFill="1" applyBorder="1" applyAlignment="1">
      <alignment vertical="center" wrapText="1"/>
    </xf>
    <xf numFmtId="0" fontId="8" fillId="6" borderId="11" xfId="31" applyNumberFormat="1" applyFont="1" applyFill="1" applyBorder="1" applyAlignment="1" applyProtection="1">
      <alignment horizontal="center" vertical="center" wrapText="1"/>
    </xf>
    <xf numFmtId="0" fontId="6" fillId="8" borderId="11" xfId="26" applyNumberFormat="1" applyFont="1" applyFill="1" applyBorder="1" applyAlignment="1">
      <alignment horizontal="center" vertical="center" wrapText="1"/>
    </xf>
    <xf numFmtId="0" fontId="6" fillId="8" borderId="11" xfId="26" applyNumberFormat="1" applyFont="1" applyFill="1" applyBorder="1" applyAlignment="1">
      <alignment horizontal="left" vertical="center" wrapText="1"/>
    </xf>
    <xf numFmtId="0" fontId="6" fillId="8" borderId="11" xfId="19" applyNumberFormat="1" applyFont="1" applyFill="1" applyBorder="1" applyAlignment="1">
      <alignment horizontal="left" vertical="center" wrapText="1"/>
    </xf>
    <xf numFmtId="0" fontId="6" fillId="24" borderId="11" xfId="26" applyNumberFormat="1" applyFont="1" applyFill="1" applyBorder="1" applyAlignment="1">
      <alignment horizontal="center" vertical="center" wrapText="1"/>
    </xf>
    <xf numFmtId="0" fontId="6" fillId="24" borderId="11" xfId="26" applyNumberFormat="1" applyFont="1" applyFill="1" applyBorder="1" applyAlignment="1">
      <alignment horizontal="left" vertical="top" wrapText="1"/>
    </xf>
    <xf numFmtId="0" fontId="51" fillId="24" borderId="11" xfId="27" applyNumberFormat="1" applyFont="1" applyFill="1" applyBorder="1" applyAlignment="1">
      <alignment horizontal="left" vertical="top" wrapText="1"/>
    </xf>
    <xf numFmtId="0" fontId="64" fillId="24" borderId="11" xfId="26" applyNumberFormat="1" applyFont="1" applyFill="1" applyBorder="1" applyAlignment="1">
      <alignment horizontal="left" vertical="top" wrapText="1"/>
    </xf>
    <xf numFmtId="0" fontId="51" fillId="24" borderId="11" xfId="26" applyNumberFormat="1" applyFont="1" applyFill="1" applyBorder="1" applyAlignment="1">
      <alignment horizontal="left" vertical="top" wrapText="1"/>
    </xf>
    <xf numFmtId="0" fontId="6" fillId="0" borderId="11" xfId="0" applyNumberFormat="1" applyFont="1" applyBorder="1" applyAlignment="1">
      <alignment horizontal="left" vertical="top" wrapText="1"/>
    </xf>
    <xf numFmtId="0" fontId="71" fillId="24" borderId="11" xfId="31" applyNumberFormat="1" applyFont="1" applyFill="1" applyBorder="1" applyAlignment="1">
      <alignment horizontal="left" vertical="top" wrapText="1"/>
    </xf>
    <xf numFmtId="0" fontId="71" fillId="24" borderId="11" xfId="31" applyNumberFormat="1" applyFont="1" applyFill="1" applyBorder="1" applyAlignment="1">
      <alignment horizontal="left" vertical="center" wrapText="1"/>
    </xf>
    <xf numFmtId="0" fontId="6" fillId="24" borderId="11" xfId="26" applyNumberFormat="1" applyFont="1" applyFill="1" applyBorder="1" applyAlignment="1">
      <alignment vertical="center" wrapText="1"/>
    </xf>
    <xf numFmtId="0" fontId="6" fillId="24" borderId="11" xfId="31" applyNumberFormat="1" applyFont="1" applyFill="1" applyBorder="1" applyAlignment="1">
      <alignment horizontal="center" vertical="center" wrapText="1"/>
    </xf>
    <xf numFmtId="0" fontId="6" fillId="24" borderId="11" xfId="27" applyNumberFormat="1" applyFont="1" applyFill="1" applyBorder="1" applyAlignment="1">
      <alignment horizontal="left" vertical="top" wrapText="1"/>
    </xf>
    <xf numFmtId="0" fontId="47" fillId="24" borderId="11" xfId="26" applyNumberFormat="1" applyFont="1" applyFill="1" applyBorder="1" applyAlignment="1">
      <alignment horizontal="left" vertical="top" wrapText="1"/>
    </xf>
    <xf numFmtId="0" fontId="68" fillId="24" borderId="11" xfId="26" applyNumberFormat="1" applyFont="1" applyFill="1" applyBorder="1" applyAlignment="1">
      <alignment horizontal="left" vertical="top" wrapText="1"/>
    </xf>
    <xf numFmtId="0" fontId="56" fillId="24" borderId="11" xfId="26" applyNumberFormat="1" applyFont="1" applyFill="1" applyBorder="1" applyAlignment="1">
      <alignment horizontal="left" vertical="top" wrapText="1"/>
    </xf>
    <xf numFmtId="0" fontId="54" fillId="24" borderId="11" xfId="26" applyNumberFormat="1" applyFont="1" applyFill="1" applyBorder="1" applyAlignment="1">
      <alignment horizontal="left" vertical="top" wrapText="1"/>
    </xf>
    <xf numFmtId="0" fontId="69" fillId="24" borderId="11" xfId="26" applyNumberFormat="1" applyFont="1" applyFill="1" applyBorder="1" applyAlignment="1">
      <alignment horizontal="left" vertical="top" wrapText="1"/>
    </xf>
    <xf numFmtId="0" fontId="52" fillId="24" borderId="11" xfId="26" applyNumberFormat="1" applyFont="1" applyFill="1" applyBorder="1" applyAlignment="1">
      <alignment horizontal="left" vertical="top" wrapText="1"/>
    </xf>
    <xf numFmtId="0" fontId="55" fillId="24" borderId="11" xfId="26" applyNumberFormat="1" applyFont="1" applyFill="1" applyBorder="1" applyAlignment="1">
      <alignment horizontal="left" vertical="top" wrapText="1"/>
    </xf>
    <xf numFmtId="0" fontId="72" fillId="24" borderId="11" xfId="49" applyNumberFormat="1" applyFill="1" applyBorder="1" applyAlignment="1">
      <alignment horizontal="left" vertical="top" wrapText="1"/>
    </xf>
    <xf numFmtId="0" fontId="6" fillId="0" borderId="0" xfId="0" applyNumberFormat="1" applyFont="1" applyFill="1" applyAlignment="1">
      <alignment vertical="center" wrapText="1"/>
    </xf>
    <xf numFmtId="0" fontId="70" fillId="24" borderId="11" xfId="26" applyNumberFormat="1" applyFont="1" applyFill="1" applyBorder="1" applyAlignment="1">
      <alignment horizontal="left" vertical="top" wrapText="1"/>
    </xf>
    <xf numFmtId="0" fontId="9" fillId="0" borderId="0" xfId="0" applyNumberFormat="1" applyFont="1" applyAlignment="1">
      <alignment vertical="center" wrapText="1"/>
    </xf>
    <xf numFmtId="0" fontId="6" fillId="24" borderId="11" xfId="27" applyNumberFormat="1" applyFont="1" applyFill="1" applyBorder="1" applyAlignment="1" applyProtection="1">
      <alignment horizontal="left" vertical="top" wrapText="1"/>
      <protection locked="0"/>
    </xf>
    <xf numFmtId="0" fontId="71" fillId="26" borderId="11" xfId="31" applyNumberFormat="1" applyFont="1" applyFill="1" applyBorder="1" applyAlignment="1">
      <alignment horizontal="left" vertical="top" wrapText="1"/>
    </xf>
    <xf numFmtId="0" fontId="6" fillId="26" borderId="11" xfId="0" applyNumberFormat="1" applyFont="1" applyFill="1" applyBorder="1" applyAlignment="1">
      <alignment horizontal="left" vertical="top" wrapText="1"/>
    </xf>
    <xf numFmtId="0" fontId="59" fillId="24" borderId="11" xfId="27" applyNumberFormat="1" applyFont="1" applyFill="1" applyBorder="1" applyAlignment="1">
      <alignment horizontal="left" vertical="top" wrapText="1"/>
    </xf>
    <xf numFmtId="0" fontId="62" fillId="24" borderId="11" xfId="26" applyNumberFormat="1" applyFont="1" applyFill="1" applyBorder="1" applyAlignment="1">
      <alignment horizontal="left" vertical="top" wrapText="1"/>
    </xf>
    <xf numFmtId="0" fontId="59" fillId="24" borderId="11" xfId="26" applyNumberFormat="1" applyFont="1" applyFill="1" applyBorder="1" applyAlignment="1">
      <alignment horizontal="left" vertical="top" wrapText="1"/>
    </xf>
    <xf numFmtId="0" fontId="6" fillId="26" borderId="11" xfId="31" applyNumberFormat="1" applyFont="1" applyFill="1" applyBorder="1" applyAlignment="1">
      <alignment horizontal="left" vertical="top" wrapText="1"/>
    </xf>
    <xf numFmtId="0" fontId="71" fillId="24" borderId="0" xfId="31" applyNumberFormat="1" applyFont="1" applyFill="1" applyBorder="1" applyAlignment="1">
      <alignment horizontal="left" vertical="top" wrapText="1"/>
    </xf>
    <xf numFmtId="0" fontId="59" fillId="0" borderId="11" xfId="0" applyNumberFormat="1" applyFont="1" applyBorder="1" applyAlignment="1">
      <alignment horizontal="left" vertical="top" wrapText="1"/>
    </xf>
    <xf numFmtId="0" fontId="15" fillId="0" borderId="11" xfId="29" applyFont="1" applyBorder="1" applyAlignment="1">
      <alignment horizontal="left" vertical="center" wrapText="1"/>
    </xf>
    <xf numFmtId="0" fontId="14" fillId="0" borderId="0" xfId="29" applyFont="1" applyAlignment="1">
      <alignment horizontal="left" vertical="top" wrapText="1"/>
    </xf>
    <xf numFmtId="0" fontId="19" fillId="0" borderId="0" xfId="29" applyFont="1" applyAlignment="1">
      <alignment horizontal="center" vertical="top" wrapText="1"/>
    </xf>
    <xf numFmtId="0" fontId="21" fillId="0" borderId="0" xfId="29" applyFont="1" applyAlignment="1">
      <alignment horizontal="center" vertical="top" wrapText="1"/>
    </xf>
    <xf numFmtId="0" fontId="7" fillId="0" borderId="0" xfId="29" applyFont="1" applyAlignment="1">
      <alignment horizontal="center" vertical="top" wrapText="1"/>
    </xf>
    <xf numFmtId="0" fontId="23" fillId="0" borderId="0" xfId="29" applyFont="1" applyAlignment="1">
      <alignment horizontal="center" wrapText="1"/>
    </xf>
    <xf numFmtId="0" fontId="9" fillId="24" borderId="0" xfId="27" applyFont="1" applyFill="1" applyAlignment="1">
      <alignment horizontal="left" vertical="center" wrapText="1"/>
    </xf>
    <xf numFmtId="0" fontId="10" fillId="24" borderId="0" xfId="27" applyFont="1" applyFill="1" applyAlignment="1">
      <alignment horizontal="center" vertical="center" wrapText="1"/>
    </xf>
    <xf numFmtId="0" fontId="6" fillId="16" borderId="24" xfId="28" applyFont="1" applyFill="1" applyBorder="1" applyAlignment="1" applyProtection="1">
      <alignment vertical="center" wrapText="1"/>
    </xf>
    <xf numFmtId="0" fontId="6" fillId="16" borderId="18" xfId="28" applyFont="1" applyFill="1" applyBorder="1" applyAlignment="1">
      <alignment vertical="center" wrapText="1"/>
    </xf>
    <xf numFmtId="0" fontId="6" fillId="24" borderId="18" xfId="28" applyFont="1" applyFill="1" applyBorder="1" applyAlignment="1" applyProtection="1">
      <alignment horizontal="left" vertical="center" wrapText="1"/>
      <protection locked="0"/>
    </xf>
    <xf numFmtId="0" fontId="6" fillId="24" borderId="29" xfId="28" applyFont="1" applyFill="1" applyBorder="1" applyAlignment="1" applyProtection="1">
      <alignment horizontal="left" vertical="center" wrapText="1"/>
      <protection locked="0"/>
    </xf>
    <xf numFmtId="0" fontId="9" fillId="24" borderId="0" xfId="27" applyFont="1" applyFill="1" applyBorder="1" applyAlignment="1" applyProtection="1">
      <alignment vertical="center" wrapText="1"/>
    </xf>
    <xf numFmtId="0" fontId="9" fillId="24" borderId="0" xfId="27" applyFont="1" applyFill="1" applyBorder="1" applyAlignment="1">
      <alignment vertical="center" wrapText="1"/>
    </xf>
    <xf numFmtId="0" fontId="9" fillId="24" borderId="0" xfId="27" applyFont="1" applyFill="1" applyBorder="1" applyAlignment="1" applyProtection="1">
      <alignment vertical="center" wrapText="1"/>
      <protection locked="0"/>
    </xf>
    <xf numFmtId="0" fontId="7" fillId="24" borderId="0" xfId="31" applyFont="1" applyFill="1" applyBorder="1" applyAlignment="1" applyProtection="1">
      <alignment horizontal="center" vertical="center" wrapText="1"/>
    </xf>
    <xf numFmtId="0" fontId="7" fillId="24" borderId="0" xfId="31" applyFont="1" applyFill="1" applyBorder="1" applyAlignment="1" applyProtection="1">
      <alignment horizontal="left" vertical="center" wrapText="1"/>
    </xf>
    <xf numFmtId="0" fontId="6" fillId="8" borderId="11" xfId="31" applyNumberFormat="1" applyFont="1" applyFill="1" applyBorder="1" applyAlignment="1">
      <alignment horizontal="center" vertical="center" wrapText="1"/>
    </xf>
    <xf numFmtId="0" fontId="6" fillId="8" borderId="11" xfId="31" applyFont="1" applyFill="1" applyBorder="1" applyAlignment="1">
      <alignment horizontal="center" vertical="center" wrapText="1"/>
    </xf>
    <xf numFmtId="0" fontId="6" fillId="8" borderId="30" xfId="31" applyFont="1" applyFill="1" applyBorder="1" applyAlignment="1">
      <alignment horizontal="center" vertical="center" wrapText="1"/>
    </xf>
    <xf numFmtId="0" fontId="6" fillId="8" borderId="31" xfId="31" applyFont="1" applyFill="1" applyBorder="1" applyAlignment="1">
      <alignment horizontal="center" vertical="center" wrapText="1"/>
    </xf>
    <xf numFmtId="0" fontId="6" fillId="8" borderId="32" xfId="31" applyFont="1" applyFill="1" applyBorder="1" applyAlignment="1">
      <alignment horizontal="center" vertical="center" wrapText="1"/>
    </xf>
    <xf numFmtId="0" fontId="2" fillId="24" borderId="11" xfId="0" applyFont="1" applyFill="1" applyBorder="1" applyAlignment="1">
      <alignment horizontal="center" vertical="center"/>
    </xf>
    <xf numFmtId="0" fontId="2" fillId="24" borderId="11" xfId="0" applyFont="1" applyFill="1" applyBorder="1" applyAlignment="1">
      <alignment horizontal="left" vertical="center" wrapText="1"/>
    </xf>
    <xf numFmtId="0" fontId="4" fillId="16" borderId="11" xfId="0" applyFont="1" applyFill="1" applyBorder="1" applyAlignment="1">
      <alignment horizontal="center" vertical="center"/>
    </xf>
    <xf numFmtId="0" fontId="2" fillId="24" borderId="13" xfId="0" applyFont="1" applyFill="1" applyBorder="1" applyAlignment="1">
      <alignment horizontal="left" vertical="center" wrapText="1"/>
    </xf>
    <xf numFmtId="0" fontId="2" fillId="24" borderId="33" xfId="0" applyFont="1" applyFill="1" applyBorder="1" applyAlignment="1">
      <alignment horizontal="left" vertical="center" wrapText="1"/>
    </xf>
    <xf numFmtId="0" fontId="2" fillId="24" borderId="12" xfId="0" applyFont="1" applyFill="1" applyBorder="1" applyAlignment="1">
      <alignment horizontal="left" vertical="center" wrapText="1"/>
    </xf>
  </cellXfs>
  <cellStyles count="50">
    <cellStyle name="20% - 强调文字颜色 1" xfId="1"/>
    <cellStyle name="20% - 强调文字颜色 2" xfId="2"/>
    <cellStyle name="20% - 强调文字颜色 3" xfId="3"/>
    <cellStyle name="20% - 强调文字颜色 4" xfId="4"/>
    <cellStyle name="20% - 强调文字颜色 5" xfId="5"/>
    <cellStyle name="20% - 强调文字颜色 6" xfId="6"/>
    <cellStyle name="40% - 强调文字颜色 1" xfId="7"/>
    <cellStyle name="40% - 强调文字颜色 2" xfId="8"/>
    <cellStyle name="40% - 强调文字颜色 3" xfId="9"/>
    <cellStyle name="40% - 强调文字颜色 4" xfId="10"/>
    <cellStyle name="40% - 强调文字颜色 5" xfId="11"/>
    <cellStyle name="40% - 强调文字颜色 6" xfId="12"/>
    <cellStyle name="60% - 强调文字颜色 1" xfId="13"/>
    <cellStyle name="60% - 强调文字颜色 2" xfId="14"/>
    <cellStyle name="60% - 强调文字颜色 3" xfId="15"/>
    <cellStyle name="60% - 强调文字颜色 4" xfId="16"/>
    <cellStyle name="60% - 强调文字颜色 5" xfId="17"/>
    <cellStyle name="60% - 强调文字颜色 6" xfId="18"/>
    <cellStyle name="Normal_sst1E0" xfId="19"/>
    <cellStyle name="标题" xfId="20" builtinId="15" customBuiltin="1"/>
    <cellStyle name="标题 1" xfId="21" builtinId="16" customBuiltin="1"/>
    <cellStyle name="标题 2" xfId="22" builtinId="17" customBuiltin="1"/>
    <cellStyle name="标题 3" xfId="23" builtinId="18" customBuiltin="1"/>
    <cellStyle name="标题 4" xfId="24" builtinId="19" customBuiltin="1"/>
    <cellStyle name="差" xfId="25" builtinId="27" customBuiltin="1"/>
    <cellStyle name="常规" xfId="0" builtinId="0"/>
    <cellStyle name="常规_IN910206B-V2Client-ST-FTC(Ver0.7)-003" xfId="26"/>
    <cellStyle name="常规_Sheet1" xfId="27"/>
    <cellStyle name="常规_TD-E06T01测试大纲" xfId="28"/>
    <cellStyle name="常规_测试大纲" xfId="29"/>
    <cellStyle name="常规_封页" xfId="30"/>
    <cellStyle name="常规_金融事业部 测试用例模板" xfId="31"/>
    <cellStyle name="超链接" xfId="49" builtinId="8"/>
    <cellStyle name="好" xfId="32" builtinId="26" customBuiltin="1"/>
    <cellStyle name="汇总" xfId="33" builtinId="25" customBuiltin="1"/>
    <cellStyle name="计算" xfId="34" builtinId="22" customBuiltin="1"/>
    <cellStyle name="检查单元格" xfId="35" builtinId="23" customBuiltin="1"/>
    <cellStyle name="解释性文本" xfId="36" builtinId="53" customBuiltin="1"/>
    <cellStyle name="警告文本" xfId="37" builtinId="11" customBuiltin="1"/>
    <cellStyle name="链接单元格" xfId="38" builtinId="24" customBuiltin="1"/>
    <cellStyle name="强调文字颜色 1" xfId="39"/>
    <cellStyle name="强调文字颜色 2" xfId="40"/>
    <cellStyle name="强调文字颜色 3" xfId="41"/>
    <cellStyle name="强调文字颜色 4" xfId="42"/>
    <cellStyle name="强调文字颜色 5" xfId="43"/>
    <cellStyle name="强调文字颜色 6" xfId="44"/>
    <cellStyle name="适中" xfId="45" builtinId="28" customBuiltin="1"/>
    <cellStyle name="输出" xfId="46" builtinId="21" customBuiltin="1"/>
    <cellStyle name="输入" xfId="47" builtinId="20" customBuiltin="1"/>
    <cellStyle name="注释" xfId="48" builtinId="10" customBuiltin="1"/>
  </cellStyles>
  <dxfs count="147">
    <dxf>
      <fill>
        <patternFill>
          <fgColor indexed="64"/>
          <bgColor indexed="22"/>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22"/>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22"/>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22"/>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22"/>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22"/>
        </patternFill>
      </fill>
    </dxf>
    <dxf>
      <fill>
        <patternFill>
          <fgColor indexed="64"/>
          <bgColor indexed="45"/>
        </patternFill>
      </fill>
    </dxf>
    <dxf>
      <fill>
        <patternFill>
          <fgColor indexed="64"/>
          <bgColor indexed="22"/>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22"/>
        </patternFill>
      </fill>
    </dxf>
    <dxf>
      <fill>
        <patternFill>
          <fgColor indexed="64"/>
          <bgColor indexed="45"/>
        </patternFill>
      </fill>
    </dxf>
    <dxf>
      <fill>
        <patternFill>
          <fgColor indexed="64"/>
          <bgColor indexed="45"/>
        </patternFill>
      </fill>
    </dxf>
    <dxf>
      <fill>
        <patternFill>
          <fgColor indexed="64"/>
          <bgColor indexed="22"/>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
      <fill>
        <patternFill>
          <fgColor indexed="64"/>
          <bgColor indexed="4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printerSettings" Target="../printerSettings/printerSettings5.bin"/><Relationship Id="rId1" Type="http://schemas.openxmlformats.org/officeDocument/2006/relationships/printerSettings" Target="../printerSettings/printerSettings4.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4.xml.rels><?xml version="1.0" encoding="UTF-8" standalone="yes"?>
<Relationships xmlns="http://schemas.openxmlformats.org/package/2006/relationships"><Relationship Id="rId3" Type="http://schemas.openxmlformats.org/officeDocument/2006/relationships/hyperlink" Target="mailto:1044628946@qq.com" TargetMode="External"/><Relationship Id="rId7" Type="http://schemas.openxmlformats.org/officeDocument/2006/relationships/comments" Target="../comments1.xml"/><Relationship Id="rId2" Type="http://schemas.openxmlformats.org/officeDocument/2006/relationships/printerSettings" Target="../printerSettings/printerSettings9.bin"/><Relationship Id="rId1" Type="http://schemas.openxmlformats.org/officeDocument/2006/relationships/printerSettings" Target="../printerSettings/printerSettings8.bin"/><Relationship Id="rId6" Type="http://schemas.openxmlformats.org/officeDocument/2006/relationships/vmlDrawing" Target="../drawings/vmlDrawing1.vml"/><Relationship Id="rId5" Type="http://schemas.openxmlformats.org/officeDocument/2006/relationships/printerSettings" Target="../printerSettings/printerSettings10.bin"/><Relationship Id="rId4" Type="http://schemas.openxmlformats.org/officeDocument/2006/relationships/hyperlink" Target="mailto:1044628946@qq.com" TargetMode="Externa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1.bin"/></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2.bin"/></Relationships>
</file>

<file path=xl/worksheets/_rels/sheet9.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15.bin"/><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dimension ref="A1:V55"/>
  <sheetViews>
    <sheetView showGridLines="0" view="pageBreakPreview" zoomScaleNormal="100" workbookViewId="0">
      <selection activeCell="A24" sqref="A24"/>
    </sheetView>
  </sheetViews>
  <sheetFormatPr defaultColWidth="8" defaultRowHeight="14.25"/>
  <cols>
    <col min="1" max="1" width="8" style="143" customWidth="1"/>
    <col min="2" max="5" width="8.375" style="143" customWidth="1"/>
    <col min="6" max="6" width="8" style="143" customWidth="1"/>
    <col min="7" max="7" width="19.5" style="143" customWidth="1"/>
    <col min="8" max="8" width="14" style="143" customWidth="1"/>
    <col min="9" max="9" width="7.375" style="143" customWidth="1"/>
    <col min="10" max="10" width="7.125" style="143" customWidth="1"/>
    <col min="11" max="11" width="15.375" style="143" customWidth="1"/>
    <col min="12" max="12" width="5.875" style="143" customWidth="1"/>
    <col min="13" max="16384" width="8" style="143"/>
  </cols>
  <sheetData>
    <row r="1" spans="1:9" s="137" customFormat="1" ht="22.5">
      <c r="A1" s="144"/>
    </row>
    <row r="2" spans="1:9" s="137" customFormat="1" ht="22.5">
      <c r="A2" s="145"/>
    </row>
    <row r="3" spans="1:9" s="138" customFormat="1" ht="18.75">
      <c r="A3" s="246"/>
      <c r="B3" s="246"/>
      <c r="C3" s="246"/>
      <c r="D3" s="246"/>
      <c r="E3" s="246"/>
      <c r="F3" s="246"/>
      <c r="G3" s="246"/>
      <c r="H3" s="146"/>
    </row>
    <row r="4" spans="1:9" s="137" customFormat="1" ht="18.75">
      <c r="A4" s="147"/>
    </row>
    <row r="5" spans="1:9" s="137" customFormat="1" ht="18.75">
      <c r="A5" s="147"/>
    </row>
    <row r="6" spans="1:9" s="137" customFormat="1" ht="18.75">
      <c r="A6" s="147"/>
    </row>
    <row r="7" spans="1:9" s="137" customFormat="1" ht="18.75">
      <c r="A7" s="147"/>
    </row>
    <row r="8" spans="1:9" s="137" customFormat="1" ht="18.75">
      <c r="A8" s="148"/>
      <c r="B8" s="149"/>
      <c r="C8" s="149"/>
      <c r="D8" s="149"/>
      <c r="E8" s="149"/>
      <c r="F8" s="149"/>
      <c r="G8" s="149"/>
      <c r="H8" s="149"/>
      <c r="I8" s="149"/>
    </row>
    <row r="9" spans="1:9" s="139" customFormat="1" ht="98.25" customHeight="1">
      <c r="A9" s="247" t="s">
        <v>139</v>
      </c>
      <c r="B9" s="247"/>
      <c r="C9" s="247"/>
      <c r="D9" s="247"/>
      <c r="E9" s="247"/>
      <c r="F9" s="247"/>
      <c r="G9" s="247"/>
      <c r="H9" s="247"/>
    </row>
    <row r="10" spans="1:9" s="139" customFormat="1" ht="15.75">
      <c r="A10" s="150"/>
      <c r="B10" s="151"/>
      <c r="C10" s="152"/>
      <c r="D10" s="152"/>
      <c r="E10" s="152"/>
      <c r="F10" s="152"/>
      <c r="G10" s="152"/>
      <c r="H10" s="152"/>
    </row>
    <row r="11" spans="1:9" s="139" customFormat="1" ht="46.5">
      <c r="A11" s="248" t="s">
        <v>0</v>
      </c>
      <c r="B11" s="248"/>
      <c r="C11" s="248"/>
      <c r="D11" s="248"/>
      <c r="E11" s="248"/>
      <c r="F11" s="248"/>
      <c r="G11" s="248"/>
      <c r="H11" s="248"/>
    </row>
    <row r="12" spans="1:9" s="137" customFormat="1" ht="18.75">
      <c r="A12" s="153"/>
      <c r="B12" s="149"/>
      <c r="C12" s="149"/>
      <c r="D12" s="149"/>
      <c r="E12" s="149"/>
      <c r="F12" s="149"/>
      <c r="G12" s="149"/>
      <c r="H12" s="149"/>
      <c r="I12" s="149"/>
    </row>
    <row r="13" spans="1:9" s="137" customFormat="1" ht="22.5">
      <c r="A13" s="249" t="s">
        <v>140</v>
      </c>
      <c r="B13" s="249"/>
      <c r="C13" s="249"/>
      <c r="D13" s="249"/>
      <c r="E13" s="249"/>
      <c r="F13" s="249"/>
      <c r="G13" s="249"/>
      <c r="H13" s="249"/>
      <c r="I13" s="149"/>
    </row>
    <row r="14" spans="1:9" s="137" customFormat="1" ht="18.75">
      <c r="A14" s="148"/>
      <c r="B14" s="149"/>
      <c r="C14" s="149"/>
      <c r="D14" s="149"/>
      <c r="E14" s="149"/>
      <c r="F14" s="149"/>
      <c r="G14" s="149"/>
      <c r="H14" s="149"/>
      <c r="I14" s="149"/>
    </row>
    <row r="15" spans="1:9" s="137" customFormat="1" ht="18.75">
      <c r="A15" s="148"/>
      <c r="B15" s="149"/>
      <c r="C15" s="149"/>
      <c r="D15" s="149"/>
      <c r="E15" s="149"/>
      <c r="F15" s="149"/>
      <c r="G15" s="149"/>
      <c r="H15" s="149"/>
      <c r="I15" s="149"/>
    </row>
    <row r="16" spans="1:9" s="137" customFormat="1" ht="18.75">
      <c r="A16" s="148"/>
      <c r="B16" s="149"/>
      <c r="C16" s="149"/>
      <c r="D16" s="149"/>
      <c r="E16" s="149"/>
      <c r="F16" s="149"/>
      <c r="G16" s="149"/>
      <c r="H16" s="149"/>
      <c r="I16" s="149"/>
    </row>
    <row r="17" spans="1:22" s="137" customFormat="1" ht="18.75">
      <c r="A17" s="148"/>
      <c r="B17" s="149"/>
      <c r="C17" s="149"/>
      <c r="D17" s="149"/>
      <c r="E17" s="149"/>
      <c r="F17" s="149"/>
      <c r="G17" s="149"/>
      <c r="H17" s="149"/>
      <c r="I17" s="149"/>
    </row>
    <row r="18" spans="1:22" s="137" customFormat="1" ht="18.75">
      <c r="A18" s="148"/>
      <c r="B18" s="149"/>
      <c r="C18" s="149"/>
      <c r="D18" s="149"/>
      <c r="E18" s="149"/>
      <c r="F18" s="149"/>
      <c r="G18" s="149"/>
      <c r="H18" s="149"/>
      <c r="I18" s="149"/>
    </row>
    <row r="19" spans="1:22" s="137" customFormat="1" ht="18.75">
      <c r="A19" s="148"/>
      <c r="B19" s="149"/>
      <c r="C19" s="149"/>
      <c r="D19" s="149"/>
      <c r="E19" s="149"/>
      <c r="F19" s="149"/>
      <c r="G19" s="149"/>
      <c r="H19" s="149"/>
      <c r="I19" s="149"/>
    </row>
    <row r="20" spans="1:22" s="137" customFormat="1" ht="18.75">
      <c r="A20" s="148"/>
      <c r="B20" s="149"/>
      <c r="C20" s="149"/>
      <c r="D20" s="149"/>
      <c r="E20" s="149"/>
      <c r="F20" s="149"/>
      <c r="G20" s="149"/>
      <c r="H20" s="149"/>
      <c r="I20" s="149"/>
    </row>
    <row r="21" spans="1:22" s="137" customFormat="1" ht="18.75">
      <c r="A21" s="148"/>
      <c r="B21" s="149"/>
      <c r="C21" s="149"/>
      <c r="D21" s="149"/>
      <c r="E21" s="149"/>
      <c r="F21" s="149"/>
      <c r="G21" s="149"/>
      <c r="H21" s="149"/>
      <c r="I21" s="149"/>
    </row>
    <row r="22" spans="1:22" s="137" customFormat="1" ht="18.75">
      <c r="A22" s="148"/>
      <c r="B22" s="149"/>
      <c r="C22" s="149"/>
      <c r="D22" s="149"/>
      <c r="E22" s="149"/>
      <c r="F22" s="149"/>
      <c r="G22" s="149"/>
      <c r="H22" s="149"/>
      <c r="I22" s="149"/>
    </row>
    <row r="23" spans="1:22" s="139" customFormat="1" ht="22.5">
      <c r="A23" s="250" t="s">
        <v>141</v>
      </c>
      <c r="B23" s="250"/>
      <c r="C23" s="250"/>
      <c r="D23" s="250"/>
      <c r="E23" s="250"/>
      <c r="F23" s="250"/>
      <c r="G23" s="250"/>
      <c r="H23" s="250"/>
    </row>
    <row r="24" spans="1:22" s="139" customFormat="1" ht="15.75">
      <c r="A24" s="150"/>
      <c r="B24" s="152"/>
      <c r="C24" s="152"/>
      <c r="D24" s="152"/>
      <c r="E24" s="152"/>
      <c r="F24" s="152"/>
      <c r="G24" s="152"/>
      <c r="H24" s="152"/>
    </row>
    <row r="25" spans="1:22" s="139" customFormat="1" ht="15.75">
      <c r="A25" s="150"/>
      <c r="B25" s="152"/>
      <c r="C25" s="152"/>
      <c r="D25" s="152"/>
      <c r="E25" s="152"/>
      <c r="F25" s="152"/>
      <c r="G25" s="152"/>
      <c r="H25" s="152"/>
    </row>
    <row r="26" spans="1:22" s="139" customFormat="1" ht="15.75">
      <c r="A26" s="150"/>
      <c r="B26" s="152"/>
      <c r="C26" s="152"/>
      <c r="D26" s="152"/>
      <c r="E26" s="152"/>
      <c r="F26" s="152"/>
      <c r="G26" s="152"/>
      <c r="H26" s="152"/>
    </row>
    <row r="27" spans="1:22" s="140" customFormat="1" ht="20.100000000000001" customHeight="1">
      <c r="A27" s="154" t="s">
        <v>1</v>
      </c>
      <c r="B27" s="155"/>
      <c r="C27" s="154" t="s">
        <v>2</v>
      </c>
      <c r="D27" s="155"/>
      <c r="E27" s="154" t="s">
        <v>3</v>
      </c>
      <c r="F27" s="155"/>
      <c r="G27" s="156" t="s">
        <v>4</v>
      </c>
      <c r="H27" s="157"/>
    </row>
    <row r="28" spans="1:22" s="140" customFormat="1" ht="28.5" customHeight="1">
      <c r="A28" s="154" t="s">
        <v>5</v>
      </c>
      <c r="B28" s="245"/>
      <c r="C28" s="245"/>
      <c r="D28" s="245"/>
      <c r="E28" s="154" t="s">
        <v>6</v>
      </c>
      <c r="F28" s="245"/>
      <c r="G28" s="245"/>
      <c r="H28" s="245"/>
    </row>
    <row r="29" spans="1:22" s="137" customFormat="1" ht="20.100000000000001" customHeight="1"/>
    <row r="30" spans="1:22" s="141" customFormat="1"/>
    <row r="31" spans="1:22" s="142" customFormat="1" ht="14.25" customHeight="1">
      <c r="A31" s="158"/>
      <c r="B31" s="159"/>
      <c r="C31" s="159"/>
      <c r="D31" s="159"/>
      <c r="E31" s="159"/>
      <c r="F31" s="159"/>
      <c r="G31" s="159"/>
      <c r="H31" s="159"/>
      <c r="I31" s="159"/>
      <c r="J31" s="159"/>
      <c r="K31" s="159"/>
      <c r="L31" s="159"/>
      <c r="M31" s="159"/>
      <c r="N31" s="159"/>
      <c r="O31" s="159"/>
      <c r="P31" s="159"/>
      <c r="Q31" s="159"/>
      <c r="R31" s="159"/>
      <c r="S31" s="159"/>
      <c r="T31" s="159"/>
      <c r="U31" s="159"/>
      <c r="V31" s="159"/>
    </row>
    <row r="32" spans="1:22" s="142" customFormat="1" ht="14.25" customHeight="1">
      <c r="A32" s="158"/>
      <c r="B32" s="159"/>
      <c r="C32" s="159"/>
      <c r="D32" s="159"/>
      <c r="E32" s="159"/>
      <c r="F32" s="159"/>
      <c r="G32" s="159"/>
      <c r="H32" s="159"/>
      <c r="I32" s="159"/>
      <c r="J32" s="159"/>
      <c r="K32" s="159"/>
      <c r="L32" s="159"/>
      <c r="M32" s="159"/>
      <c r="N32" s="159"/>
      <c r="O32" s="159"/>
      <c r="P32" s="159"/>
      <c r="Q32" s="159"/>
      <c r="R32" s="159"/>
      <c r="S32" s="159"/>
      <c r="T32" s="159"/>
      <c r="U32" s="159"/>
      <c r="V32" s="159"/>
    </row>
    <row r="33" spans="1:22" s="142" customFormat="1" ht="14.25" customHeight="1">
      <c r="A33" s="158"/>
      <c r="B33" s="159"/>
      <c r="C33" s="159"/>
      <c r="D33" s="159"/>
      <c r="E33" s="159"/>
      <c r="F33" s="159"/>
      <c r="G33" s="159"/>
      <c r="H33" s="159"/>
      <c r="I33" s="159"/>
      <c r="J33" s="159"/>
      <c r="K33" s="159"/>
      <c r="L33" s="159"/>
      <c r="M33" s="159"/>
      <c r="N33" s="159"/>
      <c r="O33" s="159"/>
      <c r="P33" s="159"/>
      <c r="Q33" s="159"/>
      <c r="R33" s="159"/>
      <c r="S33" s="159"/>
      <c r="T33" s="159"/>
      <c r="U33" s="159"/>
      <c r="V33" s="159"/>
    </row>
    <row r="34" spans="1:22" s="137" customFormat="1">
      <c r="A34" s="141"/>
    </row>
    <row r="35" spans="1:22" s="137" customFormat="1"/>
    <row r="36" spans="1:22" s="137" customFormat="1"/>
    <row r="37" spans="1:22" s="137" customFormat="1"/>
    <row r="54" spans="1:1">
      <c r="A54" s="160"/>
    </row>
    <row r="55" spans="1:1">
      <c r="A55" s="161"/>
    </row>
  </sheetData>
  <customSheetViews>
    <customSheetView guid="{0B5AE87E-5094-483C-B162-40616F3898A2}" showPageBreaks="1" showGridLines="0" printArea="1" view="pageBreakPreview">
      <selection activeCell="A24" sqref="A24"/>
      <pageMargins left="0.75" right="0.75" top="1" bottom="1" header="0.5" footer="0.5"/>
      <pageSetup paperSize="9" scale="88" orientation="portrait" horizontalDpi="200" verticalDpi="200" r:id="rId1"/>
      <headerFooter alignWithMargins="0"/>
    </customSheetView>
    <customSheetView guid="{33A8337A-D9C9-4792-85CF-B434512345B4}" showPageBreaks="1" showGridLines="0" printArea="1" view="pageBreakPreview">
      <selection activeCell="A24" sqref="A24"/>
      <pageMargins left="0.75" right="0.75" top="1" bottom="1" header="0.5" footer="0.5"/>
      <pageSetup paperSize="9" scale="88" orientation="portrait" horizontalDpi="200" verticalDpi="200" r:id="rId2"/>
      <headerFooter alignWithMargins="0"/>
    </customSheetView>
  </customSheetViews>
  <mergeCells count="7">
    <mergeCell ref="B28:D28"/>
    <mergeCell ref="F28:H28"/>
    <mergeCell ref="A3:G3"/>
    <mergeCell ref="A9:H9"/>
    <mergeCell ref="A11:H11"/>
    <mergeCell ref="A13:H13"/>
    <mergeCell ref="A23:H23"/>
  </mergeCells>
  <phoneticPr fontId="44" type="noConversion"/>
  <pageMargins left="0.75" right="0.75" top="1" bottom="1" header="0.5" footer="0.5"/>
  <pageSetup paperSize="9" scale="88" orientation="portrait" horizontalDpi="200" verticalDpi="200" r:id="rId3"/>
  <headerFooter alignWithMargins="0"/>
</worksheet>
</file>

<file path=xl/worksheets/sheet2.xml><?xml version="1.0" encoding="utf-8"?>
<worksheet xmlns="http://schemas.openxmlformats.org/spreadsheetml/2006/main" xmlns:r="http://schemas.openxmlformats.org/officeDocument/2006/relationships">
  <dimension ref="B1:F20"/>
  <sheetViews>
    <sheetView showGridLines="0" view="pageBreakPreview" zoomScaleNormal="100" workbookViewId="0">
      <selection activeCell="F4" sqref="F4"/>
    </sheetView>
  </sheetViews>
  <sheetFormatPr defaultColWidth="8" defaultRowHeight="12"/>
  <cols>
    <col min="1" max="1" width="1.5" style="128" customWidth="1"/>
    <col min="2" max="2" width="12.375" style="128" customWidth="1"/>
    <col min="3" max="3" width="11" style="128" customWidth="1"/>
    <col min="4" max="4" width="38.75" style="128" customWidth="1"/>
    <col min="5" max="5" width="12.125" style="128" customWidth="1"/>
    <col min="6" max="6" width="9.875" style="128" customWidth="1"/>
    <col min="7" max="7" width="2.125" style="128" customWidth="1"/>
    <col min="8" max="16384" width="8" style="128"/>
  </cols>
  <sheetData>
    <row r="1" spans="2:6" ht="31.5">
      <c r="B1" s="129" t="s">
        <v>7</v>
      </c>
      <c r="C1" s="130"/>
      <c r="D1" s="131"/>
      <c r="E1" s="130"/>
      <c r="F1" s="130"/>
    </row>
    <row r="2" spans="2:6" ht="19.899999999999999" customHeight="1">
      <c r="B2" s="130"/>
      <c r="C2" s="130"/>
      <c r="D2" s="130"/>
      <c r="E2" s="130"/>
      <c r="F2" s="130"/>
    </row>
    <row r="3" spans="2:6" ht="13.5">
      <c r="B3" s="132" t="s">
        <v>8</v>
      </c>
      <c r="C3" s="132" t="s">
        <v>9</v>
      </c>
      <c r="D3" s="132" t="s">
        <v>10</v>
      </c>
      <c r="E3" s="132" t="s">
        <v>11</v>
      </c>
      <c r="F3" s="132" t="s">
        <v>12</v>
      </c>
    </row>
    <row r="4" spans="2:6" ht="13.5">
      <c r="B4" s="133">
        <v>43061</v>
      </c>
      <c r="C4" s="134" t="s">
        <v>136</v>
      </c>
      <c r="D4" s="135" t="s">
        <v>137</v>
      </c>
      <c r="E4" s="136" t="s">
        <v>138</v>
      </c>
      <c r="F4" s="133"/>
    </row>
    <row r="5" spans="2:6" ht="13.5">
      <c r="B5" s="133"/>
      <c r="C5" s="134"/>
      <c r="D5" s="135"/>
      <c r="E5" s="136"/>
      <c r="F5" s="133"/>
    </row>
    <row r="6" spans="2:6" ht="13.5">
      <c r="B6" s="133"/>
      <c r="C6" s="134"/>
      <c r="D6" s="135"/>
      <c r="E6" s="136"/>
      <c r="F6" s="133"/>
    </row>
    <row r="7" spans="2:6" ht="13.5">
      <c r="B7" s="133"/>
      <c r="C7" s="134"/>
      <c r="D7" s="135"/>
      <c r="E7" s="136"/>
      <c r="F7" s="133"/>
    </row>
    <row r="8" spans="2:6" ht="13.5">
      <c r="B8" s="133"/>
      <c r="C8" s="134"/>
      <c r="D8" s="135"/>
      <c r="E8" s="136"/>
      <c r="F8" s="133"/>
    </row>
    <row r="9" spans="2:6" ht="13.5">
      <c r="B9" s="133"/>
      <c r="C9" s="134"/>
      <c r="D9" s="135"/>
      <c r="E9" s="136"/>
      <c r="F9" s="133"/>
    </row>
    <row r="10" spans="2:6" ht="13.5">
      <c r="B10" s="133"/>
      <c r="C10" s="134"/>
      <c r="D10" s="135"/>
      <c r="E10" s="136"/>
      <c r="F10" s="133"/>
    </row>
    <row r="11" spans="2:6" ht="13.5">
      <c r="B11" s="133"/>
      <c r="C11" s="134"/>
      <c r="D11" s="135"/>
      <c r="E11" s="136"/>
      <c r="F11" s="133"/>
    </row>
    <row r="12" spans="2:6" ht="13.5">
      <c r="B12" s="133"/>
      <c r="C12" s="134"/>
      <c r="D12" s="135"/>
      <c r="E12" s="136"/>
      <c r="F12" s="133"/>
    </row>
    <row r="13" spans="2:6" ht="13.5">
      <c r="B13" s="136"/>
      <c r="C13" s="134"/>
      <c r="D13" s="135"/>
      <c r="E13" s="136"/>
      <c r="F13" s="136"/>
    </row>
    <row r="14" spans="2:6" ht="13.5">
      <c r="B14" s="136"/>
      <c r="C14" s="134"/>
      <c r="D14" s="135"/>
      <c r="E14" s="136"/>
      <c r="F14" s="136"/>
    </row>
    <row r="15" spans="2:6" ht="13.5">
      <c r="B15" s="136"/>
      <c r="C15" s="134"/>
      <c r="D15" s="135"/>
      <c r="E15" s="136"/>
      <c r="F15" s="136"/>
    </row>
    <row r="16" spans="2:6" ht="13.5">
      <c r="B16" s="136"/>
      <c r="C16" s="134"/>
      <c r="D16" s="135"/>
      <c r="E16" s="136"/>
      <c r="F16" s="136"/>
    </row>
    <row r="17" spans="2:6" ht="13.5">
      <c r="B17" s="136"/>
      <c r="C17" s="134"/>
      <c r="D17" s="135"/>
      <c r="E17" s="136"/>
      <c r="F17" s="136"/>
    </row>
    <row r="18" spans="2:6" ht="13.5">
      <c r="B18" s="136"/>
      <c r="C18" s="134"/>
      <c r="D18" s="135"/>
      <c r="E18" s="136"/>
      <c r="F18" s="136"/>
    </row>
    <row r="19" spans="2:6" ht="13.5">
      <c r="B19" s="136"/>
      <c r="C19" s="134"/>
      <c r="D19" s="135"/>
      <c r="E19" s="136"/>
      <c r="F19" s="136"/>
    </row>
    <row r="20" spans="2:6" ht="13.5">
      <c r="B20" s="136"/>
      <c r="C20" s="134"/>
      <c r="D20" s="135"/>
      <c r="E20" s="136"/>
      <c r="F20" s="136"/>
    </row>
  </sheetData>
  <customSheetViews>
    <customSheetView guid="{0B5AE87E-5094-483C-B162-40616F3898A2}" showPageBreaks="1" showGridLines="0" printArea="1" view="pageBreakPreview">
      <selection activeCell="F4" sqref="F4"/>
      <pageMargins left="0.75" right="0.75" top="1" bottom="1" header="0.5" footer="0.5"/>
      <pageSetup paperSize="9" scale="92" orientation="portrait" horizontalDpi="200" verticalDpi="200" r:id="rId1"/>
      <headerFooter alignWithMargins="0"/>
    </customSheetView>
    <customSheetView guid="{33A8337A-D9C9-4792-85CF-B434512345B4}" showPageBreaks="1" showGridLines="0" printArea="1" view="pageBreakPreview">
      <selection activeCell="F4" sqref="F4"/>
      <pageMargins left="0.75" right="0.75" top="1" bottom="1" header="0.5" footer="0.5"/>
      <pageSetup paperSize="9" scale="92" orientation="portrait" horizontalDpi="200" verticalDpi="200" r:id="rId2"/>
      <headerFooter alignWithMargins="0"/>
    </customSheetView>
  </customSheetViews>
  <phoneticPr fontId="44" type="noConversion"/>
  <pageMargins left="0.75" right="0.75" top="1" bottom="1" header="0.5" footer="0.5"/>
  <pageSetup paperSize="9" scale="92" orientation="portrait" horizontalDpi="200" verticalDpi="200" r:id="rId3"/>
  <headerFooter alignWithMargins="0"/>
</worksheet>
</file>

<file path=xl/worksheets/sheet3.xml><?xml version="1.0" encoding="utf-8"?>
<worksheet xmlns="http://schemas.openxmlformats.org/spreadsheetml/2006/main" xmlns:r="http://schemas.openxmlformats.org/officeDocument/2006/relationships">
  <dimension ref="A1:AV88"/>
  <sheetViews>
    <sheetView showGridLines="0" topLeftCell="A2" zoomScale="90" workbookViewId="0">
      <selection activeCell="G19" sqref="G19"/>
    </sheetView>
  </sheetViews>
  <sheetFormatPr defaultColWidth="9" defaultRowHeight="12.75"/>
  <cols>
    <col min="1" max="1" width="9" style="103"/>
    <col min="2" max="2" width="12.75" style="103" bestFit="1" customWidth="1"/>
    <col min="3" max="3" width="16.125" style="103" customWidth="1"/>
    <col min="4" max="4" width="21.375" style="103" bestFit="1" customWidth="1"/>
    <col min="5" max="5" width="19.75" style="103" customWidth="1"/>
    <col min="6" max="6" width="13.625" style="104" bestFit="1" customWidth="1"/>
    <col min="7" max="7" width="14" style="104" customWidth="1"/>
    <col min="8" max="8" width="12.75" style="103" bestFit="1" customWidth="1"/>
    <col min="9" max="9" width="17.625" style="103" customWidth="1"/>
    <col min="10" max="16384" width="9" style="103"/>
  </cols>
  <sheetData>
    <row r="1" spans="1:48">
      <c r="A1" s="105"/>
      <c r="B1" s="105"/>
      <c r="C1" s="105"/>
      <c r="D1" s="105"/>
      <c r="E1" s="105"/>
      <c r="F1" s="106"/>
      <c r="G1" s="106"/>
      <c r="H1" s="105"/>
      <c r="I1" s="105"/>
      <c r="J1" s="105"/>
      <c r="K1" s="105"/>
      <c r="L1" s="105"/>
      <c r="M1" s="105"/>
      <c r="N1" s="105"/>
      <c r="O1" s="105"/>
      <c r="P1" s="105"/>
      <c r="Q1" s="105"/>
      <c r="R1" s="105"/>
      <c r="S1" s="105"/>
      <c r="T1" s="105"/>
      <c r="U1" s="105"/>
      <c r="V1" s="105"/>
      <c r="W1" s="105"/>
      <c r="X1" s="105"/>
      <c r="Y1" s="105"/>
      <c r="Z1" s="105"/>
      <c r="AA1" s="105"/>
      <c r="AB1" s="105"/>
      <c r="AC1" s="105"/>
      <c r="AD1" s="105"/>
      <c r="AE1" s="105"/>
      <c r="AF1" s="105"/>
      <c r="AG1" s="105"/>
      <c r="AH1" s="105"/>
      <c r="AI1" s="105"/>
      <c r="AJ1" s="105"/>
      <c r="AK1" s="105"/>
      <c r="AL1" s="105"/>
      <c r="AM1" s="105"/>
      <c r="AN1" s="105"/>
      <c r="AO1" s="105"/>
      <c r="AP1" s="105"/>
      <c r="AQ1" s="105"/>
      <c r="AR1" s="105"/>
      <c r="AS1" s="105"/>
      <c r="AT1" s="105"/>
      <c r="AU1" s="105"/>
    </row>
    <row r="2" spans="1:48">
      <c r="A2" s="105"/>
      <c r="B2" s="105"/>
      <c r="C2" s="105"/>
      <c r="D2" s="105"/>
      <c r="E2" s="105"/>
      <c r="F2" s="106"/>
      <c r="G2" s="106"/>
      <c r="H2" s="105"/>
      <c r="I2" s="105"/>
      <c r="J2" s="105"/>
      <c r="K2" s="105"/>
      <c r="L2" s="105"/>
      <c r="M2" s="105"/>
      <c r="N2" s="105"/>
      <c r="O2" s="105"/>
      <c r="P2" s="105"/>
      <c r="Q2" s="105"/>
      <c r="R2" s="105"/>
      <c r="S2" s="105"/>
      <c r="T2" s="105"/>
      <c r="U2" s="105"/>
      <c r="V2" s="105"/>
      <c r="W2" s="105"/>
      <c r="X2" s="105"/>
      <c r="Y2" s="105"/>
      <c r="Z2" s="105"/>
      <c r="AA2" s="105"/>
      <c r="AB2" s="105"/>
      <c r="AC2" s="105"/>
      <c r="AD2" s="105"/>
      <c r="AE2" s="105"/>
      <c r="AF2" s="105"/>
      <c r="AG2" s="105"/>
      <c r="AH2" s="105"/>
      <c r="AI2" s="105"/>
      <c r="AJ2" s="105"/>
      <c r="AK2" s="105"/>
      <c r="AL2" s="105"/>
      <c r="AM2" s="105"/>
      <c r="AN2" s="105"/>
      <c r="AO2" s="105"/>
      <c r="AP2" s="105"/>
      <c r="AQ2" s="105"/>
      <c r="AR2" s="105"/>
      <c r="AS2" s="105"/>
      <c r="AT2" s="105"/>
      <c r="AU2" s="105"/>
    </row>
    <row r="3" spans="1:48" ht="20.25">
      <c r="A3" s="252" t="s">
        <v>13</v>
      </c>
      <c r="B3" s="252"/>
      <c r="C3" s="252"/>
      <c r="D3" s="252"/>
      <c r="E3" s="252"/>
      <c r="F3" s="252"/>
      <c r="G3" s="252"/>
      <c r="H3" s="252"/>
      <c r="I3" s="120"/>
      <c r="J3" s="105"/>
      <c r="K3" s="105"/>
      <c r="L3" s="105"/>
      <c r="M3" s="105"/>
      <c r="N3" s="105"/>
      <c r="O3" s="105"/>
      <c r="P3" s="105"/>
      <c r="Q3" s="105"/>
      <c r="R3" s="105"/>
      <c r="S3" s="105"/>
      <c r="T3" s="105"/>
      <c r="U3" s="105"/>
      <c r="V3" s="105"/>
      <c r="W3" s="105"/>
      <c r="X3" s="105"/>
      <c r="Y3" s="105"/>
      <c r="Z3" s="105"/>
      <c r="AA3" s="105"/>
      <c r="AB3" s="105"/>
      <c r="AC3" s="105"/>
      <c r="AD3" s="105"/>
      <c r="AE3" s="105"/>
      <c r="AF3" s="105"/>
      <c r="AG3" s="105"/>
      <c r="AH3" s="105"/>
      <c r="AI3" s="105"/>
      <c r="AJ3" s="105"/>
      <c r="AK3" s="105"/>
      <c r="AL3" s="105"/>
      <c r="AM3" s="105"/>
      <c r="AN3" s="105"/>
      <c r="AO3" s="105"/>
      <c r="AP3" s="105"/>
      <c r="AQ3" s="105"/>
      <c r="AR3" s="105"/>
      <c r="AS3" s="105"/>
      <c r="AT3" s="105"/>
      <c r="AU3" s="105"/>
    </row>
    <row r="4" spans="1:48">
      <c r="A4" s="107"/>
      <c r="B4" s="108"/>
      <c r="C4" s="108"/>
      <c r="D4" s="108"/>
      <c r="E4" s="108"/>
      <c r="F4" s="109" t="s">
        <v>14</v>
      </c>
      <c r="G4" s="110">
        <f>SUM(F6:F367)</f>
        <v>0</v>
      </c>
      <c r="H4" s="109" t="s">
        <v>15</v>
      </c>
      <c r="I4" s="110">
        <f>SUM(G6:G367)</f>
        <v>0</v>
      </c>
      <c r="J4" s="105"/>
      <c r="K4" s="105"/>
      <c r="L4" s="105"/>
      <c r="M4" s="105"/>
      <c r="N4" s="105"/>
      <c r="O4" s="105"/>
      <c r="P4" s="105"/>
      <c r="Q4" s="105"/>
      <c r="R4" s="105"/>
      <c r="S4" s="105"/>
      <c r="T4" s="105"/>
      <c r="U4" s="105"/>
      <c r="V4" s="105"/>
      <c r="W4" s="105"/>
      <c r="X4" s="105"/>
      <c r="Y4" s="105"/>
      <c r="Z4" s="105"/>
      <c r="AA4" s="105"/>
      <c r="AB4" s="105"/>
      <c r="AC4" s="105"/>
      <c r="AD4" s="105"/>
      <c r="AE4" s="105"/>
      <c r="AF4" s="105"/>
      <c r="AG4" s="105"/>
      <c r="AH4" s="105"/>
      <c r="AI4" s="105"/>
      <c r="AJ4" s="105"/>
      <c r="AK4" s="105"/>
      <c r="AL4" s="105"/>
      <c r="AM4" s="105"/>
      <c r="AN4" s="105"/>
      <c r="AO4" s="105"/>
      <c r="AP4" s="105"/>
      <c r="AQ4" s="105"/>
      <c r="AR4" s="105"/>
      <c r="AS4" s="105"/>
      <c r="AT4" s="105"/>
      <c r="AU4" s="105"/>
    </row>
    <row r="5" spans="1:48" ht="15.75" customHeight="1">
      <c r="A5" s="111" t="s">
        <v>16</v>
      </c>
      <c r="B5" s="112" t="s">
        <v>17</v>
      </c>
      <c r="C5" s="112" t="s">
        <v>18</v>
      </c>
      <c r="D5" s="113" t="s">
        <v>19</v>
      </c>
      <c r="E5" s="113" t="s">
        <v>20</v>
      </c>
      <c r="F5" s="112" t="s">
        <v>21</v>
      </c>
      <c r="G5" s="112" t="s">
        <v>15</v>
      </c>
      <c r="H5" s="112" t="s">
        <v>22</v>
      </c>
      <c r="I5" s="121" t="s">
        <v>23</v>
      </c>
      <c r="J5" s="118"/>
      <c r="K5" s="105"/>
      <c r="L5" s="105"/>
      <c r="M5" s="105"/>
      <c r="N5" s="105"/>
      <c r="O5" s="105"/>
      <c r="P5" s="105"/>
      <c r="Q5" s="105"/>
      <c r="R5" s="105"/>
      <c r="S5" s="105"/>
      <c r="T5" s="105"/>
      <c r="U5" s="105"/>
      <c r="V5" s="105"/>
      <c r="W5" s="105"/>
      <c r="X5" s="105"/>
      <c r="Y5" s="105"/>
      <c r="Z5" s="105"/>
      <c r="AA5" s="105"/>
      <c r="AB5" s="105"/>
      <c r="AC5" s="105"/>
      <c r="AD5" s="105"/>
      <c r="AE5" s="105"/>
      <c r="AF5" s="105"/>
      <c r="AG5" s="105"/>
      <c r="AH5" s="105"/>
      <c r="AI5" s="105"/>
      <c r="AJ5" s="105"/>
      <c r="AK5" s="105"/>
      <c r="AL5" s="105"/>
      <c r="AM5" s="105"/>
      <c r="AN5" s="105"/>
      <c r="AO5" s="105"/>
      <c r="AP5" s="105"/>
      <c r="AQ5" s="105"/>
      <c r="AR5" s="105"/>
      <c r="AS5" s="105"/>
      <c r="AT5" s="105"/>
      <c r="AU5" s="105"/>
      <c r="AV5" s="105"/>
    </row>
    <row r="6" spans="1:48" s="101" customFormat="1">
      <c r="A6" s="114">
        <v>1</v>
      </c>
      <c r="B6" s="168" t="s">
        <v>142</v>
      </c>
      <c r="C6" s="168" t="s">
        <v>142</v>
      </c>
      <c r="D6" s="165"/>
      <c r="E6" s="115"/>
      <c r="F6" s="116"/>
      <c r="G6" s="116"/>
      <c r="H6" s="116"/>
      <c r="I6" s="122"/>
      <c r="J6" s="123"/>
      <c r="K6" s="124"/>
      <c r="L6" s="124"/>
      <c r="M6" s="124"/>
      <c r="N6" s="124"/>
      <c r="O6" s="124"/>
      <c r="P6" s="124"/>
      <c r="Q6" s="124"/>
      <c r="R6" s="124"/>
      <c r="S6" s="124"/>
      <c r="T6" s="124"/>
      <c r="U6" s="124"/>
      <c r="V6" s="124"/>
      <c r="W6" s="124"/>
      <c r="X6" s="124"/>
      <c r="Y6" s="124"/>
      <c r="Z6" s="124"/>
      <c r="AA6" s="124"/>
      <c r="AB6" s="124"/>
      <c r="AC6" s="124"/>
      <c r="AD6" s="124"/>
      <c r="AE6" s="124"/>
      <c r="AF6" s="124"/>
      <c r="AG6" s="124"/>
      <c r="AH6" s="124"/>
      <c r="AI6" s="124"/>
      <c r="AJ6" s="124"/>
      <c r="AK6" s="124"/>
      <c r="AL6" s="124"/>
      <c r="AM6" s="124"/>
      <c r="AN6" s="124"/>
      <c r="AO6" s="124"/>
      <c r="AP6" s="124"/>
      <c r="AQ6" s="124"/>
      <c r="AR6" s="124"/>
      <c r="AS6" s="124"/>
      <c r="AT6" s="124"/>
      <c r="AU6" s="124"/>
      <c r="AV6" s="124"/>
    </row>
    <row r="7" spans="1:48" s="101" customFormat="1">
      <c r="A7" s="114"/>
      <c r="B7" s="168"/>
      <c r="C7" s="168" t="s">
        <v>144</v>
      </c>
      <c r="D7" s="165"/>
      <c r="E7" s="115"/>
      <c r="F7" s="116"/>
      <c r="G7" s="116"/>
      <c r="H7" s="116"/>
      <c r="I7" s="169"/>
      <c r="J7" s="123"/>
      <c r="K7" s="124"/>
      <c r="L7" s="124"/>
      <c r="M7" s="124"/>
      <c r="N7" s="124"/>
      <c r="O7" s="124"/>
      <c r="P7" s="124"/>
      <c r="Q7" s="124"/>
      <c r="R7" s="124"/>
      <c r="S7" s="124"/>
      <c r="T7" s="124"/>
      <c r="U7" s="124"/>
      <c r="V7" s="124"/>
      <c r="W7" s="124"/>
      <c r="X7" s="124"/>
      <c r="Y7" s="124"/>
      <c r="Z7" s="124"/>
      <c r="AA7" s="124"/>
      <c r="AB7" s="124"/>
      <c r="AC7" s="124"/>
      <c r="AD7" s="124"/>
      <c r="AE7" s="124"/>
      <c r="AF7" s="124"/>
      <c r="AG7" s="124"/>
      <c r="AH7" s="124"/>
      <c r="AI7" s="124"/>
      <c r="AJ7" s="124"/>
      <c r="AK7" s="124"/>
      <c r="AL7" s="124"/>
      <c r="AM7" s="124"/>
      <c r="AN7" s="124"/>
      <c r="AO7" s="124"/>
      <c r="AP7" s="124"/>
      <c r="AQ7" s="124"/>
      <c r="AR7" s="124"/>
      <c r="AS7" s="124"/>
      <c r="AT7" s="124"/>
      <c r="AU7" s="124"/>
      <c r="AV7" s="124"/>
    </row>
    <row r="8" spans="1:48" s="101" customFormat="1">
      <c r="A8" s="114"/>
      <c r="B8" s="168"/>
      <c r="C8" s="168" t="s">
        <v>145</v>
      </c>
      <c r="D8" s="165"/>
      <c r="E8" s="115"/>
      <c r="F8" s="116"/>
      <c r="G8" s="116"/>
      <c r="H8" s="116"/>
      <c r="I8" s="169"/>
      <c r="J8" s="123"/>
      <c r="K8" s="124"/>
      <c r="L8" s="124"/>
      <c r="M8" s="124"/>
      <c r="N8" s="124"/>
      <c r="O8" s="124"/>
      <c r="P8" s="124"/>
      <c r="Q8" s="124"/>
      <c r="R8" s="124"/>
      <c r="S8" s="124"/>
      <c r="T8" s="124"/>
      <c r="U8" s="124"/>
      <c r="V8" s="124"/>
      <c r="W8" s="124"/>
      <c r="X8" s="124"/>
      <c r="Y8" s="124"/>
      <c r="Z8" s="124"/>
      <c r="AA8" s="124"/>
      <c r="AB8" s="124"/>
      <c r="AC8" s="124"/>
      <c r="AD8" s="124"/>
      <c r="AE8" s="124"/>
      <c r="AF8" s="124"/>
      <c r="AG8" s="124"/>
      <c r="AH8" s="124"/>
      <c r="AI8" s="124"/>
      <c r="AJ8" s="124"/>
      <c r="AK8" s="124"/>
      <c r="AL8" s="124"/>
      <c r="AM8" s="124"/>
      <c r="AN8" s="124"/>
      <c r="AO8" s="124"/>
      <c r="AP8" s="124"/>
      <c r="AQ8" s="124"/>
      <c r="AR8" s="124"/>
      <c r="AS8" s="124"/>
      <c r="AT8" s="124"/>
      <c r="AU8" s="124"/>
      <c r="AV8" s="124"/>
    </row>
    <row r="9" spans="1:48" s="101" customFormat="1">
      <c r="A9" s="114">
        <v>2</v>
      </c>
      <c r="B9" s="168" t="s">
        <v>143</v>
      </c>
      <c r="C9" s="168" t="s">
        <v>143</v>
      </c>
      <c r="D9" s="165"/>
      <c r="E9" s="115"/>
      <c r="F9" s="116"/>
      <c r="G9" s="116"/>
      <c r="H9" s="116"/>
      <c r="I9" s="169"/>
      <c r="J9" s="123"/>
      <c r="K9" s="124"/>
      <c r="L9" s="124"/>
      <c r="M9" s="124"/>
      <c r="N9" s="124"/>
      <c r="O9" s="124"/>
      <c r="P9" s="124"/>
      <c r="Q9" s="124"/>
      <c r="R9" s="124"/>
      <c r="S9" s="124"/>
      <c r="T9" s="124"/>
      <c r="U9" s="124"/>
      <c r="V9" s="124"/>
      <c r="W9" s="124"/>
      <c r="X9" s="124"/>
      <c r="Y9" s="124"/>
      <c r="Z9" s="124"/>
      <c r="AA9" s="124"/>
      <c r="AB9" s="124"/>
      <c r="AC9" s="124"/>
      <c r="AD9" s="124"/>
      <c r="AE9" s="124"/>
      <c r="AF9" s="124"/>
      <c r="AG9" s="124"/>
      <c r="AH9" s="124"/>
      <c r="AI9" s="124"/>
      <c r="AJ9" s="124"/>
      <c r="AK9" s="124"/>
      <c r="AL9" s="124"/>
      <c r="AM9" s="124"/>
      <c r="AN9" s="124"/>
      <c r="AO9" s="124"/>
      <c r="AP9" s="124"/>
      <c r="AQ9" s="124"/>
      <c r="AR9" s="124"/>
      <c r="AS9" s="124"/>
      <c r="AT9" s="124"/>
      <c r="AU9" s="124"/>
      <c r="AV9" s="124"/>
    </row>
    <row r="10" spans="1:48" s="101" customFormat="1">
      <c r="A10" s="114"/>
      <c r="B10" s="168"/>
      <c r="C10" s="168" t="s">
        <v>146</v>
      </c>
      <c r="D10" s="165"/>
      <c r="E10" s="115"/>
      <c r="F10" s="116"/>
      <c r="G10" s="116"/>
      <c r="H10" s="116"/>
      <c r="I10" s="122"/>
      <c r="J10" s="123"/>
      <c r="K10" s="124"/>
      <c r="L10" s="124"/>
      <c r="M10" s="124"/>
      <c r="N10" s="124"/>
      <c r="O10" s="124"/>
      <c r="P10" s="124"/>
      <c r="Q10" s="124"/>
      <c r="R10" s="124"/>
      <c r="S10" s="124"/>
      <c r="T10" s="124"/>
      <c r="U10" s="124"/>
      <c r="V10" s="124"/>
      <c r="W10" s="124"/>
      <c r="X10" s="124"/>
      <c r="Y10" s="124"/>
      <c r="Z10" s="124"/>
      <c r="AA10" s="124"/>
      <c r="AB10" s="124"/>
      <c r="AC10" s="124"/>
      <c r="AD10" s="124"/>
      <c r="AE10" s="124"/>
      <c r="AF10" s="124"/>
      <c r="AG10" s="124"/>
      <c r="AH10" s="124"/>
      <c r="AI10" s="124"/>
      <c r="AJ10" s="124"/>
      <c r="AK10" s="124"/>
      <c r="AL10" s="124"/>
      <c r="AM10" s="124"/>
      <c r="AN10" s="124"/>
      <c r="AO10" s="124"/>
      <c r="AP10" s="124"/>
      <c r="AQ10" s="124"/>
      <c r="AR10" s="124"/>
      <c r="AS10" s="124"/>
      <c r="AT10" s="124"/>
      <c r="AU10" s="124"/>
      <c r="AV10" s="124"/>
    </row>
    <row r="11" spans="1:48" s="101" customFormat="1">
      <c r="A11" s="114"/>
      <c r="B11" s="168"/>
      <c r="C11" s="168" t="s">
        <v>147</v>
      </c>
      <c r="D11" s="165"/>
      <c r="E11" s="115"/>
      <c r="F11" s="116"/>
      <c r="G11" s="116"/>
      <c r="H11" s="116"/>
      <c r="I11" s="122"/>
      <c r="J11" s="123"/>
      <c r="K11" s="124"/>
      <c r="L11" s="124"/>
      <c r="M11" s="124"/>
      <c r="N11" s="124"/>
      <c r="O11" s="124"/>
      <c r="P11" s="124"/>
      <c r="Q11" s="124"/>
      <c r="R11" s="124"/>
      <c r="S11" s="124"/>
      <c r="T11" s="124"/>
      <c r="U11" s="124"/>
      <c r="V11" s="124"/>
      <c r="W11" s="124"/>
      <c r="X11" s="124"/>
      <c r="Y11" s="124"/>
      <c r="Z11" s="124"/>
      <c r="AA11" s="124"/>
      <c r="AB11" s="124"/>
      <c r="AC11" s="124"/>
      <c r="AD11" s="124"/>
      <c r="AE11" s="124"/>
      <c r="AF11" s="124"/>
      <c r="AG11" s="124"/>
      <c r="AH11" s="124"/>
      <c r="AI11" s="124"/>
      <c r="AJ11" s="124"/>
      <c r="AK11" s="124"/>
      <c r="AL11" s="124"/>
      <c r="AM11" s="124"/>
      <c r="AN11" s="124"/>
      <c r="AO11" s="124"/>
      <c r="AP11" s="124"/>
      <c r="AQ11" s="124"/>
      <c r="AR11" s="124"/>
      <c r="AS11" s="124"/>
      <c r="AT11" s="124"/>
      <c r="AU11" s="124"/>
      <c r="AV11" s="124"/>
    </row>
    <row r="12" spans="1:48" s="101" customFormat="1">
      <c r="A12" s="114"/>
      <c r="B12" s="168"/>
      <c r="C12" s="168" t="s">
        <v>148</v>
      </c>
      <c r="D12" s="165"/>
      <c r="E12" s="115"/>
      <c r="F12" s="116"/>
      <c r="G12" s="116"/>
      <c r="H12" s="116"/>
      <c r="I12" s="122"/>
      <c r="J12" s="123"/>
      <c r="K12" s="124"/>
      <c r="L12" s="124"/>
      <c r="M12" s="124"/>
      <c r="N12" s="124"/>
      <c r="O12" s="124"/>
      <c r="P12" s="124"/>
      <c r="Q12" s="124"/>
      <c r="R12" s="124"/>
      <c r="S12" s="124"/>
      <c r="T12" s="124"/>
      <c r="U12" s="124"/>
      <c r="V12" s="124"/>
      <c r="W12" s="124"/>
      <c r="X12" s="124"/>
      <c r="Y12" s="124"/>
      <c r="Z12" s="124"/>
      <c r="AA12" s="124"/>
      <c r="AB12" s="124"/>
      <c r="AC12" s="124"/>
      <c r="AD12" s="124"/>
      <c r="AE12" s="124"/>
      <c r="AF12" s="124"/>
      <c r="AG12" s="124"/>
      <c r="AH12" s="124"/>
      <c r="AI12" s="124"/>
      <c r="AJ12" s="124"/>
      <c r="AK12" s="124"/>
      <c r="AL12" s="124"/>
      <c r="AM12" s="124"/>
      <c r="AN12" s="124"/>
      <c r="AO12" s="124"/>
      <c r="AP12" s="124"/>
      <c r="AQ12" s="124"/>
      <c r="AR12" s="124"/>
      <c r="AS12" s="124"/>
      <c r="AT12" s="124"/>
      <c r="AU12" s="124"/>
      <c r="AV12" s="124"/>
    </row>
    <row r="13" spans="1:48" s="101" customFormat="1">
      <c r="A13" s="114">
        <v>3</v>
      </c>
      <c r="B13" s="170" t="s">
        <v>159</v>
      </c>
      <c r="C13" s="190" t="s">
        <v>152</v>
      </c>
      <c r="D13" s="191"/>
      <c r="E13" s="115"/>
      <c r="F13" s="116"/>
      <c r="G13" s="116"/>
      <c r="H13" s="116"/>
      <c r="I13" s="122" t="s">
        <v>969</v>
      </c>
      <c r="J13" s="123"/>
      <c r="K13" s="124"/>
      <c r="L13" s="124"/>
      <c r="M13" s="124"/>
      <c r="N13" s="124"/>
      <c r="O13" s="124"/>
      <c r="P13" s="124"/>
      <c r="Q13" s="124"/>
      <c r="R13" s="124"/>
      <c r="S13" s="124"/>
      <c r="T13" s="124"/>
      <c r="U13" s="124"/>
      <c r="V13" s="124"/>
      <c r="W13" s="124"/>
      <c r="X13" s="124"/>
      <c r="Y13" s="124"/>
      <c r="Z13" s="124"/>
      <c r="AA13" s="124"/>
      <c r="AB13" s="124"/>
      <c r="AC13" s="124"/>
      <c r="AD13" s="124"/>
      <c r="AE13" s="124"/>
      <c r="AF13" s="124"/>
      <c r="AG13" s="124"/>
      <c r="AH13" s="124"/>
      <c r="AI13" s="124"/>
      <c r="AJ13" s="124"/>
      <c r="AK13" s="124"/>
      <c r="AL13" s="124"/>
      <c r="AM13" s="124"/>
      <c r="AN13" s="124"/>
      <c r="AO13" s="124"/>
      <c r="AP13" s="124"/>
      <c r="AQ13" s="124"/>
      <c r="AR13" s="124"/>
      <c r="AS13" s="124"/>
      <c r="AT13" s="124"/>
      <c r="AU13" s="124"/>
      <c r="AV13" s="124"/>
    </row>
    <row r="14" spans="1:48" s="101" customFormat="1">
      <c r="A14" s="114"/>
      <c r="B14" s="168"/>
      <c r="C14" s="115" t="s">
        <v>551</v>
      </c>
      <c r="D14" s="115"/>
      <c r="E14" s="115"/>
      <c r="F14" s="116"/>
      <c r="G14" s="116"/>
      <c r="H14" s="116"/>
      <c r="I14" s="122" t="s">
        <v>970</v>
      </c>
      <c r="J14" s="123"/>
      <c r="K14" s="124"/>
      <c r="L14" s="124"/>
      <c r="M14" s="124"/>
      <c r="N14" s="124"/>
      <c r="O14" s="124"/>
      <c r="P14" s="124"/>
      <c r="Q14" s="124"/>
      <c r="R14" s="124"/>
      <c r="S14" s="124"/>
      <c r="T14" s="124"/>
      <c r="U14" s="124"/>
      <c r="V14" s="124"/>
      <c r="W14" s="124"/>
      <c r="X14" s="124"/>
      <c r="Y14" s="124"/>
      <c r="Z14" s="124"/>
      <c r="AA14" s="124"/>
      <c r="AB14" s="124"/>
      <c r="AC14" s="124"/>
      <c r="AD14" s="124"/>
      <c r="AE14" s="124"/>
      <c r="AF14" s="124"/>
      <c r="AG14" s="124"/>
      <c r="AH14" s="124"/>
      <c r="AI14" s="124"/>
      <c r="AJ14" s="124"/>
      <c r="AK14" s="124"/>
      <c r="AL14" s="124"/>
      <c r="AM14" s="124"/>
      <c r="AN14" s="124"/>
      <c r="AO14" s="124"/>
      <c r="AP14" s="124"/>
      <c r="AQ14" s="124"/>
      <c r="AR14" s="124"/>
      <c r="AS14" s="124"/>
      <c r="AT14" s="124"/>
      <c r="AU14" s="124"/>
      <c r="AV14" s="124"/>
    </row>
    <row r="15" spans="1:48" s="101" customFormat="1">
      <c r="A15" s="114"/>
      <c r="B15" s="168"/>
      <c r="C15" s="168" t="s">
        <v>153</v>
      </c>
      <c r="D15" s="165"/>
      <c r="E15" s="115"/>
      <c r="F15" s="116"/>
      <c r="G15" s="116"/>
      <c r="H15" s="116"/>
      <c r="I15" s="169" t="s">
        <v>156</v>
      </c>
      <c r="J15" s="123"/>
      <c r="K15" s="124"/>
      <c r="L15" s="124"/>
      <c r="M15" s="124"/>
      <c r="N15" s="124"/>
      <c r="O15" s="124"/>
      <c r="P15" s="124"/>
      <c r="Q15" s="124"/>
      <c r="R15" s="124"/>
      <c r="S15" s="124"/>
      <c r="T15" s="124"/>
      <c r="U15" s="124"/>
      <c r="V15" s="124"/>
      <c r="W15" s="124"/>
      <c r="X15" s="124"/>
      <c r="Y15" s="124"/>
      <c r="Z15" s="124"/>
      <c r="AA15" s="124"/>
      <c r="AB15" s="124"/>
      <c r="AC15" s="124"/>
      <c r="AD15" s="124"/>
      <c r="AE15" s="124"/>
      <c r="AF15" s="124"/>
      <c r="AG15" s="124"/>
      <c r="AH15" s="124"/>
      <c r="AI15" s="124"/>
      <c r="AJ15" s="124"/>
      <c r="AK15" s="124"/>
      <c r="AL15" s="124"/>
      <c r="AM15" s="124"/>
      <c r="AN15" s="124"/>
      <c r="AO15" s="124"/>
      <c r="AP15" s="124"/>
      <c r="AQ15" s="124"/>
      <c r="AR15" s="124"/>
      <c r="AS15" s="124"/>
      <c r="AT15" s="124"/>
      <c r="AU15" s="124"/>
      <c r="AV15" s="124"/>
    </row>
    <row r="16" spans="1:48" s="101" customFormat="1">
      <c r="A16" s="114"/>
      <c r="B16" s="168"/>
      <c r="C16" s="168" t="s">
        <v>154</v>
      </c>
      <c r="D16" s="165"/>
      <c r="E16" s="115"/>
      <c r="F16" s="116"/>
      <c r="G16" s="116"/>
      <c r="H16" s="116"/>
      <c r="I16" s="122" t="s">
        <v>157</v>
      </c>
      <c r="J16" s="123"/>
      <c r="K16" s="124"/>
      <c r="L16" s="124"/>
      <c r="M16" s="124"/>
      <c r="N16" s="124"/>
      <c r="O16" s="124"/>
      <c r="P16" s="124"/>
      <c r="Q16" s="124"/>
      <c r="R16" s="124"/>
      <c r="S16" s="124"/>
      <c r="T16" s="124"/>
      <c r="U16" s="124"/>
      <c r="V16" s="124"/>
      <c r="W16" s="124"/>
      <c r="X16" s="124"/>
      <c r="Y16" s="124"/>
      <c r="Z16" s="124"/>
      <c r="AA16" s="124"/>
      <c r="AB16" s="124"/>
      <c r="AC16" s="124"/>
      <c r="AD16" s="124"/>
      <c r="AE16" s="124"/>
      <c r="AF16" s="124"/>
      <c r="AG16" s="124"/>
      <c r="AH16" s="124"/>
      <c r="AI16" s="124"/>
      <c r="AJ16" s="124"/>
      <c r="AK16" s="124"/>
      <c r="AL16" s="124"/>
      <c r="AM16" s="124"/>
      <c r="AN16" s="124"/>
      <c r="AO16" s="124"/>
      <c r="AP16" s="124"/>
      <c r="AQ16" s="124"/>
      <c r="AR16" s="124"/>
      <c r="AS16" s="124"/>
      <c r="AT16" s="124"/>
      <c r="AU16" s="124"/>
      <c r="AV16" s="124"/>
    </row>
    <row r="17" spans="1:48" s="101" customFormat="1">
      <c r="A17" s="114"/>
      <c r="B17" s="168"/>
      <c r="C17" s="168" t="s">
        <v>150</v>
      </c>
      <c r="D17" s="165"/>
      <c r="E17" s="115"/>
      <c r="F17" s="116"/>
      <c r="G17" s="116"/>
      <c r="H17" s="116"/>
      <c r="I17" s="169" t="s">
        <v>155</v>
      </c>
      <c r="J17" s="123"/>
      <c r="K17" s="124"/>
      <c r="L17" s="124"/>
      <c r="M17" s="124"/>
      <c r="N17" s="124"/>
      <c r="O17" s="124"/>
      <c r="P17" s="124"/>
      <c r="Q17" s="124"/>
      <c r="R17" s="124"/>
      <c r="S17" s="124"/>
      <c r="T17" s="124"/>
      <c r="U17" s="124"/>
      <c r="V17" s="124"/>
      <c r="W17" s="124"/>
      <c r="X17" s="124"/>
      <c r="Y17" s="124"/>
      <c r="Z17" s="124"/>
      <c r="AA17" s="124"/>
      <c r="AB17" s="124"/>
      <c r="AC17" s="124"/>
      <c r="AD17" s="124"/>
      <c r="AE17" s="124"/>
      <c r="AF17" s="124"/>
      <c r="AG17" s="124"/>
      <c r="AH17" s="124"/>
      <c r="AI17" s="124"/>
      <c r="AJ17" s="124"/>
      <c r="AK17" s="124"/>
      <c r="AL17" s="124"/>
      <c r="AM17" s="124"/>
      <c r="AN17" s="124"/>
      <c r="AO17" s="124"/>
      <c r="AP17" s="124"/>
      <c r="AQ17" s="124"/>
      <c r="AR17" s="124"/>
      <c r="AS17" s="124"/>
      <c r="AT17" s="124"/>
      <c r="AU17" s="124"/>
      <c r="AV17" s="124"/>
    </row>
    <row r="18" spans="1:48" s="101" customFormat="1">
      <c r="A18" s="114"/>
      <c r="B18" s="168"/>
      <c r="C18" s="168" t="s">
        <v>149</v>
      </c>
      <c r="D18" s="165"/>
      <c r="E18" s="115"/>
      <c r="F18" s="116"/>
      <c r="G18" s="116"/>
      <c r="H18" s="116"/>
      <c r="I18" s="122" t="s">
        <v>883</v>
      </c>
      <c r="J18" s="123"/>
      <c r="K18" s="124"/>
      <c r="L18" s="124"/>
      <c r="M18" s="124"/>
      <c r="N18" s="124"/>
      <c r="O18" s="124"/>
      <c r="P18" s="124"/>
      <c r="Q18" s="124"/>
      <c r="R18" s="124"/>
      <c r="S18" s="124"/>
      <c r="T18" s="124"/>
      <c r="U18" s="124"/>
      <c r="V18" s="124"/>
      <c r="W18" s="124"/>
      <c r="X18" s="124"/>
      <c r="Y18" s="124"/>
      <c r="Z18" s="124"/>
      <c r="AA18" s="124"/>
      <c r="AB18" s="124"/>
      <c r="AC18" s="124"/>
      <c r="AD18" s="124"/>
      <c r="AE18" s="124"/>
      <c r="AF18" s="124"/>
      <c r="AG18" s="124"/>
      <c r="AH18" s="124"/>
      <c r="AI18" s="124"/>
      <c r="AJ18" s="124"/>
      <c r="AK18" s="124"/>
      <c r="AL18" s="124"/>
      <c r="AM18" s="124"/>
      <c r="AN18" s="124"/>
      <c r="AO18" s="124"/>
      <c r="AP18" s="124"/>
      <c r="AQ18" s="124"/>
      <c r="AR18" s="124"/>
      <c r="AS18" s="124"/>
      <c r="AT18" s="124"/>
      <c r="AU18" s="124"/>
      <c r="AV18" s="124"/>
    </row>
    <row r="19" spans="1:48" s="101" customFormat="1">
      <c r="A19" s="114">
        <v>4</v>
      </c>
      <c r="B19" s="179" t="s">
        <v>240</v>
      </c>
      <c r="C19" s="179" t="s">
        <v>241</v>
      </c>
      <c r="D19" s="165"/>
      <c r="E19" s="115"/>
      <c r="F19" s="116"/>
      <c r="G19" s="116"/>
      <c r="H19" s="116"/>
      <c r="I19" s="122" t="s">
        <v>158</v>
      </c>
      <c r="J19" s="123"/>
      <c r="K19" s="124"/>
      <c r="L19" s="124"/>
      <c r="M19" s="124"/>
      <c r="N19" s="124"/>
      <c r="O19" s="124"/>
      <c r="P19" s="124"/>
      <c r="Q19" s="124"/>
      <c r="R19" s="124"/>
      <c r="S19" s="124"/>
      <c r="T19" s="124"/>
      <c r="U19" s="124"/>
      <c r="V19" s="124"/>
      <c r="W19" s="124"/>
      <c r="X19" s="124"/>
      <c r="Y19" s="124"/>
      <c r="Z19" s="124"/>
      <c r="AA19" s="124"/>
      <c r="AB19" s="124"/>
      <c r="AC19" s="124"/>
      <c r="AD19" s="124"/>
      <c r="AE19" s="124"/>
      <c r="AF19" s="124"/>
      <c r="AG19" s="124"/>
      <c r="AH19" s="124"/>
      <c r="AI19" s="124"/>
      <c r="AJ19" s="124"/>
      <c r="AK19" s="124"/>
      <c r="AL19" s="124"/>
      <c r="AM19" s="124"/>
      <c r="AN19" s="124"/>
      <c r="AO19" s="124"/>
      <c r="AP19" s="124"/>
      <c r="AQ19" s="124"/>
      <c r="AR19" s="124"/>
      <c r="AS19" s="124"/>
      <c r="AT19" s="124"/>
      <c r="AU19" s="124"/>
      <c r="AV19" s="124"/>
    </row>
    <row r="20" spans="1:48" s="101" customFormat="1">
      <c r="A20" s="114"/>
      <c r="B20" s="168"/>
      <c r="C20" s="115" t="s">
        <v>249</v>
      </c>
      <c r="D20" s="165"/>
      <c r="E20" s="115"/>
      <c r="F20" s="116"/>
      <c r="G20" s="116"/>
      <c r="H20" s="116"/>
      <c r="I20" s="122" t="s">
        <v>884</v>
      </c>
      <c r="J20" s="123"/>
      <c r="K20" s="124"/>
      <c r="L20" s="124"/>
      <c r="M20" s="124"/>
      <c r="N20" s="124"/>
      <c r="O20" s="124"/>
      <c r="P20" s="124"/>
      <c r="Q20" s="124"/>
      <c r="R20" s="124"/>
      <c r="S20" s="124"/>
      <c r="T20" s="124"/>
      <c r="U20" s="124"/>
      <c r="V20" s="124"/>
      <c r="W20" s="124"/>
      <c r="X20" s="124"/>
      <c r="Y20" s="124"/>
      <c r="Z20" s="124"/>
      <c r="AA20" s="124"/>
      <c r="AB20" s="124"/>
      <c r="AC20" s="124"/>
      <c r="AD20" s="124"/>
      <c r="AE20" s="124"/>
      <c r="AF20" s="124"/>
      <c r="AG20" s="124"/>
      <c r="AH20" s="124"/>
      <c r="AI20" s="124"/>
      <c r="AJ20" s="124"/>
      <c r="AK20" s="124"/>
      <c r="AL20" s="124"/>
      <c r="AM20" s="124"/>
      <c r="AN20" s="124"/>
      <c r="AO20" s="124"/>
      <c r="AP20" s="124"/>
      <c r="AQ20" s="124"/>
      <c r="AR20" s="124"/>
      <c r="AS20" s="124"/>
      <c r="AT20" s="124"/>
      <c r="AU20" s="124"/>
      <c r="AV20" s="124"/>
    </row>
    <row r="21" spans="1:48" s="101" customFormat="1">
      <c r="A21" s="114"/>
      <c r="B21" s="168"/>
      <c r="C21" s="179" t="s">
        <v>242</v>
      </c>
      <c r="D21" s="165"/>
      <c r="E21" s="115"/>
      <c r="F21" s="116"/>
      <c r="G21" s="116"/>
      <c r="H21" s="116"/>
      <c r="I21" s="180" t="s">
        <v>261</v>
      </c>
      <c r="J21" s="123"/>
      <c r="K21" s="124"/>
      <c r="L21" s="124"/>
      <c r="M21" s="124"/>
      <c r="N21" s="124"/>
      <c r="O21" s="124"/>
      <c r="P21" s="124"/>
      <c r="Q21" s="124"/>
      <c r="R21" s="124"/>
      <c r="S21" s="124"/>
      <c r="T21" s="124"/>
      <c r="U21" s="124"/>
      <c r="V21" s="124"/>
      <c r="W21" s="124"/>
      <c r="X21" s="124"/>
      <c r="Y21" s="124"/>
      <c r="Z21" s="124"/>
      <c r="AA21" s="124"/>
      <c r="AB21" s="124"/>
      <c r="AC21" s="124"/>
      <c r="AD21" s="124"/>
      <c r="AE21" s="124"/>
      <c r="AF21" s="124"/>
      <c r="AG21" s="124"/>
      <c r="AH21" s="124"/>
      <c r="AI21" s="124"/>
      <c r="AJ21" s="124"/>
      <c r="AK21" s="124"/>
      <c r="AL21" s="124"/>
      <c r="AM21" s="124"/>
      <c r="AN21" s="124"/>
      <c r="AO21" s="124"/>
      <c r="AP21" s="124"/>
      <c r="AQ21" s="124"/>
      <c r="AR21" s="124"/>
      <c r="AS21" s="124"/>
      <c r="AT21" s="124"/>
      <c r="AU21" s="124"/>
      <c r="AV21" s="124"/>
    </row>
    <row r="22" spans="1:48" s="101" customFormat="1">
      <c r="A22" s="114"/>
      <c r="B22" s="168"/>
      <c r="C22" s="179" t="s">
        <v>243</v>
      </c>
      <c r="D22" s="205"/>
      <c r="E22" s="115"/>
      <c r="F22" s="116"/>
      <c r="G22" s="116"/>
      <c r="H22" s="116"/>
      <c r="I22" s="122" t="s">
        <v>971</v>
      </c>
      <c r="J22" s="123"/>
      <c r="K22" s="124"/>
      <c r="L22" s="124"/>
      <c r="M22" s="124"/>
      <c r="N22" s="124"/>
      <c r="O22" s="124"/>
      <c r="P22" s="124"/>
      <c r="Q22" s="124"/>
      <c r="R22" s="124"/>
      <c r="S22" s="124"/>
      <c r="T22" s="124"/>
      <c r="U22" s="124"/>
      <c r="V22" s="124"/>
      <c r="W22" s="124"/>
      <c r="X22" s="124"/>
      <c r="Y22" s="124"/>
      <c r="Z22" s="124"/>
      <c r="AA22" s="124"/>
      <c r="AB22" s="124"/>
      <c r="AC22" s="124"/>
      <c r="AD22" s="124"/>
      <c r="AE22" s="124"/>
      <c r="AF22" s="124"/>
      <c r="AG22" s="124"/>
      <c r="AH22" s="124"/>
      <c r="AI22" s="124"/>
      <c r="AJ22" s="124"/>
      <c r="AK22" s="124"/>
      <c r="AL22" s="124"/>
      <c r="AM22" s="124"/>
      <c r="AN22" s="124"/>
      <c r="AO22" s="124"/>
      <c r="AP22" s="124"/>
      <c r="AQ22" s="124"/>
      <c r="AR22" s="124"/>
      <c r="AS22" s="124"/>
      <c r="AT22" s="124"/>
      <c r="AU22" s="124"/>
      <c r="AV22" s="124"/>
    </row>
    <row r="23" spans="1:48" s="101" customFormat="1" ht="24">
      <c r="A23" s="114"/>
      <c r="B23" s="168"/>
      <c r="C23" s="179" t="s">
        <v>244</v>
      </c>
      <c r="D23" s="165"/>
      <c r="E23" s="115"/>
      <c r="F23" s="116"/>
      <c r="G23" s="116"/>
      <c r="H23" s="116"/>
      <c r="I23" s="180" t="s">
        <v>245</v>
      </c>
      <c r="J23" s="123"/>
      <c r="K23" s="124"/>
      <c r="L23" s="124"/>
      <c r="M23" s="124"/>
      <c r="N23" s="124"/>
      <c r="O23" s="124"/>
      <c r="P23" s="124"/>
      <c r="Q23" s="124"/>
      <c r="R23" s="124"/>
      <c r="S23" s="124"/>
      <c r="T23" s="124"/>
      <c r="U23" s="124"/>
      <c r="V23" s="124"/>
      <c r="W23" s="124"/>
      <c r="X23" s="124"/>
      <c r="Y23" s="124"/>
      <c r="Z23" s="124"/>
      <c r="AA23" s="124"/>
      <c r="AB23" s="124"/>
      <c r="AC23" s="124"/>
      <c r="AD23" s="124"/>
      <c r="AE23" s="124"/>
      <c r="AF23" s="124"/>
      <c r="AG23" s="124"/>
      <c r="AH23" s="124"/>
      <c r="AI23" s="124"/>
      <c r="AJ23" s="124"/>
      <c r="AK23" s="124"/>
      <c r="AL23" s="124"/>
      <c r="AM23" s="124"/>
      <c r="AN23" s="124"/>
      <c r="AO23" s="124"/>
      <c r="AP23" s="124"/>
      <c r="AQ23" s="124"/>
      <c r="AR23" s="124"/>
      <c r="AS23" s="124"/>
      <c r="AT23" s="124"/>
      <c r="AU23" s="124"/>
      <c r="AV23" s="124"/>
    </row>
    <row r="24" spans="1:48" s="101" customFormat="1">
      <c r="A24" s="114">
        <v>5</v>
      </c>
      <c r="B24" s="115" t="s">
        <v>972</v>
      </c>
      <c r="C24" s="187" t="s">
        <v>317</v>
      </c>
      <c r="D24" s="165"/>
      <c r="E24" s="115"/>
      <c r="F24" s="116"/>
      <c r="G24" s="116"/>
      <c r="H24" s="116"/>
      <c r="I24" s="188" t="s">
        <v>318</v>
      </c>
      <c r="J24" s="123"/>
      <c r="K24" s="124"/>
      <c r="L24" s="124"/>
      <c r="M24" s="124"/>
      <c r="N24" s="124"/>
      <c r="O24" s="124"/>
      <c r="P24" s="124"/>
      <c r="Q24" s="124"/>
      <c r="R24" s="124"/>
      <c r="S24" s="124"/>
      <c r="T24" s="124"/>
      <c r="U24" s="124"/>
      <c r="V24" s="124"/>
      <c r="W24" s="124"/>
      <c r="X24" s="124"/>
      <c r="Y24" s="124"/>
      <c r="Z24" s="124"/>
      <c r="AA24" s="124"/>
      <c r="AB24" s="124"/>
      <c r="AC24" s="124"/>
      <c r="AD24" s="124"/>
      <c r="AE24" s="124"/>
      <c r="AF24" s="124"/>
      <c r="AG24" s="124"/>
      <c r="AH24" s="124"/>
      <c r="AI24" s="124"/>
      <c r="AJ24" s="124"/>
      <c r="AK24" s="124"/>
      <c r="AL24" s="124"/>
      <c r="AM24" s="124"/>
      <c r="AN24" s="124"/>
      <c r="AO24" s="124"/>
      <c r="AP24" s="124"/>
      <c r="AQ24" s="124"/>
      <c r="AR24" s="124"/>
      <c r="AS24" s="124"/>
      <c r="AT24" s="124"/>
      <c r="AU24" s="124"/>
      <c r="AV24" s="124"/>
    </row>
    <row r="25" spans="1:48" s="101" customFormat="1">
      <c r="A25" s="114"/>
      <c r="B25" s="115"/>
      <c r="C25" s="115" t="s">
        <v>973</v>
      </c>
      <c r="D25" s="165"/>
      <c r="E25" s="115"/>
      <c r="F25" s="116"/>
      <c r="G25" s="116"/>
      <c r="H25" s="116"/>
      <c r="I25" s="122" t="s">
        <v>974</v>
      </c>
      <c r="J25" s="123"/>
      <c r="K25" s="124"/>
      <c r="L25" s="124"/>
      <c r="M25" s="124"/>
      <c r="N25" s="124"/>
      <c r="O25" s="124"/>
      <c r="P25" s="124"/>
      <c r="Q25" s="124"/>
      <c r="R25" s="124"/>
      <c r="S25" s="124"/>
      <c r="T25" s="124"/>
      <c r="U25" s="124"/>
      <c r="V25" s="124"/>
      <c r="W25" s="124"/>
      <c r="X25" s="124"/>
      <c r="Y25" s="124"/>
      <c r="Z25" s="124"/>
      <c r="AA25" s="124"/>
      <c r="AB25" s="124"/>
      <c r="AC25" s="124"/>
      <c r="AD25" s="124"/>
      <c r="AE25" s="124"/>
      <c r="AF25" s="124"/>
      <c r="AG25" s="124"/>
      <c r="AH25" s="124"/>
      <c r="AI25" s="124"/>
      <c r="AJ25" s="124"/>
      <c r="AK25" s="124"/>
      <c r="AL25" s="124"/>
      <c r="AM25" s="124"/>
      <c r="AN25" s="124"/>
      <c r="AO25" s="124"/>
      <c r="AP25" s="124"/>
      <c r="AQ25" s="124"/>
      <c r="AR25" s="124"/>
      <c r="AS25" s="124"/>
      <c r="AT25" s="124"/>
      <c r="AU25" s="124"/>
      <c r="AV25" s="124"/>
    </row>
    <row r="26" spans="1:48" s="101" customFormat="1">
      <c r="A26" s="114">
        <v>6</v>
      </c>
      <c r="B26" s="115" t="s">
        <v>124</v>
      </c>
      <c r="C26" s="115"/>
      <c r="D26" s="165"/>
      <c r="E26" s="115"/>
      <c r="F26" s="116"/>
      <c r="G26" s="116"/>
      <c r="H26" s="116"/>
      <c r="I26" s="122" t="s">
        <v>130</v>
      </c>
      <c r="J26" s="123"/>
      <c r="K26" s="124"/>
      <c r="L26" s="124"/>
      <c r="M26" s="124"/>
      <c r="N26" s="124"/>
      <c r="O26" s="124"/>
      <c r="P26" s="124"/>
      <c r="Q26" s="124"/>
      <c r="R26" s="124"/>
      <c r="S26" s="124"/>
      <c r="T26" s="124"/>
      <c r="U26" s="124"/>
      <c r="V26" s="124"/>
      <c r="W26" s="124"/>
      <c r="X26" s="124"/>
      <c r="Y26" s="124"/>
      <c r="Z26" s="124"/>
      <c r="AA26" s="124"/>
      <c r="AB26" s="124"/>
      <c r="AC26" s="124"/>
      <c r="AD26" s="124"/>
      <c r="AE26" s="124"/>
      <c r="AF26" s="124"/>
      <c r="AG26" s="124"/>
      <c r="AH26" s="124"/>
      <c r="AI26" s="124"/>
      <c r="AJ26" s="124"/>
      <c r="AK26" s="124"/>
      <c r="AL26" s="124"/>
      <c r="AM26" s="124"/>
      <c r="AN26" s="124"/>
      <c r="AO26" s="124"/>
      <c r="AP26" s="124"/>
      <c r="AQ26" s="124"/>
      <c r="AR26" s="124"/>
      <c r="AS26" s="124"/>
      <c r="AT26" s="124"/>
      <c r="AU26" s="124"/>
      <c r="AV26" s="124"/>
    </row>
    <row r="27" spans="1:48" s="101" customFormat="1">
      <c r="A27" s="114">
        <v>7</v>
      </c>
      <c r="B27" s="115" t="s">
        <v>125</v>
      </c>
      <c r="C27" s="115"/>
      <c r="D27" s="165"/>
      <c r="E27" s="115"/>
      <c r="F27" s="116"/>
      <c r="G27" s="116"/>
      <c r="H27" s="116"/>
      <c r="I27" s="122" t="s">
        <v>131</v>
      </c>
      <c r="J27" s="123"/>
      <c r="K27" s="124"/>
      <c r="L27" s="124"/>
      <c r="M27" s="124"/>
      <c r="N27" s="124"/>
      <c r="O27" s="124"/>
      <c r="P27" s="124"/>
      <c r="Q27" s="124"/>
      <c r="R27" s="124"/>
      <c r="S27" s="124"/>
      <c r="T27" s="124"/>
      <c r="U27" s="124"/>
      <c r="V27" s="124"/>
      <c r="W27" s="124"/>
      <c r="X27" s="124"/>
      <c r="Y27" s="124"/>
      <c r="Z27" s="124"/>
      <c r="AA27" s="124"/>
      <c r="AB27" s="124"/>
      <c r="AC27" s="124"/>
      <c r="AD27" s="124"/>
      <c r="AE27" s="124"/>
      <c r="AF27" s="124"/>
      <c r="AG27" s="124"/>
      <c r="AH27" s="124"/>
      <c r="AI27" s="124"/>
      <c r="AJ27" s="124"/>
      <c r="AK27" s="124"/>
      <c r="AL27" s="124"/>
      <c r="AM27" s="124"/>
      <c r="AN27" s="124"/>
      <c r="AO27" s="124"/>
      <c r="AP27" s="124"/>
      <c r="AQ27" s="124"/>
      <c r="AR27" s="124"/>
      <c r="AS27" s="124"/>
      <c r="AT27" s="124"/>
      <c r="AU27" s="124"/>
      <c r="AV27" s="124"/>
    </row>
    <row r="28" spans="1:48" s="101" customFormat="1">
      <c r="A28" s="114">
        <v>8</v>
      </c>
      <c r="B28" s="115" t="s">
        <v>126</v>
      </c>
      <c r="C28" s="115"/>
      <c r="D28" s="165"/>
      <c r="E28" s="115"/>
      <c r="F28" s="116"/>
      <c r="G28" s="116"/>
      <c r="H28" s="116"/>
      <c r="I28" s="122" t="s">
        <v>132</v>
      </c>
      <c r="J28" s="123"/>
      <c r="K28" s="124"/>
      <c r="L28" s="124"/>
      <c r="M28" s="124"/>
      <c r="N28" s="124"/>
      <c r="O28" s="124"/>
      <c r="P28" s="124"/>
      <c r="Q28" s="124"/>
      <c r="R28" s="124"/>
      <c r="S28" s="124"/>
      <c r="T28" s="124"/>
      <c r="U28" s="124"/>
      <c r="V28" s="124"/>
      <c r="W28" s="124"/>
      <c r="X28" s="124"/>
      <c r="Y28" s="124"/>
      <c r="Z28" s="124"/>
      <c r="AA28" s="124"/>
      <c r="AB28" s="124"/>
      <c r="AC28" s="124"/>
      <c r="AD28" s="124"/>
      <c r="AE28" s="124"/>
      <c r="AF28" s="124"/>
      <c r="AG28" s="124"/>
      <c r="AH28" s="124"/>
      <c r="AI28" s="124"/>
      <c r="AJ28" s="124"/>
      <c r="AK28" s="124"/>
      <c r="AL28" s="124"/>
      <c r="AM28" s="124"/>
      <c r="AN28" s="124"/>
      <c r="AO28" s="124"/>
      <c r="AP28" s="124"/>
      <c r="AQ28" s="124"/>
      <c r="AR28" s="124"/>
      <c r="AS28" s="124"/>
      <c r="AT28" s="124"/>
      <c r="AU28" s="124"/>
      <c r="AV28" s="124"/>
    </row>
    <row r="29" spans="1:48" s="101" customFormat="1">
      <c r="A29" s="114">
        <v>9</v>
      </c>
      <c r="B29" s="115" t="s">
        <v>127</v>
      </c>
      <c r="C29" s="115"/>
      <c r="D29" s="165"/>
      <c r="E29" s="115"/>
      <c r="F29" s="116"/>
      <c r="G29" s="116"/>
      <c r="H29" s="116"/>
      <c r="I29" s="122" t="s">
        <v>133</v>
      </c>
      <c r="J29" s="123"/>
      <c r="K29" s="124"/>
      <c r="L29" s="124"/>
      <c r="M29" s="124"/>
      <c r="N29" s="124"/>
      <c r="O29" s="124"/>
      <c r="P29" s="124"/>
      <c r="Q29" s="124"/>
      <c r="R29" s="124"/>
      <c r="S29" s="124"/>
      <c r="T29" s="124"/>
      <c r="U29" s="124"/>
      <c r="V29" s="124"/>
      <c r="W29" s="124"/>
      <c r="X29" s="124"/>
      <c r="Y29" s="124"/>
      <c r="Z29" s="124"/>
      <c r="AA29" s="124"/>
      <c r="AB29" s="124"/>
      <c r="AC29" s="124"/>
      <c r="AD29" s="124"/>
      <c r="AE29" s="124"/>
      <c r="AF29" s="124"/>
      <c r="AG29" s="124"/>
      <c r="AH29" s="124"/>
      <c r="AI29" s="124"/>
      <c r="AJ29" s="124"/>
      <c r="AK29" s="124"/>
      <c r="AL29" s="124"/>
      <c r="AM29" s="124"/>
      <c r="AN29" s="124"/>
      <c r="AO29" s="124"/>
      <c r="AP29" s="124"/>
      <c r="AQ29" s="124"/>
      <c r="AR29" s="124"/>
      <c r="AS29" s="124"/>
      <c r="AT29" s="124"/>
      <c r="AU29" s="124"/>
      <c r="AV29" s="124"/>
    </row>
    <row r="30" spans="1:48" s="101" customFormat="1">
      <c r="A30" s="114">
        <v>10</v>
      </c>
      <c r="B30" s="115" t="s">
        <v>128</v>
      </c>
      <c r="C30" s="115"/>
      <c r="D30" s="165"/>
      <c r="E30" s="115"/>
      <c r="F30" s="116"/>
      <c r="G30" s="116"/>
      <c r="H30" s="116"/>
      <c r="I30" s="122" t="s">
        <v>135</v>
      </c>
      <c r="J30" s="123"/>
      <c r="K30" s="124"/>
      <c r="L30" s="124"/>
      <c r="M30" s="124"/>
      <c r="N30" s="124"/>
      <c r="O30" s="124"/>
      <c r="P30" s="124"/>
      <c r="Q30" s="124"/>
      <c r="R30" s="124"/>
      <c r="S30" s="124"/>
      <c r="T30" s="124"/>
      <c r="U30" s="124"/>
      <c r="V30" s="124"/>
      <c r="W30" s="124"/>
      <c r="X30" s="124"/>
      <c r="Y30" s="124"/>
      <c r="Z30" s="124"/>
      <c r="AA30" s="124"/>
      <c r="AB30" s="124"/>
      <c r="AC30" s="124"/>
      <c r="AD30" s="124"/>
      <c r="AE30" s="124"/>
      <c r="AF30" s="124"/>
      <c r="AG30" s="124"/>
      <c r="AH30" s="124"/>
      <c r="AI30" s="124"/>
      <c r="AJ30" s="124"/>
      <c r="AK30" s="124"/>
      <c r="AL30" s="124"/>
      <c r="AM30" s="124"/>
      <c r="AN30" s="124"/>
      <c r="AO30" s="124"/>
      <c r="AP30" s="124"/>
      <c r="AQ30" s="124"/>
      <c r="AR30" s="124"/>
      <c r="AS30" s="124"/>
      <c r="AT30" s="124"/>
      <c r="AU30" s="124"/>
      <c r="AV30" s="124"/>
    </row>
    <row r="31" spans="1:48" s="101" customFormat="1">
      <c r="A31" s="114">
        <v>11</v>
      </c>
      <c r="B31" s="162" t="s">
        <v>129</v>
      </c>
      <c r="C31" s="163"/>
      <c r="D31" s="165"/>
      <c r="E31" s="163"/>
      <c r="F31" s="164"/>
      <c r="G31" s="164"/>
      <c r="H31" s="164"/>
      <c r="I31" s="114" t="s">
        <v>134</v>
      </c>
      <c r="J31" s="123"/>
      <c r="K31" s="124"/>
      <c r="L31" s="124"/>
      <c r="M31" s="124"/>
      <c r="N31" s="124"/>
      <c r="O31" s="124"/>
      <c r="P31" s="124"/>
      <c r="Q31" s="124"/>
      <c r="R31" s="124"/>
      <c r="S31" s="124"/>
      <c r="T31" s="124"/>
      <c r="U31" s="124"/>
      <c r="V31" s="124"/>
      <c r="W31" s="124"/>
      <c r="X31" s="124"/>
      <c r="Y31" s="124"/>
      <c r="Z31" s="124"/>
      <c r="AA31" s="124"/>
      <c r="AB31" s="124"/>
      <c r="AC31" s="124"/>
      <c r="AD31" s="124"/>
      <c r="AE31" s="124"/>
      <c r="AF31" s="124"/>
      <c r="AG31" s="124"/>
      <c r="AH31" s="124"/>
      <c r="AI31" s="124"/>
      <c r="AJ31" s="124"/>
      <c r="AK31" s="124"/>
      <c r="AL31" s="124"/>
      <c r="AM31" s="124"/>
      <c r="AN31" s="124"/>
      <c r="AO31" s="124"/>
      <c r="AP31" s="124"/>
      <c r="AQ31" s="124"/>
      <c r="AR31" s="124"/>
      <c r="AS31" s="124"/>
      <c r="AT31" s="124"/>
      <c r="AU31" s="124"/>
      <c r="AV31" s="124"/>
    </row>
    <row r="32" spans="1:48" s="102" customFormat="1" ht="12">
      <c r="A32" s="253" t="s">
        <v>25</v>
      </c>
      <c r="B32" s="254"/>
      <c r="C32" s="255"/>
      <c r="D32" s="255"/>
      <c r="E32" s="255"/>
      <c r="F32" s="256"/>
      <c r="G32" s="256"/>
      <c r="H32" s="255"/>
      <c r="I32" s="125"/>
      <c r="J32" s="126"/>
      <c r="K32" s="126"/>
      <c r="L32" s="126"/>
      <c r="M32" s="126"/>
      <c r="N32" s="126"/>
      <c r="O32" s="126"/>
      <c r="P32" s="126"/>
      <c r="Q32" s="126"/>
      <c r="R32" s="126"/>
      <c r="S32" s="126"/>
      <c r="T32" s="126"/>
      <c r="U32" s="126"/>
      <c r="V32" s="126"/>
      <c r="W32" s="126"/>
      <c r="X32" s="126"/>
      <c r="Y32" s="126"/>
      <c r="Z32" s="126"/>
      <c r="AA32" s="126"/>
      <c r="AB32" s="126"/>
      <c r="AC32" s="126"/>
      <c r="AD32" s="126"/>
      <c r="AE32" s="126"/>
      <c r="AF32" s="126"/>
      <c r="AG32" s="126"/>
      <c r="AH32" s="126"/>
      <c r="AI32" s="126"/>
      <c r="AJ32" s="126"/>
      <c r="AK32" s="126"/>
      <c r="AL32" s="126"/>
      <c r="AM32" s="126"/>
      <c r="AN32" s="126"/>
      <c r="AO32" s="126"/>
      <c r="AP32" s="126"/>
      <c r="AQ32" s="126"/>
      <c r="AR32" s="126"/>
      <c r="AS32" s="126"/>
      <c r="AT32" s="126"/>
      <c r="AU32" s="126"/>
    </row>
    <row r="33" spans="1:47">
      <c r="A33" s="257"/>
      <c r="B33" s="258"/>
      <c r="C33" s="118"/>
      <c r="D33" s="117"/>
      <c r="E33" s="259"/>
      <c r="F33" s="259"/>
      <c r="G33" s="259"/>
      <c r="H33" s="259"/>
      <c r="I33" s="118"/>
      <c r="J33" s="105"/>
      <c r="K33" s="105"/>
      <c r="L33" s="105"/>
      <c r="M33" s="105"/>
      <c r="N33" s="105"/>
      <c r="O33" s="105"/>
      <c r="P33" s="105"/>
      <c r="Q33" s="105"/>
      <c r="R33" s="105"/>
      <c r="S33" s="105"/>
      <c r="T33" s="105"/>
      <c r="U33" s="105"/>
      <c r="V33" s="105"/>
      <c r="W33" s="105"/>
      <c r="X33" s="105"/>
      <c r="Y33" s="105"/>
      <c r="Z33" s="105"/>
      <c r="AA33" s="105"/>
      <c r="AB33" s="105"/>
      <c r="AC33" s="105"/>
      <c r="AD33" s="105"/>
      <c r="AE33" s="105"/>
      <c r="AF33" s="105"/>
      <c r="AG33" s="105"/>
      <c r="AH33" s="105"/>
      <c r="AI33" s="105"/>
      <c r="AJ33" s="105"/>
      <c r="AK33" s="105"/>
      <c r="AL33" s="105"/>
      <c r="AM33" s="105"/>
      <c r="AN33" s="105"/>
      <c r="AO33" s="105"/>
      <c r="AP33" s="105"/>
      <c r="AQ33" s="105"/>
      <c r="AR33" s="105"/>
      <c r="AS33" s="105"/>
      <c r="AT33" s="105"/>
      <c r="AU33" s="105"/>
    </row>
    <row r="34" spans="1:47">
      <c r="A34" s="251"/>
      <c r="B34" s="251"/>
      <c r="C34" s="251"/>
      <c r="D34" s="251"/>
      <c r="E34" s="251"/>
      <c r="F34" s="251"/>
      <c r="G34" s="251"/>
      <c r="H34" s="251"/>
      <c r="I34" s="120"/>
      <c r="J34" s="105"/>
      <c r="K34" s="105"/>
      <c r="L34" s="105"/>
      <c r="M34" s="105"/>
      <c r="N34" s="105"/>
      <c r="O34" s="105"/>
      <c r="P34" s="105"/>
      <c r="Q34" s="105"/>
      <c r="R34" s="105"/>
      <c r="S34" s="105"/>
      <c r="T34" s="105"/>
      <c r="U34" s="105"/>
      <c r="V34" s="105"/>
      <c r="W34" s="105"/>
      <c r="X34" s="105"/>
      <c r="Y34" s="105"/>
      <c r="Z34" s="105"/>
      <c r="AA34" s="105"/>
      <c r="AB34" s="105"/>
      <c r="AC34" s="105"/>
      <c r="AD34" s="105"/>
      <c r="AE34" s="105"/>
      <c r="AF34" s="105"/>
      <c r="AG34" s="105"/>
      <c r="AH34" s="105"/>
      <c r="AI34" s="105"/>
      <c r="AJ34" s="105"/>
      <c r="AK34" s="105"/>
      <c r="AL34" s="105"/>
      <c r="AM34" s="105"/>
      <c r="AN34" s="105"/>
      <c r="AO34" s="105"/>
      <c r="AP34" s="105"/>
      <c r="AQ34" s="105"/>
      <c r="AR34" s="105"/>
      <c r="AS34" s="105"/>
      <c r="AT34" s="105"/>
      <c r="AU34" s="105"/>
    </row>
    <row r="35" spans="1:47">
      <c r="A35" s="105"/>
      <c r="B35" s="105"/>
      <c r="C35" s="105"/>
      <c r="D35" s="105"/>
      <c r="E35" s="105"/>
      <c r="F35" s="106"/>
      <c r="G35" s="106"/>
      <c r="H35" s="105"/>
      <c r="I35" s="105"/>
      <c r="J35" s="105"/>
      <c r="K35" s="105"/>
      <c r="L35" s="105"/>
      <c r="M35" s="105"/>
      <c r="N35" s="105"/>
      <c r="O35" s="105"/>
      <c r="P35" s="105"/>
      <c r="Q35" s="105"/>
      <c r="R35" s="105"/>
      <c r="S35" s="105"/>
      <c r="T35" s="105"/>
      <c r="U35" s="105"/>
      <c r="V35" s="105"/>
      <c r="W35" s="105"/>
      <c r="X35" s="105"/>
      <c r="Y35" s="105"/>
      <c r="Z35" s="105"/>
      <c r="AA35" s="105"/>
      <c r="AB35" s="105"/>
      <c r="AC35" s="105"/>
      <c r="AD35" s="105"/>
      <c r="AE35" s="105"/>
      <c r="AF35" s="105"/>
      <c r="AG35" s="105"/>
      <c r="AH35" s="105"/>
      <c r="AI35" s="105"/>
      <c r="AJ35" s="105"/>
      <c r="AK35" s="105"/>
      <c r="AL35" s="105"/>
      <c r="AM35" s="105"/>
      <c r="AN35" s="105"/>
      <c r="AO35" s="105"/>
      <c r="AP35" s="105"/>
      <c r="AQ35" s="105"/>
      <c r="AR35" s="105"/>
      <c r="AS35" s="105"/>
      <c r="AT35" s="105"/>
      <c r="AU35" s="105"/>
    </row>
    <row r="36" spans="1:47">
      <c r="A36" s="105"/>
      <c r="B36" s="105"/>
      <c r="C36" s="105"/>
      <c r="D36" s="105"/>
      <c r="E36" s="105"/>
      <c r="F36" s="106"/>
      <c r="G36" s="106"/>
      <c r="H36" s="105"/>
      <c r="I36" s="105"/>
      <c r="J36" s="105"/>
      <c r="K36" s="105"/>
      <c r="L36" s="105"/>
      <c r="M36" s="105"/>
      <c r="N36" s="105"/>
      <c r="O36" s="105"/>
      <c r="P36" s="105"/>
      <c r="Q36" s="105"/>
      <c r="R36" s="105"/>
      <c r="S36" s="105"/>
      <c r="T36" s="105"/>
      <c r="U36" s="105"/>
      <c r="V36" s="105"/>
      <c r="W36" s="105"/>
      <c r="X36" s="105"/>
      <c r="Y36" s="105"/>
      <c r="Z36" s="105"/>
      <c r="AA36" s="105"/>
      <c r="AB36" s="105"/>
      <c r="AC36" s="105"/>
      <c r="AD36" s="105"/>
      <c r="AE36" s="105"/>
      <c r="AF36" s="105"/>
      <c r="AG36" s="105"/>
      <c r="AH36" s="105"/>
      <c r="AI36" s="105"/>
      <c r="AJ36" s="105"/>
      <c r="AK36" s="105"/>
      <c r="AL36" s="105"/>
      <c r="AM36" s="105"/>
      <c r="AN36" s="105"/>
      <c r="AO36" s="105"/>
      <c r="AP36" s="105"/>
      <c r="AQ36" s="105"/>
      <c r="AR36" s="105"/>
      <c r="AS36" s="105"/>
      <c r="AT36" s="105"/>
      <c r="AU36" s="105"/>
    </row>
    <row r="37" spans="1:47">
      <c r="A37" s="105"/>
      <c r="B37" s="105"/>
      <c r="C37" s="105"/>
      <c r="D37" s="105"/>
      <c r="E37" s="105"/>
      <c r="F37" s="106"/>
      <c r="G37" s="106"/>
      <c r="H37" s="105"/>
      <c r="I37" s="105"/>
      <c r="J37" s="105"/>
      <c r="K37" s="105"/>
      <c r="L37" s="105"/>
      <c r="M37" s="105"/>
      <c r="N37" s="105"/>
      <c r="O37" s="105"/>
      <c r="P37" s="105"/>
      <c r="Q37" s="105"/>
      <c r="R37" s="105"/>
      <c r="S37" s="105"/>
      <c r="T37" s="105"/>
      <c r="U37" s="105"/>
      <c r="V37" s="105"/>
      <c r="W37" s="105"/>
      <c r="X37" s="105"/>
      <c r="Y37" s="105"/>
      <c r="Z37" s="105"/>
      <c r="AA37" s="105"/>
      <c r="AB37" s="105"/>
      <c r="AC37" s="105"/>
      <c r="AD37" s="105"/>
      <c r="AE37" s="105"/>
      <c r="AF37" s="105"/>
      <c r="AG37" s="105"/>
      <c r="AH37" s="105"/>
      <c r="AI37" s="105"/>
      <c r="AJ37" s="105"/>
      <c r="AK37" s="105"/>
      <c r="AL37" s="105"/>
      <c r="AM37" s="105"/>
      <c r="AN37" s="105"/>
      <c r="AO37" s="105"/>
      <c r="AP37" s="105"/>
      <c r="AQ37" s="105"/>
      <c r="AR37" s="105"/>
      <c r="AS37" s="105"/>
      <c r="AT37" s="105"/>
      <c r="AU37" s="105"/>
    </row>
    <row r="38" spans="1:47">
      <c r="A38" s="105"/>
      <c r="B38" s="105"/>
      <c r="C38" s="105"/>
      <c r="D38" s="105"/>
      <c r="E38" s="105"/>
      <c r="F38" s="106"/>
      <c r="G38" s="106"/>
      <c r="H38" s="105"/>
      <c r="I38" s="105"/>
      <c r="J38" s="105"/>
      <c r="K38" s="105"/>
      <c r="L38" s="105"/>
      <c r="M38" s="105"/>
      <c r="N38" s="105"/>
      <c r="O38" s="105"/>
      <c r="P38" s="105"/>
      <c r="Q38" s="105"/>
      <c r="R38" s="105"/>
      <c r="S38" s="105"/>
      <c r="T38" s="105"/>
      <c r="U38" s="105"/>
      <c r="V38" s="105"/>
      <c r="W38" s="105"/>
      <c r="X38" s="105"/>
      <c r="Y38" s="105"/>
      <c r="Z38" s="105"/>
      <c r="AA38" s="105"/>
      <c r="AB38" s="105"/>
      <c r="AC38" s="105"/>
      <c r="AD38" s="105"/>
      <c r="AE38" s="105"/>
      <c r="AF38" s="105"/>
      <c r="AG38" s="105"/>
      <c r="AH38" s="105"/>
      <c r="AI38" s="105"/>
      <c r="AJ38" s="105"/>
      <c r="AK38" s="105"/>
      <c r="AL38" s="105"/>
      <c r="AM38" s="105"/>
      <c r="AN38" s="105"/>
      <c r="AO38" s="105"/>
      <c r="AP38" s="105"/>
      <c r="AQ38" s="105"/>
      <c r="AR38" s="105"/>
      <c r="AS38" s="105"/>
      <c r="AT38" s="105"/>
      <c r="AU38" s="105"/>
    </row>
    <row r="39" spans="1:47">
      <c r="A39" s="105"/>
      <c r="B39" s="105"/>
      <c r="C39" s="105"/>
      <c r="D39" s="105"/>
      <c r="E39" s="105"/>
      <c r="F39" s="106"/>
      <c r="G39" s="106"/>
      <c r="H39" s="105"/>
      <c r="I39" s="105"/>
      <c r="J39" s="105"/>
      <c r="K39" s="105"/>
      <c r="L39" s="105"/>
      <c r="M39" s="105"/>
      <c r="N39" s="105"/>
      <c r="O39" s="105"/>
      <c r="P39" s="105"/>
      <c r="Q39" s="105"/>
      <c r="R39" s="105"/>
      <c r="S39" s="105"/>
      <c r="T39" s="105"/>
      <c r="U39" s="105"/>
      <c r="V39" s="105"/>
      <c r="W39" s="105"/>
      <c r="X39" s="105"/>
      <c r="Y39" s="105"/>
      <c r="Z39" s="105"/>
      <c r="AA39" s="105"/>
      <c r="AB39" s="105"/>
      <c r="AC39" s="105"/>
      <c r="AD39" s="105"/>
      <c r="AE39" s="105"/>
      <c r="AF39" s="105"/>
      <c r="AG39" s="105"/>
      <c r="AH39" s="105"/>
      <c r="AI39" s="105"/>
      <c r="AJ39" s="105"/>
      <c r="AK39" s="105"/>
      <c r="AL39" s="105"/>
      <c r="AM39" s="105"/>
      <c r="AN39" s="105"/>
      <c r="AO39" s="105"/>
      <c r="AP39" s="105"/>
      <c r="AQ39" s="105"/>
      <c r="AR39" s="105"/>
      <c r="AS39" s="105"/>
      <c r="AT39" s="105"/>
      <c r="AU39" s="105"/>
    </row>
    <row r="40" spans="1:47">
      <c r="A40" s="105"/>
      <c r="B40" s="105"/>
      <c r="C40" s="105"/>
      <c r="D40" s="105"/>
      <c r="E40" s="105"/>
      <c r="F40" s="106"/>
      <c r="G40" s="106"/>
      <c r="H40" s="105"/>
      <c r="I40" s="105"/>
      <c r="J40" s="105"/>
      <c r="K40" s="105"/>
      <c r="L40" s="105"/>
      <c r="M40" s="105"/>
      <c r="N40" s="105"/>
      <c r="O40" s="105"/>
      <c r="P40" s="105"/>
      <c r="Q40" s="105"/>
      <c r="R40" s="105"/>
      <c r="S40" s="105"/>
      <c r="T40" s="105"/>
      <c r="U40" s="105"/>
      <c r="V40" s="105"/>
      <c r="W40" s="105"/>
      <c r="X40" s="105"/>
      <c r="Y40" s="105"/>
      <c r="Z40" s="105"/>
      <c r="AA40" s="105"/>
      <c r="AB40" s="105"/>
      <c r="AC40" s="105"/>
      <c r="AD40" s="105"/>
      <c r="AE40" s="105"/>
      <c r="AF40" s="105"/>
      <c r="AG40" s="105"/>
      <c r="AH40" s="105"/>
      <c r="AI40" s="105"/>
      <c r="AJ40" s="105"/>
      <c r="AK40" s="105"/>
      <c r="AL40" s="105"/>
      <c r="AM40" s="105"/>
      <c r="AN40" s="105"/>
      <c r="AO40" s="105"/>
      <c r="AP40" s="105"/>
      <c r="AQ40" s="105"/>
      <c r="AR40" s="105"/>
      <c r="AS40" s="105"/>
      <c r="AT40" s="105"/>
      <c r="AU40" s="105"/>
    </row>
    <row r="41" spans="1:47">
      <c r="A41" s="105"/>
      <c r="B41" s="105"/>
      <c r="C41" s="105"/>
      <c r="D41" s="105"/>
      <c r="E41" s="105"/>
      <c r="F41" s="106"/>
      <c r="G41" s="106"/>
      <c r="H41" s="105"/>
      <c r="I41" s="105"/>
      <c r="J41" s="105"/>
      <c r="K41" s="105"/>
      <c r="L41" s="105"/>
      <c r="M41" s="105"/>
      <c r="N41" s="105"/>
      <c r="O41" s="105"/>
      <c r="P41" s="105"/>
      <c r="Q41" s="105"/>
      <c r="R41" s="105"/>
      <c r="S41" s="105"/>
      <c r="T41" s="105"/>
      <c r="U41" s="105"/>
      <c r="V41" s="105"/>
      <c r="W41" s="105"/>
      <c r="X41" s="105"/>
      <c r="Y41" s="105"/>
      <c r="Z41" s="105"/>
      <c r="AA41" s="105"/>
      <c r="AB41" s="105"/>
      <c r="AC41" s="105"/>
      <c r="AD41" s="105"/>
      <c r="AE41" s="105"/>
      <c r="AF41" s="105"/>
      <c r="AG41" s="105"/>
      <c r="AH41" s="105"/>
      <c r="AI41" s="105"/>
      <c r="AJ41" s="105"/>
      <c r="AK41" s="105"/>
      <c r="AL41" s="105"/>
      <c r="AM41" s="105"/>
      <c r="AN41" s="105"/>
      <c r="AO41" s="105"/>
      <c r="AP41" s="105"/>
      <c r="AQ41" s="105"/>
      <c r="AR41" s="105"/>
      <c r="AS41" s="105"/>
      <c r="AT41" s="105"/>
      <c r="AU41" s="105"/>
    </row>
    <row r="42" spans="1:47">
      <c r="A42" s="105"/>
      <c r="B42" s="105"/>
      <c r="C42" s="105"/>
      <c r="D42" s="105"/>
      <c r="E42" s="105"/>
      <c r="F42" s="106"/>
      <c r="G42" s="106"/>
      <c r="H42" s="105"/>
      <c r="I42" s="105"/>
      <c r="J42" s="105"/>
      <c r="K42" s="105"/>
      <c r="L42" s="105"/>
      <c r="M42" s="105"/>
      <c r="N42" s="105"/>
      <c r="O42" s="105"/>
      <c r="P42" s="105"/>
      <c r="Q42" s="105"/>
      <c r="R42" s="105"/>
      <c r="S42" s="105"/>
      <c r="T42" s="105"/>
      <c r="U42" s="105"/>
      <c r="V42" s="105"/>
      <c r="W42" s="105"/>
      <c r="X42" s="105"/>
      <c r="Y42" s="105"/>
      <c r="Z42" s="105"/>
      <c r="AA42" s="105"/>
      <c r="AB42" s="105"/>
      <c r="AC42" s="105"/>
      <c r="AD42" s="105"/>
      <c r="AE42" s="105"/>
      <c r="AF42" s="105"/>
      <c r="AG42" s="105"/>
      <c r="AH42" s="105"/>
      <c r="AI42" s="105"/>
      <c r="AJ42" s="105"/>
      <c r="AK42" s="105"/>
      <c r="AL42" s="105"/>
      <c r="AM42" s="105"/>
      <c r="AN42" s="105"/>
      <c r="AO42" s="105"/>
      <c r="AP42" s="105"/>
      <c r="AQ42" s="105"/>
      <c r="AR42" s="105"/>
      <c r="AS42" s="105"/>
      <c r="AT42" s="105"/>
      <c r="AU42" s="105"/>
    </row>
    <row r="43" spans="1:47">
      <c r="A43" s="105"/>
      <c r="B43" s="105"/>
      <c r="C43" s="105"/>
      <c r="D43" s="105"/>
      <c r="E43" s="105"/>
      <c r="F43" s="106"/>
      <c r="G43" s="106"/>
      <c r="H43" s="105"/>
      <c r="I43" s="105"/>
      <c r="J43" s="105"/>
      <c r="K43" s="105"/>
      <c r="L43" s="105"/>
      <c r="M43" s="105"/>
      <c r="N43" s="105"/>
      <c r="O43" s="105"/>
      <c r="P43" s="105"/>
      <c r="Q43" s="105"/>
      <c r="R43" s="105"/>
      <c r="S43" s="105"/>
      <c r="T43" s="105"/>
      <c r="U43" s="105"/>
      <c r="V43" s="105"/>
      <c r="W43" s="105"/>
      <c r="X43" s="105"/>
      <c r="Y43" s="105"/>
      <c r="Z43" s="105"/>
      <c r="AA43" s="105"/>
      <c r="AB43" s="105"/>
      <c r="AC43" s="105"/>
      <c r="AD43" s="105"/>
      <c r="AE43" s="105"/>
      <c r="AF43" s="105"/>
      <c r="AG43" s="105"/>
      <c r="AH43" s="105"/>
      <c r="AI43" s="105"/>
      <c r="AJ43" s="105"/>
      <c r="AK43" s="105"/>
      <c r="AL43" s="105"/>
      <c r="AM43" s="105"/>
      <c r="AN43" s="105"/>
      <c r="AO43" s="105"/>
      <c r="AP43" s="105"/>
      <c r="AQ43" s="105"/>
      <c r="AR43" s="105"/>
      <c r="AS43" s="105"/>
      <c r="AT43" s="105"/>
      <c r="AU43" s="105"/>
    </row>
    <row r="44" spans="1:47">
      <c r="A44" s="105"/>
      <c r="B44" s="105"/>
      <c r="C44" s="105"/>
      <c r="D44" s="105"/>
      <c r="E44" s="105"/>
      <c r="F44" s="106"/>
      <c r="G44" s="106"/>
      <c r="H44" s="105"/>
      <c r="I44" s="105"/>
      <c r="J44" s="105"/>
      <c r="K44" s="105"/>
      <c r="L44" s="105"/>
      <c r="M44" s="105"/>
      <c r="N44" s="105"/>
      <c r="O44" s="105"/>
      <c r="P44" s="105"/>
      <c r="Q44" s="105"/>
      <c r="R44" s="105"/>
      <c r="S44" s="105"/>
      <c r="T44" s="105"/>
      <c r="U44" s="105"/>
      <c r="V44" s="105"/>
      <c r="W44" s="105"/>
      <c r="X44" s="105"/>
      <c r="Y44" s="105"/>
      <c r="Z44" s="105"/>
      <c r="AA44" s="105"/>
      <c r="AB44" s="105"/>
      <c r="AC44" s="105"/>
      <c r="AD44" s="105"/>
      <c r="AE44" s="105"/>
      <c r="AF44" s="105"/>
      <c r="AG44" s="105"/>
      <c r="AH44" s="105"/>
      <c r="AI44" s="105"/>
      <c r="AJ44" s="105"/>
      <c r="AK44" s="105"/>
      <c r="AL44" s="105"/>
      <c r="AM44" s="105"/>
      <c r="AN44" s="105"/>
      <c r="AO44" s="105"/>
      <c r="AP44" s="105"/>
      <c r="AQ44" s="105"/>
      <c r="AR44" s="105"/>
      <c r="AS44" s="105"/>
      <c r="AT44" s="105"/>
      <c r="AU44" s="105"/>
    </row>
    <row r="45" spans="1:47">
      <c r="A45" s="105"/>
      <c r="B45" s="105"/>
      <c r="C45" s="105"/>
      <c r="D45" s="105"/>
      <c r="E45" s="105"/>
      <c r="F45" s="106"/>
      <c r="G45" s="106"/>
      <c r="H45" s="105"/>
      <c r="I45" s="105"/>
      <c r="J45" s="105"/>
      <c r="K45" s="105"/>
      <c r="L45" s="105"/>
      <c r="M45" s="105"/>
      <c r="N45" s="105"/>
      <c r="O45" s="105"/>
      <c r="P45" s="105"/>
      <c r="Q45" s="105"/>
      <c r="R45" s="105"/>
      <c r="S45" s="105"/>
      <c r="T45" s="105"/>
      <c r="U45" s="105"/>
      <c r="V45" s="105"/>
      <c r="W45" s="105"/>
      <c r="X45" s="105"/>
      <c r="Y45" s="105"/>
      <c r="Z45" s="105"/>
      <c r="AA45" s="105"/>
      <c r="AB45" s="105"/>
      <c r="AC45" s="105"/>
      <c r="AD45" s="105"/>
      <c r="AE45" s="105"/>
      <c r="AF45" s="105"/>
      <c r="AG45" s="105"/>
      <c r="AH45" s="105"/>
      <c r="AI45" s="105"/>
      <c r="AJ45" s="105"/>
      <c r="AK45" s="105"/>
      <c r="AL45" s="105"/>
      <c r="AM45" s="105"/>
      <c r="AN45" s="105"/>
      <c r="AO45" s="105"/>
      <c r="AP45" s="105"/>
      <c r="AQ45" s="105"/>
      <c r="AR45" s="105"/>
      <c r="AS45" s="105"/>
      <c r="AT45" s="105"/>
      <c r="AU45" s="105"/>
    </row>
    <row r="46" spans="1:47">
      <c r="A46" s="105"/>
      <c r="B46" s="105"/>
      <c r="C46" s="105"/>
      <c r="D46" s="105"/>
      <c r="E46" s="105"/>
      <c r="F46" s="106"/>
      <c r="G46" s="106"/>
      <c r="H46" s="105"/>
      <c r="I46" s="105"/>
      <c r="J46" s="105"/>
      <c r="K46" s="105"/>
      <c r="L46" s="105"/>
      <c r="M46" s="105"/>
      <c r="N46" s="105"/>
      <c r="O46" s="105"/>
      <c r="P46" s="105"/>
      <c r="Q46" s="105"/>
      <c r="R46" s="105"/>
      <c r="S46" s="105"/>
      <c r="T46" s="105"/>
      <c r="U46" s="105"/>
      <c r="V46" s="105"/>
      <c r="W46" s="105"/>
      <c r="X46" s="105"/>
      <c r="Y46" s="105"/>
      <c r="Z46" s="105"/>
      <c r="AA46" s="105"/>
      <c r="AB46" s="105"/>
      <c r="AC46" s="105"/>
      <c r="AD46" s="105"/>
      <c r="AE46" s="105"/>
      <c r="AF46" s="105"/>
      <c r="AG46" s="105"/>
      <c r="AH46" s="105"/>
      <c r="AI46" s="105"/>
      <c r="AJ46" s="105"/>
      <c r="AK46" s="105"/>
      <c r="AL46" s="105"/>
      <c r="AM46" s="105"/>
      <c r="AN46" s="105"/>
      <c r="AO46" s="105"/>
      <c r="AP46" s="105"/>
      <c r="AQ46" s="105"/>
      <c r="AR46" s="105"/>
      <c r="AS46" s="105"/>
      <c r="AT46" s="105"/>
      <c r="AU46" s="105"/>
    </row>
    <row r="47" spans="1:47">
      <c r="A47" s="105"/>
      <c r="B47" s="105"/>
      <c r="C47" s="105"/>
      <c r="D47" s="105"/>
      <c r="E47" s="105"/>
      <c r="F47" s="106"/>
      <c r="G47" s="106"/>
      <c r="H47" s="105"/>
      <c r="I47" s="105"/>
      <c r="J47" s="105"/>
      <c r="K47" s="105"/>
      <c r="L47" s="105"/>
      <c r="M47" s="105"/>
      <c r="N47" s="105"/>
      <c r="O47" s="105"/>
      <c r="P47" s="105"/>
      <c r="Q47" s="105"/>
      <c r="R47" s="105"/>
      <c r="S47" s="105"/>
      <c r="T47" s="105"/>
      <c r="U47" s="105"/>
      <c r="V47" s="105"/>
      <c r="W47" s="105"/>
      <c r="X47" s="105"/>
      <c r="Y47" s="105"/>
      <c r="Z47" s="105"/>
      <c r="AA47" s="105"/>
      <c r="AB47" s="105"/>
      <c r="AC47" s="105"/>
      <c r="AD47" s="105"/>
      <c r="AE47" s="105"/>
      <c r="AF47" s="105"/>
      <c r="AG47" s="105"/>
      <c r="AH47" s="105"/>
      <c r="AI47" s="105"/>
      <c r="AJ47" s="105"/>
      <c r="AK47" s="105"/>
      <c r="AL47" s="105"/>
      <c r="AM47" s="105"/>
      <c r="AN47" s="105"/>
      <c r="AO47" s="105"/>
      <c r="AP47" s="105"/>
      <c r="AQ47" s="105"/>
      <c r="AR47" s="105"/>
      <c r="AS47" s="105"/>
      <c r="AT47" s="105"/>
      <c r="AU47" s="105"/>
    </row>
    <row r="48" spans="1:47">
      <c r="A48" s="105"/>
      <c r="B48" s="105"/>
      <c r="C48" s="105"/>
      <c r="D48" s="105"/>
      <c r="E48" s="105"/>
      <c r="F48" s="106"/>
      <c r="G48" s="106"/>
      <c r="H48" s="105"/>
      <c r="I48" s="105"/>
      <c r="J48" s="105"/>
      <c r="K48" s="105"/>
      <c r="L48" s="105"/>
      <c r="M48" s="105"/>
      <c r="N48" s="105"/>
      <c r="O48" s="105"/>
      <c r="P48" s="105"/>
      <c r="Q48" s="105"/>
      <c r="R48" s="105"/>
      <c r="S48" s="105"/>
      <c r="T48" s="105"/>
      <c r="U48" s="105"/>
      <c r="V48" s="105"/>
      <c r="W48" s="105"/>
      <c r="X48" s="105"/>
      <c r="Y48" s="105"/>
      <c r="Z48" s="105"/>
      <c r="AA48" s="105"/>
      <c r="AB48" s="105"/>
      <c r="AC48" s="105"/>
      <c r="AD48" s="105"/>
      <c r="AE48" s="105"/>
      <c r="AF48" s="105"/>
      <c r="AG48" s="105"/>
      <c r="AH48" s="105"/>
      <c r="AI48" s="105"/>
      <c r="AJ48" s="105"/>
      <c r="AK48" s="105"/>
      <c r="AL48" s="105"/>
      <c r="AM48" s="105"/>
      <c r="AN48" s="105"/>
      <c r="AO48" s="105"/>
      <c r="AP48" s="105"/>
      <c r="AQ48" s="105"/>
      <c r="AR48" s="105"/>
      <c r="AS48" s="105"/>
      <c r="AT48" s="105"/>
      <c r="AU48" s="105"/>
    </row>
    <row r="49" spans="1:47">
      <c r="A49" s="105"/>
      <c r="B49" s="105"/>
      <c r="C49" s="105"/>
      <c r="D49" s="105"/>
      <c r="E49" s="105"/>
      <c r="F49" s="106"/>
      <c r="G49" s="106"/>
      <c r="H49" s="105"/>
      <c r="I49" s="105"/>
      <c r="J49" s="105"/>
      <c r="K49" s="105"/>
      <c r="L49" s="105"/>
      <c r="M49" s="105"/>
      <c r="N49" s="105"/>
      <c r="O49" s="105"/>
      <c r="P49" s="105"/>
      <c r="Q49" s="105"/>
      <c r="R49" s="105"/>
      <c r="S49" s="105"/>
      <c r="T49" s="105"/>
      <c r="U49" s="105"/>
      <c r="V49" s="105"/>
      <c r="W49" s="105"/>
      <c r="X49" s="105"/>
      <c r="Y49" s="105"/>
      <c r="Z49" s="105"/>
      <c r="AA49" s="105"/>
      <c r="AB49" s="105"/>
      <c r="AC49" s="105"/>
      <c r="AD49" s="105"/>
      <c r="AE49" s="105"/>
      <c r="AF49" s="105"/>
      <c r="AG49" s="105"/>
      <c r="AH49" s="105"/>
      <c r="AI49" s="105"/>
      <c r="AJ49" s="105"/>
      <c r="AK49" s="105"/>
      <c r="AL49" s="105"/>
      <c r="AM49" s="105"/>
      <c r="AN49" s="105"/>
      <c r="AO49" s="105"/>
      <c r="AP49" s="105"/>
      <c r="AQ49" s="105"/>
      <c r="AR49" s="105"/>
      <c r="AS49" s="105"/>
      <c r="AT49" s="105"/>
      <c r="AU49" s="105"/>
    </row>
    <row r="50" spans="1:47">
      <c r="A50" s="105"/>
      <c r="B50" s="105"/>
      <c r="C50" s="105"/>
      <c r="D50" s="105"/>
      <c r="E50" s="105"/>
      <c r="F50" s="106"/>
      <c r="G50" s="106"/>
      <c r="H50" s="105"/>
      <c r="I50" s="105"/>
      <c r="J50" s="105"/>
      <c r="K50" s="105"/>
      <c r="L50" s="105"/>
      <c r="M50" s="105"/>
      <c r="N50" s="105"/>
      <c r="O50" s="105"/>
      <c r="P50" s="105"/>
      <c r="Q50" s="105"/>
      <c r="R50" s="105"/>
      <c r="S50" s="105"/>
      <c r="T50" s="105"/>
      <c r="U50" s="105"/>
      <c r="V50" s="105"/>
      <c r="W50" s="105"/>
      <c r="X50" s="105"/>
      <c r="Y50" s="105"/>
      <c r="Z50" s="105"/>
      <c r="AA50" s="105"/>
      <c r="AB50" s="105"/>
      <c r="AC50" s="105"/>
      <c r="AD50" s="105"/>
      <c r="AE50" s="105"/>
      <c r="AF50" s="105"/>
      <c r="AG50" s="105"/>
      <c r="AH50" s="105"/>
      <c r="AI50" s="105"/>
      <c r="AJ50" s="105"/>
      <c r="AK50" s="105"/>
      <c r="AL50" s="105"/>
      <c r="AM50" s="105"/>
      <c r="AN50" s="105"/>
      <c r="AO50" s="105"/>
      <c r="AP50" s="105"/>
      <c r="AQ50" s="105"/>
      <c r="AR50" s="105"/>
      <c r="AS50" s="105"/>
      <c r="AT50" s="105"/>
      <c r="AU50" s="105"/>
    </row>
    <row r="51" spans="1:47">
      <c r="A51" s="105"/>
      <c r="B51" s="105"/>
      <c r="C51" s="105"/>
      <c r="D51" s="105"/>
      <c r="E51" s="105"/>
      <c r="F51" s="106"/>
      <c r="G51" s="106"/>
      <c r="H51" s="105"/>
      <c r="I51" s="105"/>
      <c r="J51" s="105"/>
      <c r="K51" s="105"/>
      <c r="L51" s="105"/>
      <c r="M51" s="105"/>
      <c r="N51" s="105"/>
      <c r="O51" s="105"/>
      <c r="P51" s="105"/>
      <c r="Q51" s="105"/>
      <c r="R51" s="105"/>
      <c r="S51" s="105"/>
      <c r="T51" s="105"/>
      <c r="U51" s="105"/>
      <c r="V51" s="105"/>
      <c r="W51" s="105"/>
      <c r="X51" s="105"/>
      <c r="Y51" s="105"/>
      <c r="Z51" s="105"/>
      <c r="AA51" s="105"/>
      <c r="AB51" s="105"/>
      <c r="AC51" s="105"/>
      <c r="AD51" s="105"/>
      <c r="AE51" s="105"/>
      <c r="AF51" s="105"/>
      <c r="AG51" s="105"/>
      <c r="AH51" s="105"/>
      <c r="AI51" s="105"/>
      <c r="AJ51" s="105"/>
      <c r="AK51" s="105"/>
      <c r="AL51" s="105"/>
      <c r="AM51" s="105"/>
      <c r="AN51" s="105"/>
      <c r="AO51" s="105"/>
      <c r="AP51" s="105"/>
      <c r="AQ51" s="105"/>
      <c r="AR51" s="105"/>
      <c r="AS51" s="105"/>
      <c r="AT51" s="105"/>
      <c r="AU51" s="105"/>
    </row>
    <row r="52" spans="1:47">
      <c r="A52" s="105"/>
      <c r="B52" s="105"/>
      <c r="C52" s="105"/>
      <c r="D52" s="105"/>
      <c r="E52" s="105"/>
      <c r="F52" s="106"/>
      <c r="G52" s="106"/>
      <c r="H52" s="105"/>
      <c r="I52" s="105"/>
      <c r="J52" s="105"/>
      <c r="K52" s="105"/>
      <c r="L52" s="105"/>
      <c r="M52" s="105"/>
      <c r="N52" s="105"/>
      <c r="O52" s="105"/>
      <c r="P52" s="105"/>
      <c r="Q52" s="105"/>
      <c r="R52" s="105"/>
      <c r="S52" s="105"/>
      <c r="T52" s="105"/>
      <c r="U52" s="105"/>
      <c r="V52" s="105"/>
      <c r="W52" s="105"/>
      <c r="X52" s="105"/>
      <c r="Y52" s="105"/>
      <c r="Z52" s="105"/>
      <c r="AA52" s="105"/>
      <c r="AB52" s="105"/>
      <c r="AC52" s="105"/>
      <c r="AD52" s="105"/>
      <c r="AE52" s="105"/>
      <c r="AF52" s="105"/>
      <c r="AG52" s="105"/>
      <c r="AH52" s="105"/>
      <c r="AI52" s="105"/>
      <c r="AJ52" s="105"/>
      <c r="AK52" s="105"/>
      <c r="AL52" s="105"/>
      <c r="AM52" s="105"/>
      <c r="AN52" s="105"/>
      <c r="AO52" s="105"/>
      <c r="AP52" s="105"/>
      <c r="AQ52" s="105"/>
      <c r="AR52" s="105"/>
      <c r="AS52" s="105"/>
      <c r="AT52" s="105"/>
      <c r="AU52" s="105"/>
    </row>
    <row r="53" spans="1:47">
      <c r="A53" s="105"/>
      <c r="B53" s="105"/>
      <c r="C53" s="105"/>
      <c r="D53" s="105"/>
      <c r="E53" s="105"/>
      <c r="F53" s="106"/>
      <c r="G53" s="106"/>
      <c r="H53" s="105"/>
      <c r="I53" s="105"/>
      <c r="J53" s="105"/>
      <c r="K53" s="105"/>
      <c r="L53" s="105"/>
      <c r="M53" s="105"/>
      <c r="N53" s="105"/>
      <c r="O53" s="105"/>
      <c r="P53" s="105"/>
      <c r="Q53" s="105"/>
      <c r="R53" s="105"/>
      <c r="S53" s="105"/>
      <c r="T53" s="105"/>
      <c r="U53" s="105"/>
      <c r="V53" s="105"/>
      <c r="W53" s="105"/>
      <c r="X53" s="105"/>
      <c r="Y53" s="105"/>
      <c r="Z53" s="105"/>
      <c r="AA53" s="105"/>
      <c r="AB53" s="105"/>
      <c r="AC53" s="105"/>
      <c r="AD53" s="105"/>
      <c r="AE53" s="105"/>
      <c r="AF53" s="105"/>
      <c r="AG53" s="105"/>
      <c r="AH53" s="105"/>
      <c r="AI53" s="105"/>
      <c r="AJ53" s="105"/>
      <c r="AK53" s="105"/>
      <c r="AL53" s="105"/>
      <c r="AM53" s="105"/>
      <c r="AN53" s="105"/>
      <c r="AO53" s="105"/>
      <c r="AP53" s="105"/>
      <c r="AQ53" s="105"/>
      <c r="AR53" s="105"/>
      <c r="AS53" s="105"/>
      <c r="AT53" s="105"/>
      <c r="AU53" s="105"/>
    </row>
    <row r="54" spans="1:47">
      <c r="A54" s="105"/>
      <c r="B54" s="105"/>
      <c r="C54" s="105"/>
      <c r="D54" s="105"/>
      <c r="E54" s="105"/>
      <c r="F54" s="106"/>
      <c r="G54" s="106"/>
      <c r="H54" s="105"/>
      <c r="I54" s="105"/>
      <c r="J54" s="105"/>
      <c r="K54" s="105"/>
      <c r="L54" s="105"/>
      <c r="M54" s="105"/>
      <c r="N54" s="105"/>
      <c r="O54" s="105"/>
      <c r="P54" s="105"/>
      <c r="Q54" s="105"/>
      <c r="R54" s="105"/>
      <c r="S54" s="105"/>
      <c r="T54" s="105"/>
      <c r="U54" s="105"/>
      <c r="V54" s="105"/>
      <c r="W54" s="105"/>
      <c r="X54" s="105"/>
      <c r="Y54" s="105"/>
      <c r="Z54" s="105"/>
      <c r="AA54" s="105"/>
      <c r="AB54" s="105"/>
      <c r="AC54" s="105"/>
      <c r="AD54" s="105"/>
      <c r="AE54" s="105"/>
      <c r="AF54" s="105"/>
      <c r="AG54" s="105"/>
      <c r="AH54" s="105"/>
      <c r="AI54" s="105"/>
      <c r="AJ54" s="105"/>
      <c r="AK54" s="105"/>
      <c r="AL54" s="105"/>
      <c r="AM54" s="105"/>
      <c r="AN54" s="105"/>
      <c r="AO54" s="105"/>
      <c r="AP54" s="105"/>
      <c r="AQ54" s="105"/>
      <c r="AR54" s="105"/>
      <c r="AS54" s="105"/>
      <c r="AT54" s="105"/>
      <c r="AU54" s="105"/>
    </row>
    <row r="55" spans="1:47">
      <c r="A55" s="105"/>
      <c r="B55" s="105"/>
      <c r="C55" s="105"/>
      <c r="D55" s="105"/>
      <c r="E55" s="105"/>
      <c r="F55" s="106"/>
      <c r="G55" s="106"/>
      <c r="H55" s="105"/>
      <c r="I55" s="105"/>
      <c r="J55" s="105"/>
      <c r="K55" s="105"/>
      <c r="L55" s="105"/>
      <c r="M55" s="105"/>
      <c r="N55" s="105"/>
      <c r="O55" s="105"/>
      <c r="P55" s="105"/>
      <c r="Q55" s="105"/>
      <c r="R55" s="105"/>
      <c r="S55" s="105"/>
      <c r="T55" s="105"/>
      <c r="U55" s="105"/>
      <c r="V55" s="105"/>
      <c r="W55" s="105"/>
      <c r="X55" s="105"/>
      <c r="Y55" s="105"/>
      <c r="Z55" s="105"/>
      <c r="AA55" s="105"/>
      <c r="AB55" s="105"/>
      <c r="AC55" s="105"/>
      <c r="AD55" s="105"/>
      <c r="AE55" s="105"/>
      <c r="AF55" s="105"/>
      <c r="AG55" s="105"/>
      <c r="AH55" s="105"/>
      <c r="AI55" s="105"/>
      <c r="AJ55" s="105"/>
      <c r="AK55" s="105"/>
      <c r="AL55" s="105"/>
      <c r="AM55" s="105"/>
      <c r="AN55" s="105"/>
      <c r="AO55" s="105"/>
      <c r="AP55" s="105"/>
      <c r="AQ55" s="105"/>
      <c r="AR55" s="105"/>
      <c r="AS55" s="105"/>
      <c r="AT55" s="105"/>
      <c r="AU55" s="105"/>
    </row>
    <row r="56" spans="1:47">
      <c r="A56" s="105"/>
      <c r="B56" s="105"/>
      <c r="C56" s="105"/>
      <c r="D56" s="105"/>
      <c r="E56" s="105"/>
      <c r="F56" s="106"/>
      <c r="G56" s="106"/>
      <c r="H56" s="105"/>
      <c r="I56" s="105"/>
      <c r="J56" s="105"/>
      <c r="K56" s="105"/>
      <c r="L56" s="105"/>
      <c r="M56" s="105"/>
      <c r="N56" s="105"/>
      <c r="O56" s="105"/>
      <c r="P56" s="105"/>
      <c r="Q56" s="105"/>
      <c r="R56" s="105"/>
      <c r="S56" s="105"/>
      <c r="T56" s="105"/>
      <c r="U56" s="105"/>
      <c r="V56" s="105"/>
      <c r="W56" s="105"/>
      <c r="X56" s="105"/>
      <c r="Y56" s="105"/>
      <c r="Z56" s="105"/>
      <c r="AA56" s="105"/>
      <c r="AB56" s="105"/>
      <c r="AC56" s="105"/>
      <c r="AD56" s="105"/>
      <c r="AE56" s="105"/>
      <c r="AF56" s="105"/>
      <c r="AG56" s="105"/>
      <c r="AH56" s="105"/>
      <c r="AI56" s="105"/>
      <c r="AJ56" s="105"/>
      <c r="AK56" s="105"/>
      <c r="AL56" s="105"/>
      <c r="AM56" s="105"/>
      <c r="AN56" s="105"/>
      <c r="AO56" s="105"/>
      <c r="AP56" s="105"/>
      <c r="AQ56" s="105"/>
      <c r="AR56" s="105"/>
      <c r="AS56" s="105"/>
      <c r="AT56" s="105"/>
      <c r="AU56" s="105"/>
    </row>
    <row r="57" spans="1:47">
      <c r="A57" s="105"/>
      <c r="B57" s="105"/>
      <c r="C57" s="105"/>
      <c r="D57" s="105"/>
      <c r="E57" s="105"/>
      <c r="F57" s="106"/>
      <c r="G57" s="106"/>
      <c r="H57" s="105"/>
      <c r="I57" s="105"/>
      <c r="J57" s="105"/>
      <c r="K57" s="105"/>
      <c r="L57" s="105"/>
      <c r="M57" s="105"/>
      <c r="N57" s="105"/>
      <c r="O57" s="105"/>
      <c r="P57" s="105"/>
      <c r="Q57" s="105"/>
      <c r="R57" s="105"/>
      <c r="S57" s="105"/>
      <c r="T57" s="105"/>
      <c r="U57" s="105"/>
      <c r="V57" s="105"/>
      <c r="W57" s="105"/>
      <c r="X57" s="105"/>
      <c r="Y57" s="105"/>
      <c r="Z57" s="105"/>
      <c r="AA57" s="105"/>
      <c r="AB57" s="105"/>
      <c r="AC57" s="105"/>
      <c r="AD57" s="105"/>
      <c r="AE57" s="105"/>
      <c r="AF57" s="105"/>
      <c r="AG57" s="105"/>
      <c r="AH57" s="105"/>
      <c r="AI57" s="105"/>
      <c r="AJ57" s="105"/>
      <c r="AK57" s="105"/>
      <c r="AL57" s="105"/>
      <c r="AM57" s="105"/>
      <c r="AN57" s="105"/>
      <c r="AO57" s="105"/>
      <c r="AP57" s="105"/>
      <c r="AQ57" s="105"/>
      <c r="AR57" s="105"/>
      <c r="AS57" s="105"/>
      <c r="AT57" s="105"/>
      <c r="AU57" s="105"/>
    </row>
    <row r="58" spans="1:47">
      <c r="A58" s="105"/>
      <c r="B58" s="105"/>
      <c r="C58" s="105"/>
      <c r="D58" s="105"/>
      <c r="E58" s="105"/>
      <c r="F58" s="106"/>
      <c r="G58" s="106"/>
      <c r="H58" s="105"/>
      <c r="I58" s="105"/>
      <c r="J58" s="105"/>
      <c r="K58" s="105"/>
      <c r="L58" s="105"/>
      <c r="M58" s="105"/>
      <c r="N58" s="105"/>
      <c r="O58" s="105"/>
      <c r="P58" s="105"/>
      <c r="Q58" s="105"/>
      <c r="R58" s="105"/>
      <c r="S58" s="105"/>
      <c r="T58" s="105"/>
      <c r="U58" s="105"/>
      <c r="V58" s="105"/>
      <c r="W58" s="105"/>
      <c r="X58" s="105"/>
      <c r="Y58" s="105"/>
      <c r="Z58" s="105"/>
      <c r="AA58" s="105"/>
      <c r="AB58" s="105"/>
      <c r="AC58" s="105"/>
      <c r="AD58" s="105"/>
      <c r="AE58" s="105"/>
      <c r="AF58" s="105"/>
      <c r="AG58" s="105"/>
      <c r="AH58" s="105"/>
      <c r="AI58" s="105"/>
      <c r="AJ58" s="105"/>
      <c r="AK58" s="105"/>
      <c r="AL58" s="105"/>
      <c r="AM58" s="105"/>
      <c r="AN58" s="105"/>
      <c r="AO58" s="105"/>
      <c r="AP58" s="105"/>
      <c r="AQ58" s="105"/>
      <c r="AR58" s="105"/>
      <c r="AS58" s="105"/>
      <c r="AT58" s="105"/>
      <c r="AU58" s="105"/>
    </row>
    <row r="59" spans="1:47">
      <c r="A59" s="251"/>
      <c r="B59" s="251"/>
      <c r="C59" s="251"/>
      <c r="D59" s="251"/>
      <c r="E59" s="251"/>
      <c r="F59" s="108"/>
      <c r="G59" s="108"/>
      <c r="H59" s="119"/>
      <c r="I59" s="105"/>
      <c r="J59" s="105"/>
      <c r="K59" s="105"/>
      <c r="L59" s="105"/>
      <c r="M59" s="105"/>
      <c r="N59" s="105"/>
      <c r="O59" s="105"/>
      <c r="P59" s="105"/>
      <c r="Q59" s="105"/>
      <c r="R59" s="105"/>
      <c r="S59" s="105"/>
      <c r="T59" s="105"/>
      <c r="U59" s="105"/>
      <c r="V59" s="105"/>
      <c r="W59" s="105"/>
      <c r="X59" s="105"/>
      <c r="Y59" s="105"/>
      <c r="Z59" s="105"/>
      <c r="AA59" s="105"/>
      <c r="AB59" s="105"/>
      <c r="AC59" s="105"/>
      <c r="AD59" s="105"/>
      <c r="AE59" s="105"/>
      <c r="AF59" s="105"/>
      <c r="AG59" s="105"/>
      <c r="AH59" s="105"/>
      <c r="AI59" s="105"/>
      <c r="AJ59" s="105"/>
      <c r="AK59" s="105"/>
      <c r="AL59" s="105"/>
      <c r="AM59" s="105"/>
      <c r="AN59" s="105"/>
      <c r="AO59" s="105"/>
      <c r="AP59" s="105"/>
      <c r="AQ59" s="105"/>
      <c r="AR59" s="105"/>
      <c r="AS59" s="105"/>
      <c r="AT59" s="105"/>
      <c r="AU59" s="105"/>
    </row>
    <row r="60" spans="1:47">
      <c r="A60" s="105"/>
      <c r="B60" s="105"/>
      <c r="C60" s="105"/>
      <c r="D60" s="105"/>
      <c r="E60" s="105"/>
      <c r="F60" s="106"/>
      <c r="G60" s="106"/>
      <c r="H60" s="105"/>
      <c r="I60" s="105"/>
      <c r="J60" s="105"/>
      <c r="K60" s="105"/>
      <c r="L60" s="105"/>
      <c r="M60" s="105"/>
      <c r="N60" s="105"/>
      <c r="O60" s="105"/>
      <c r="P60" s="105"/>
      <c r="Q60" s="105"/>
      <c r="R60" s="105"/>
      <c r="S60" s="105"/>
      <c r="T60" s="105"/>
      <c r="U60" s="105"/>
      <c r="V60" s="105"/>
      <c r="W60" s="105"/>
      <c r="X60" s="105"/>
      <c r="Y60" s="105"/>
      <c r="Z60" s="105"/>
      <c r="AA60" s="105"/>
      <c r="AB60" s="105"/>
      <c r="AC60" s="105"/>
      <c r="AD60" s="105"/>
      <c r="AE60" s="105"/>
      <c r="AF60" s="105"/>
      <c r="AG60" s="105"/>
      <c r="AH60" s="105"/>
      <c r="AI60" s="105"/>
      <c r="AJ60" s="105"/>
      <c r="AK60" s="105"/>
      <c r="AL60" s="105"/>
      <c r="AM60" s="105"/>
      <c r="AN60" s="105"/>
      <c r="AO60" s="105"/>
      <c r="AP60" s="105"/>
      <c r="AQ60" s="105"/>
      <c r="AR60" s="105"/>
      <c r="AS60" s="105"/>
      <c r="AT60" s="105"/>
      <c r="AU60" s="105"/>
    </row>
    <row r="61" spans="1:47">
      <c r="A61" s="105"/>
      <c r="B61" s="105"/>
      <c r="C61" s="105"/>
      <c r="D61" s="105"/>
      <c r="E61" s="105"/>
      <c r="F61" s="106"/>
      <c r="G61" s="106"/>
      <c r="H61" s="105"/>
      <c r="I61" s="105"/>
      <c r="J61" s="105"/>
      <c r="K61" s="105"/>
      <c r="L61" s="105"/>
      <c r="M61" s="105"/>
      <c r="N61" s="105"/>
      <c r="O61" s="105"/>
      <c r="P61" s="105"/>
      <c r="Q61" s="105"/>
      <c r="R61" s="105"/>
      <c r="S61" s="105"/>
      <c r="T61" s="105"/>
      <c r="U61" s="105"/>
      <c r="V61" s="105"/>
      <c r="W61" s="105"/>
      <c r="X61" s="105"/>
      <c r="Y61" s="105"/>
      <c r="Z61" s="105"/>
      <c r="AA61" s="105"/>
      <c r="AB61" s="105"/>
      <c r="AC61" s="105"/>
      <c r="AD61" s="105"/>
      <c r="AE61" s="105"/>
      <c r="AF61" s="105"/>
      <c r="AG61" s="105"/>
      <c r="AH61" s="105"/>
      <c r="AI61" s="105"/>
      <c r="AJ61" s="105"/>
      <c r="AK61" s="105"/>
      <c r="AL61" s="105"/>
      <c r="AM61" s="105"/>
      <c r="AN61" s="105"/>
      <c r="AO61" s="105"/>
      <c r="AP61" s="105"/>
      <c r="AQ61" s="105"/>
      <c r="AR61" s="105"/>
      <c r="AS61" s="105"/>
      <c r="AT61" s="105"/>
      <c r="AU61" s="105"/>
    </row>
    <row r="62" spans="1:47">
      <c r="A62" s="105"/>
      <c r="B62" s="105"/>
      <c r="C62" s="105"/>
      <c r="D62" s="105"/>
      <c r="E62" s="105"/>
      <c r="F62" s="106"/>
      <c r="G62" s="106"/>
      <c r="H62" s="105"/>
      <c r="I62" s="105"/>
      <c r="J62" s="105"/>
      <c r="K62" s="105"/>
      <c r="L62" s="105"/>
      <c r="M62" s="105"/>
      <c r="N62" s="105"/>
      <c r="O62" s="105"/>
      <c r="P62" s="105"/>
      <c r="Q62" s="105"/>
      <c r="R62" s="105"/>
      <c r="S62" s="105"/>
      <c r="T62" s="105"/>
      <c r="U62" s="105"/>
      <c r="V62" s="105"/>
      <c r="W62" s="105"/>
      <c r="X62" s="105"/>
      <c r="Y62" s="105"/>
      <c r="Z62" s="105"/>
      <c r="AA62" s="105"/>
      <c r="AB62" s="105"/>
      <c r="AC62" s="105"/>
      <c r="AD62" s="105"/>
      <c r="AE62" s="105"/>
      <c r="AF62" s="105"/>
      <c r="AG62" s="105"/>
      <c r="AH62" s="105"/>
      <c r="AI62" s="105"/>
      <c r="AJ62" s="105"/>
      <c r="AK62" s="105"/>
      <c r="AL62" s="105"/>
      <c r="AM62" s="105"/>
      <c r="AN62" s="105"/>
      <c r="AO62" s="105"/>
      <c r="AP62" s="105"/>
      <c r="AQ62" s="105"/>
      <c r="AR62" s="105"/>
      <c r="AS62" s="105"/>
      <c r="AT62" s="105"/>
      <c r="AU62" s="105"/>
    </row>
    <row r="63" spans="1:47">
      <c r="A63" s="105"/>
      <c r="B63" s="105"/>
      <c r="C63" s="105"/>
      <c r="D63" s="105"/>
      <c r="E63" s="105"/>
      <c r="F63" s="106"/>
      <c r="G63" s="106"/>
      <c r="H63" s="105"/>
      <c r="I63" s="105"/>
      <c r="J63" s="105"/>
      <c r="K63" s="105"/>
      <c r="L63" s="105"/>
      <c r="M63" s="105"/>
      <c r="N63" s="105"/>
      <c r="O63" s="105"/>
      <c r="P63" s="105"/>
      <c r="Q63" s="105"/>
      <c r="R63" s="105"/>
      <c r="S63" s="105"/>
      <c r="T63" s="105"/>
      <c r="U63" s="105"/>
      <c r="V63" s="105"/>
      <c r="W63" s="105"/>
      <c r="X63" s="105"/>
      <c r="Y63" s="105"/>
      <c r="Z63" s="105"/>
      <c r="AA63" s="105"/>
      <c r="AB63" s="105"/>
      <c r="AC63" s="105"/>
      <c r="AD63" s="105"/>
      <c r="AE63" s="105"/>
      <c r="AF63" s="105"/>
      <c r="AG63" s="105"/>
      <c r="AH63" s="105"/>
      <c r="AI63" s="105"/>
      <c r="AJ63" s="105"/>
      <c r="AK63" s="105"/>
      <c r="AL63" s="105"/>
      <c r="AM63" s="105"/>
      <c r="AN63" s="105"/>
      <c r="AO63" s="105"/>
      <c r="AP63" s="105"/>
      <c r="AQ63" s="105"/>
      <c r="AR63" s="105"/>
      <c r="AS63" s="105"/>
      <c r="AT63" s="105"/>
      <c r="AU63" s="105"/>
    </row>
    <row r="64" spans="1:47">
      <c r="A64" s="105"/>
      <c r="B64" s="105"/>
      <c r="C64" s="105"/>
      <c r="D64" s="105"/>
      <c r="E64" s="105"/>
      <c r="F64" s="106"/>
      <c r="G64" s="106"/>
      <c r="H64" s="105"/>
      <c r="I64" s="105"/>
      <c r="J64" s="105"/>
      <c r="K64" s="105"/>
      <c r="L64" s="105"/>
      <c r="M64" s="105"/>
      <c r="N64" s="105"/>
      <c r="O64" s="105"/>
      <c r="P64" s="105"/>
      <c r="Q64" s="105"/>
      <c r="R64" s="105"/>
      <c r="S64" s="105"/>
      <c r="T64" s="105"/>
      <c r="U64" s="105"/>
      <c r="V64" s="105"/>
      <c r="W64" s="105"/>
      <c r="X64" s="105"/>
      <c r="Y64" s="105"/>
      <c r="Z64" s="105"/>
      <c r="AA64" s="105"/>
      <c r="AB64" s="105"/>
      <c r="AC64" s="105"/>
      <c r="AD64" s="105"/>
      <c r="AE64" s="105"/>
      <c r="AF64" s="105"/>
      <c r="AG64" s="105"/>
      <c r="AH64" s="105"/>
      <c r="AI64" s="105"/>
      <c r="AJ64" s="105"/>
      <c r="AK64" s="105"/>
      <c r="AL64" s="105"/>
      <c r="AM64" s="105"/>
      <c r="AN64" s="105"/>
      <c r="AO64" s="105"/>
      <c r="AP64" s="105"/>
      <c r="AQ64" s="105"/>
      <c r="AR64" s="105"/>
      <c r="AS64" s="105"/>
      <c r="AT64" s="105"/>
      <c r="AU64" s="105"/>
    </row>
    <row r="65" spans="1:47">
      <c r="A65" s="105"/>
      <c r="B65" s="105"/>
      <c r="C65" s="105"/>
      <c r="D65" s="105"/>
      <c r="E65" s="105"/>
      <c r="F65" s="106"/>
      <c r="G65" s="106"/>
      <c r="H65" s="105"/>
      <c r="I65" s="105"/>
      <c r="J65" s="105"/>
      <c r="K65" s="105"/>
      <c r="L65" s="105"/>
      <c r="M65" s="105"/>
      <c r="N65" s="105"/>
      <c r="O65" s="105"/>
      <c r="P65" s="105"/>
      <c r="Q65" s="105"/>
      <c r="R65" s="105"/>
      <c r="S65" s="105"/>
      <c r="T65" s="105"/>
      <c r="U65" s="105"/>
      <c r="V65" s="105"/>
      <c r="W65" s="105"/>
      <c r="X65" s="105"/>
      <c r="Y65" s="105"/>
      <c r="Z65" s="105"/>
      <c r="AA65" s="105"/>
      <c r="AB65" s="105"/>
      <c r="AC65" s="105"/>
      <c r="AD65" s="105"/>
      <c r="AE65" s="105"/>
      <c r="AF65" s="105"/>
      <c r="AG65" s="105"/>
      <c r="AH65" s="105"/>
      <c r="AI65" s="105"/>
      <c r="AJ65" s="105"/>
      <c r="AK65" s="105"/>
      <c r="AL65" s="105"/>
      <c r="AM65" s="105"/>
      <c r="AN65" s="105"/>
      <c r="AO65" s="105"/>
      <c r="AP65" s="105"/>
      <c r="AQ65" s="105"/>
      <c r="AR65" s="105"/>
      <c r="AS65" s="105"/>
      <c r="AT65" s="105"/>
      <c r="AU65" s="105"/>
    </row>
    <row r="66" spans="1:47">
      <c r="A66" s="105"/>
      <c r="B66" s="105"/>
      <c r="C66" s="105"/>
      <c r="D66" s="105"/>
      <c r="E66" s="105"/>
      <c r="F66" s="106"/>
      <c r="G66" s="106"/>
      <c r="H66" s="105"/>
      <c r="I66" s="105"/>
      <c r="J66" s="105"/>
      <c r="K66" s="105"/>
      <c r="L66" s="105"/>
      <c r="M66" s="105"/>
      <c r="N66" s="105"/>
      <c r="O66" s="105"/>
      <c r="P66" s="105"/>
      <c r="Q66" s="105"/>
      <c r="R66" s="105"/>
      <c r="S66" s="105"/>
      <c r="T66" s="105"/>
      <c r="U66" s="105"/>
      <c r="V66" s="105"/>
      <c r="W66" s="105"/>
      <c r="X66" s="105"/>
      <c r="Y66" s="105"/>
      <c r="Z66" s="105"/>
      <c r="AA66" s="105"/>
      <c r="AB66" s="105"/>
      <c r="AC66" s="105"/>
      <c r="AD66" s="105"/>
      <c r="AE66" s="105"/>
      <c r="AF66" s="105"/>
      <c r="AG66" s="105"/>
      <c r="AH66" s="105"/>
      <c r="AI66" s="105"/>
      <c r="AJ66" s="105"/>
      <c r="AK66" s="105"/>
      <c r="AL66" s="105"/>
      <c r="AM66" s="105"/>
      <c r="AN66" s="105"/>
      <c r="AO66" s="105"/>
      <c r="AP66" s="105"/>
      <c r="AQ66" s="105"/>
      <c r="AR66" s="105"/>
      <c r="AS66" s="105"/>
      <c r="AT66" s="105"/>
      <c r="AU66" s="105"/>
    </row>
    <row r="67" spans="1:47">
      <c r="A67" s="105"/>
      <c r="B67" s="105"/>
      <c r="C67" s="105"/>
      <c r="D67" s="105"/>
      <c r="E67" s="105"/>
      <c r="F67" s="106"/>
      <c r="G67" s="106"/>
      <c r="H67" s="105"/>
      <c r="I67" s="105"/>
      <c r="J67" s="105"/>
      <c r="K67" s="105"/>
      <c r="L67" s="105"/>
      <c r="M67" s="105"/>
      <c r="N67" s="105"/>
      <c r="O67" s="105"/>
      <c r="P67" s="105"/>
      <c r="Q67" s="105"/>
      <c r="R67" s="105"/>
      <c r="S67" s="105"/>
      <c r="T67" s="105"/>
      <c r="U67" s="105"/>
      <c r="V67" s="105"/>
      <c r="W67" s="105"/>
      <c r="X67" s="105"/>
      <c r="Y67" s="105"/>
      <c r="Z67" s="105"/>
      <c r="AA67" s="105"/>
      <c r="AB67" s="105"/>
      <c r="AC67" s="105"/>
      <c r="AD67" s="105"/>
      <c r="AE67" s="105"/>
      <c r="AF67" s="105"/>
      <c r="AG67" s="105"/>
      <c r="AH67" s="105"/>
      <c r="AI67" s="105"/>
      <c r="AJ67" s="105"/>
      <c r="AK67" s="105"/>
      <c r="AL67" s="105"/>
      <c r="AM67" s="105"/>
      <c r="AN67" s="105"/>
      <c r="AO67" s="105"/>
      <c r="AP67" s="105"/>
      <c r="AQ67" s="105"/>
      <c r="AR67" s="105"/>
      <c r="AS67" s="105"/>
      <c r="AT67" s="105"/>
      <c r="AU67" s="105"/>
    </row>
    <row r="68" spans="1:47">
      <c r="A68" s="105"/>
      <c r="B68" s="105"/>
      <c r="C68" s="105"/>
      <c r="D68" s="105"/>
      <c r="E68" s="105"/>
      <c r="F68" s="106"/>
      <c r="G68" s="106"/>
      <c r="H68" s="105"/>
      <c r="I68" s="105"/>
      <c r="J68" s="105"/>
      <c r="K68" s="105"/>
      <c r="L68" s="105"/>
      <c r="M68" s="105"/>
      <c r="N68" s="105"/>
      <c r="O68" s="105"/>
      <c r="P68" s="105"/>
      <c r="Q68" s="105"/>
      <c r="R68" s="105"/>
      <c r="S68" s="105"/>
      <c r="T68" s="105"/>
      <c r="U68" s="105"/>
      <c r="V68" s="105"/>
      <c r="W68" s="105"/>
      <c r="X68" s="105"/>
      <c r="Y68" s="105"/>
      <c r="Z68" s="105"/>
      <c r="AA68" s="105"/>
      <c r="AB68" s="105"/>
      <c r="AC68" s="105"/>
      <c r="AD68" s="105"/>
      <c r="AE68" s="105"/>
      <c r="AF68" s="105"/>
      <c r="AG68" s="105"/>
      <c r="AH68" s="105"/>
      <c r="AI68" s="105"/>
      <c r="AJ68" s="105"/>
      <c r="AK68" s="105"/>
      <c r="AL68" s="105"/>
      <c r="AM68" s="105"/>
      <c r="AN68" s="105"/>
      <c r="AO68" s="105"/>
      <c r="AP68" s="105"/>
      <c r="AQ68" s="105"/>
      <c r="AR68" s="105"/>
      <c r="AS68" s="105"/>
      <c r="AT68" s="105"/>
      <c r="AU68" s="105"/>
    </row>
    <row r="69" spans="1:47">
      <c r="A69" s="105"/>
      <c r="B69" s="105"/>
      <c r="C69" s="105"/>
      <c r="D69" s="105"/>
      <c r="E69" s="105"/>
      <c r="F69" s="106"/>
      <c r="G69" s="106"/>
      <c r="H69" s="105"/>
      <c r="I69" s="105"/>
      <c r="J69" s="105"/>
      <c r="K69" s="105"/>
      <c r="L69" s="105"/>
      <c r="M69" s="105"/>
      <c r="N69" s="105"/>
      <c r="O69" s="105"/>
      <c r="P69" s="105"/>
      <c r="Q69" s="105"/>
      <c r="R69" s="105"/>
      <c r="S69" s="105"/>
      <c r="T69" s="105"/>
      <c r="U69" s="105"/>
      <c r="V69" s="105"/>
      <c r="W69" s="105"/>
      <c r="X69" s="105"/>
      <c r="Y69" s="105"/>
      <c r="Z69" s="105"/>
      <c r="AA69" s="105"/>
      <c r="AB69" s="105"/>
      <c r="AC69" s="105"/>
      <c r="AD69" s="105"/>
      <c r="AE69" s="105"/>
      <c r="AF69" s="105"/>
      <c r="AG69" s="105"/>
      <c r="AH69" s="105"/>
      <c r="AI69" s="105"/>
      <c r="AJ69" s="105"/>
      <c r="AK69" s="105"/>
      <c r="AL69" s="105"/>
      <c r="AM69" s="105"/>
      <c r="AN69" s="105"/>
      <c r="AO69" s="105"/>
      <c r="AP69" s="105"/>
      <c r="AQ69" s="105"/>
      <c r="AR69" s="105"/>
      <c r="AS69" s="105"/>
      <c r="AT69" s="105"/>
      <c r="AU69" s="105"/>
    </row>
    <row r="70" spans="1:47">
      <c r="A70" s="105"/>
      <c r="B70" s="105"/>
      <c r="C70" s="105"/>
      <c r="D70" s="105"/>
      <c r="E70" s="105"/>
      <c r="F70" s="106"/>
      <c r="G70" s="106"/>
      <c r="H70" s="105"/>
      <c r="I70" s="105"/>
      <c r="J70" s="105"/>
      <c r="K70" s="105"/>
      <c r="L70" s="105"/>
      <c r="M70" s="105"/>
      <c r="N70" s="105"/>
      <c r="O70" s="105"/>
      <c r="P70" s="105"/>
      <c r="Q70" s="105"/>
      <c r="R70" s="105"/>
      <c r="S70" s="105"/>
      <c r="T70" s="105"/>
      <c r="U70" s="105"/>
      <c r="V70" s="105"/>
      <c r="W70" s="105"/>
      <c r="X70" s="105"/>
      <c r="Y70" s="105"/>
      <c r="Z70" s="105"/>
      <c r="AA70" s="105"/>
      <c r="AB70" s="105"/>
      <c r="AC70" s="105"/>
      <c r="AD70" s="105"/>
      <c r="AE70" s="105"/>
      <c r="AF70" s="105"/>
      <c r="AG70" s="105"/>
      <c r="AH70" s="105"/>
      <c r="AI70" s="105"/>
      <c r="AJ70" s="105"/>
      <c r="AK70" s="105"/>
      <c r="AL70" s="105"/>
      <c r="AM70" s="105"/>
      <c r="AN70" s="105"/>
      <c r="AO70" s="105"/>
      <c r="AP70" s="105"/>
      <c r="AQ70" s="105"/>
      <c r="AR70" s="105"/>
      <c r="AS70" s="105"/>
      <c r="AT70" s="105"/>
      <c r="AU70" s="105"/>
    </row>
    <row r="71" spans="1:47">
      <c r="A71" s="105"/>
      <c r="B71" s="105"/>
      <c r="C71" s="105"/>
      <c r="D71" s="105"/>
      <c r="E71" s="105"/>
      <c r="F71" s="106"/>
      <c r="G71" s="106"/>
      <c r="H71" s="105"/>
      <c r="I71" s="105"/>
      <c r="J71" s="105"/>
      <c r="K71" s="105"/>
      <c r="L71" s="105"/>
      <c r="M71" s="105"/>
      <c r="N71" s="105"/>
      <c r="O71" s="105"/>
      <c r="P71" s="105"/>
      <c r="Q71" s="105"/>
      <c r="R71" s="105"/>
      <c r="S71" s="105"/>
      <c r="T71" s="105"/>
      <c r="U71" s="105"/>
      <c r="V71" s="105"/>
      <c r="W71" s="105"/>
      <c r="X71" s="105"/>
      <c r="Y71" s="105"/>
      <c r="Z71" s="105"/>
      <c r="AA71" s="105"/>
      <c r="AB71" s="105"/>
      <c r="AC71" s="105"/>
      <c r="AD71" s="105"/>
      <c r="AE71" s="105"/>
      <c r="AF71" s="105"/>
      <c r="AG71" s="105"/>
      <c r="AH71" s="105"/>
      <c r="AI71" s="105"/>
      <c r="AJ71" s="105"/>
      <c r="AK71" s="105"/>
      <c r="AL71" s="105"/>
      <c r="AM71" s="105"/>
      <c r="AN71" s="105"/>
      <c r="AO71" s="105"/>
      <c r="AP71" s="105"/>
      <c r="AQ71" s="105"/>
      <c r="AR71" s="105"/>
      <c r="AS71" s="105"/>
      <c r="AT71" s="105"/>
      <c r="AU71" s="105"/>
    </row>
    <row r="72" spans="1:47">
      <c r="A72" s="105"/>
      <c r="B72" s="105"/>
      <c r="C72" s="105"/>
      <c r="D72" s="105"/>
      <c r="E72" s="105"/>
      <c r="F72" s="106"/>
      <c r="G72" s="106"/>
      <c r="H72" s="105"/>
      <c r="I72" s="105"/>
      <c r="J72" s="105"/>
      <c r="K72" s="105"/>
      <c r="L72" s="105"/>
      <c r="M72" s="105"/>
      <c r="N72" s="105"/>
      <c r="O72" s="105"/>
      <c r="P72" s="105"/>
      <c r="Q72" s="105"/>
      <c r="R72" s="105"/>
      <c r="S72" s="105"/>
      <c r="T72" s="105"/>
      <c r="U72" s="105"/>
      <c r="V72" s="105"/>
      <c r="W72" s="105"/>
      <c r="X72" s="105"/>
      <c r="Y72" s="105"/>
      <c r="Z72" s="105"/>
      <c r="AA72" s="105"/>
      <c r="AB72" s="105"/>
      <c r="AC72" s="105"/>
      <c r="AD72" s="105"/>
      <c r="AE72" s="105"/>
      <c r="AF72" s="105"/>
      <c r="AG72" s="105"/>
      <c r="AH72" s="105"/>
      <c r="AI72" s="105"/>
      <c r="AJ72" s="105"/>
      <c r="AK72" s="105"/>
      <c r="AL72" s="105"/>
      <c r="AM72" s="105"/>
      <c r="AN72" s="105"/>
      <c r="AO72" s="105"/>
      <c r="AP72" s="105"/>
      <c r="AQ72" s="105"/>
      <c r="AR72" s="105"/>
      <c r="AS72" s="105"/>
      <c r="AT72" s="105"/>
      <c r="AU72" s="105"/>
    </row>
    <row r="73" spans="1:47">
      <c r="A73" s="105"/>
      <c r="B73" s="105"/>
      <c r="C73" s="105"/>
      <c r="D73" s="105"/>
      <c r="E73" s="105"/>
      <c r="F73" s="106"/>
      <c r="G73" s="106"/>
      <c r="H73" s="105"/>
      <c r="I73" s="105"/>
      <c r="J73" s="105"/>
      <c r="K73" s="105"/>
      <c r="L73" s="105"/>
      <c r="M73" s="105"/>
      <c r="N73" s="105"/>
      <c r="O73" s="105"/>
      <c r="P73" s="105"/>
      <c r="Q73" s="105"/>
      <c r="R73" s="105"/>
      <c r="S73" s="105"/>
      <c r="T73" s="105"/>
      <c r="U73" s="105"/>
      <c r="V73" s="105"/>
      <c r="W73" s="105"/>
      <c r="X73" s="105"/>
      <c r="Y73" s="105"/>
      <c r="Z73" s="105"/>
      <c r="AA73" s="105"/>
      <c r="AB73" s="105"/>
      <c r="AC73" s="105"/>
      <c r="AD73" s="105"/>
      <c r="AE73" s="105"/>
      <c r="AF73" s="105"/>
      <c r="AG73" s="105"/>
      <c r="AH73" s="105"/>
      <c r="AI73" s="105"/>
      <c r="AJ73" s="105"/>
      <c r="AK73" s="105"/>
      <c r="AL73" s="105"/>
      <c r="AM73" s="105"/>
      <c r="AN73" s="105"/>
      <c r="AO73" s="105"/>
      <c r="AP73" s="105"/>
      <c r="AQ73" s="105"/>
      <c r="AR73" s="105"/>
      <c r="AS73" s="105"/>
      <c r="AT73" s="105"/>
      <c r="AU73" s="105"/>
    </row>
    <row r="74" spans="1:47">
      <c r="A74" s="105"/>
      <c r="B74" s="105"/>
      <c r="C74" s="105"/>
      <c r="D74" s="105"/>
      <c r="E74" s="105"/>
      <c r="F74" s="106"/>
      <c r="G74" s="106"/>
      <c r="H74" s="105"/>
      <c r="I74" s="105"/>
      <c r="J74" s="105"/>
      <c r="K74" s="105"/>
      <c r="L74" s="105"/>
      <c r="M74" s="105"/>
      <c r="N74" s="105"/>
      <c r="O74" s="105"/>
      <c r="P74" s="105"/>
      <c r="Q74" s="105"/>
      <c r="R74" s="105"/>
      <c r="S74" s="105"/>
      <c r="T74" s="105"/>
      <c r="U74" s="105"/>
      <c r="V74" s="105"/>
      <c r="W74" s="105"/>
      <c r="X74" s="105"/>
      <c r="Y74" s="105"/>
      <c r="Z74" s="105"/>
      <c r="AA74" s="105"/>
      <c r="AB74" s="105"/>
      <c r="AC74" s="105"/>
      <c r="AD74" s="105"/>
      <c r="AE74" s="105"/>
      <c r="AF74" s="105"/>
      <c r="AG74" s="105"/>
      <c r="AH74" s="105"/>
      <c r="AI74" s="105"/>
      <c r="AJ74" s="105"/>
      <c r="AK74" s="105"/>
      <c r="AL74" s="105"/>
      <c r="AM74" s="105"/>
      <c r="AN74" s="105"/>
      <c r="AO74" s="105"/>
      <c r="AP74" s="105"/>
      <c r="AQ74" s="105"/>
      <c r="AR74" s="105"/>
      <c r="AS74" s="105"/>
      <c r="AT74" s="105"/>
      <c r="AU74" s="105"/>
    </row>
    <row r="75" spans="1:47">
      <c r="A75" s="105"/>
      <c r="B75" s="105"/>
      <c r="C75" s="105"/>
      <c r="D75" s="105"/>
      <c r="E75" s="105"/>
      <c r="F75" s="106"/>
      <c r="G75" s="106"/>
      <c r="H75" s="105"/>
      <c r="I75" s="105"/>
      <c r="J75" s="105"/>
      <c r="K75" s="105"/>
      <c r="L75" s="105"/>
      <c r="M75" s="105"/>
      <c r="N75" s="105"/>
      <c r="O75" s="105"/>
      <c r="P75" s="105"/>
      <c r="Q75" s="105"/>
      <c r="R75" s="105"/>
      <c r="S75" s="105"/>
      <c r="T75" s="105"/>
      <c r="U75" s="105"/>
      <c r="V75" s="105"/>
      <c r="W75" s="105"/>
      <c r="X75" s="105"/>
      <c r="Y75" s="105"/>
      <c r="Z75" s="105"/>
      <c r="AA75" s="105"/>
      <c r="AB75" s="105"/>
      <c r="AC75" s="105"/>
      <c r="AD75" s="105"/>
      <c r="AE75" s="105"/>
      <c r="AF75" s="105"/>
      <c r="AG75" s="105"/>
      <c r="AH75" s="105"/>
      <c r="AI75" s="105"/>
      <c r="AJ75" s="105"/>
      <c r="AK75" s="105"/>
      <c r="AL75" s="105"/>
      <c r="AM75" s="105"/>
      <c r="AN75" s="105"/>
      <c r="AO75" s="105"/>
      <c r="AP75" s="105"/>
      <c r="AQ75" s="105"/>
      <c r="AR75" s="105"/>
      <c r="AS75" s="105"/>
      <c r="AT75" s="105"/>
      <c r="AU75" s="105"/>
    </row>
    <row r="76" spans="1:47">
      <c r="A76" s="105"/>
      <c r="B76" s="105"/>
      <c r="C76" s="105"/>
      <c r="D76" s="105"/>
      <c r="E76" s="105"/>
      <c r="F76" s="106"/>
      <c r="G76" s="106"/>
      <c r="H76" s="105"/>
      <c r="I76" s="105"/>
      <c r="J76" s="105"/>
      <c r="K76" s="105"/>
      <c r="L76" s="105"/>
      <c r="M76" s="105"/>
      <c r="N76" s="105"/>
      <c r="O76" s="105"/>
      <c r="P76" s="105"/>
      <c r="Q76" s="105"/>
      <c r="R76" s="105"/>
      <c r="S76" s="105"/>
      <c r="T76" s="105"/>
      <c r="U76" s="105"/>
      <c r="V76" s="105"/>
      <c r="W76" s="105"/>
      <c r="X76" s="105"/>
      <c r="Y76" s="105"/>
      <c r="Z76" s="105"/>
      <c r="AA76" s="105"/>
      <c r="AB76" s="105"/>
      <c r="AC76" s="105"/>
      <c r="AD76" s="105"/>
      <c r="AE76" s="105"/>
      <c r="AF76" s="105"/>
      <c r="AG76" s="105"/>
      <c r="AH76" s="105"/>
      <c r="AI76" s="105"/>
      <c r="AJ76" s="105"/>
      <c r="AK76" s="105"/>
      <c r="AL76" s="105"/>
      <c r="AM76" s="105"/>
      <c r="AN76" s="105"/>
      <c r="AO76" s="105"/>
      <c r="AP76" s="105"/>
      <c r="AQ76" s="105"/>
      <c r="AR76" s="105"/>
      <c r="AS76" s="105"/>
      <c r="AT76" s="105"/>
      <c r="AU76" s="105"/>
    </row>
    <row r="77" spans="1:47">
      <c r="A77" s="105"/>
      <c r="B77" s="105"/>
      <c r="C77" s="105"/>
      <c r="D77" s="105"/>
      <c r="E77" s="105"/>
      <c r="F77" s="106"/>
      <c r="G77" s="106"/>
      <c r="H77" s="105"/>
      <c r="I77" s="105"/>
      <c r="J77" s="105"/>
      <c r="K77" s="105"/>
      <c r="L77" s="105"/>
      <c r="M77" s="105"/>
      <c r="N77" s="105"/>
      <c r="O77" s="105"/>
      <c r="P77" s="105"/>
      <c r="Q77" s="105"/>
      <c r="R77" s="105"/>
      <c r="S77" s="105"/>
      <c r="T77" s="105"/>
      <c r="U77" s="105"/>
      <c r="V77" s="105"/>
      <c r="W77" s="105"/>
      <c r="X77" s="105"/>
      <c r="Y77" s="105"/>
      <c r="Z77" s="105"/>
      <c r="AA77" s="105"/>
      <c r="AB77" s="105"/>
      <c r="AC77" s="105"/>
      <c r="AD77" s="105"/>
      <c r="AE77" s="105"/>
      <c r="AF77" s="105"/>
      <c r="AG77" s="105"/>
      <c r="AH77" s="105"/>
      <c r="AI77" s="105"/>
      <c r="AJ77" s="105"/>
      <c r="AK77" s="105"/>
      <c r="AL77" s="105"/>
      <c r="AM77" s="105"/>
      <c r="AN77" s="105"/>
      <c r="AO77" s="105"/>
      <c r="AP77" s="105"/>
      <c r="AQ77" s="105"/>
      <c r="AR77" s="105"/>
      <c r="AS77" s="105"/>
      <c r="AT77" s="105"/>
      <c r="AU77" s="105"/>
    </row>
    <row r="78" spans="1:47">
      <c r="A78" s="105"/>
      <c r="B78" s="105"/>
      <c r="C78" s="105"/>
      <c r="D78" s="105"/>
      <c r="E78" s="105"/>
      <c r="F78" s="106"/>
      <c r="G78" s="106"/>
      <c r="H78" s="105"/>
      <c r="I78" s="105"/>
      <c r="J78" s="105"/>
      <c r="K78" s="105"/>
      <c r="L78" s="105"/>
      <c r="M78" s="105"/>
      <c r="N78" s="105"/>
      <c r="O78" s="105"/>
      <c r="P78" s="105"/>
      <c r="Q78" s="105"/>
      <c r="R78" s="105"/>
      <c r="S78" s="105"/>
      <c r="T78" s="105"/>
      <c r="U78" s="105"/>
      <c r="V78" s="105"/>
      <c r="W78" s="105"/>
      <c r="X78" s="105"/>
      <c r="Y78" s="105"/>
      <c r="Z78" s="105"/>
      <c r="AA78" s="105"/>
      <c r="AB78" s="105"/>
      <c r="AC78" s="105"/>
      <c r="AD78" s="105"/>
      <c r="AE78" s="105"/>
      <c r="AF78" s="105"/>
      <c r="AG78" s="105"/>
      <c r="AH78" s="105"/>
      <c r="AI78" s="105"/>
      <c r="AJ78" s="105"/>
      <c r="AK78" s="105"/>
      <c r="AL78" s="105"/>
      <c r="AM78" s="105"/>
      <c r="AN78" s="105"/>
      <c r="AO78" s="105"/>
      <c r="AP78" s="105"/>
      <c r="AQ78" s="105"/>
      <c r="AR78" s="105"/>
      <c r="AS78" s="105"/>
      <c r="AT78" s="105"/>
      <c r="AU78" s="105"/>
    </row>
    <row r="79" spans="1:47">
      <c r="A79" s="105"/>
      <c r="B79" s="105"/>
      <c r="C79" s="105"/>
      <c r="D79" s="105"/>
      <c r="E79" s="105"/>
      <c r="F79" s="106"/>
      <c r="G79" s="106"/>
      <c r="H79" s="105"/>
      <c r="I79" s="105"/>
      <c r="J79" s="105"/>
      <c r="K79" s="105"/>
      <c r="L79" s="105"/>
      <c r="M79" s="105"/>
      <c r="N79" s="105"/>
      <c r="O79" s="105"/>
      <c r="P79" s="105"/>
      <c r="Q79" s="105"/>
      <c r="R79" s="105"/>
      <c r="S79" s="105"/>
      <c r="T79" s="105"/>
      <c r="U79" s="105"/>
      <c r="V79" s="105"/>
      <c r="W79" s="105"/>
      <c r="X79" s="105"/>
      <c r="Y79" s="105"/>
      <c r="Z79" s="105"/>
      <c r="AA79" s="105"/>
      <c r="AB79" s="105"/>
      <c r="AC79" s="105"/>
      <c r="AD79" s="105"/>
      <c r="AE79" s="105"/>
      <c r="AF79" s="105"/>
      <c r="AG79" s="105"/>
      <c r="AH79" s="105"/>
      <c r="AI79" s="105"/>
      <c r="AJ79" s="105"/>
      <c r="AK79" s="105"/>
      <c r="AL79" s="105"/>
      <c r="AM79" s="105"/>
      <c r="AN79" s="105"/>
      <c r="AO79" s="105"/>
      <c r="AP79" s="105"/>
      <c r="AQ79" s="105"/>
      <c r="AR79" s="105"/>
      <c r="AS79" s="105"/>
      <c r="AT79" s="105"/>
      <c r="AU79" s="105"/>
    </row>
    <row r="80" spans="1:47">
      <c r="A80" s="105"/>
      <c r="B80" s="105"/>
      <c r="C80" s="105"/>
      <c r="D80" s="105"/>
      <c r="E80" s="105"/>
      <c r="F80" s="106"/>
      <c r="G80" s="106"/>
      <c r="H80" s="105"/>
      <c r="I80" s="105"/>
      <c r="J80" s="105"/>
      <c r="K80" s="105"/>
      <c r="L80" s="105"/>
      <c r="M80" s="105"/>
      <c r="N80" s="105"/>
      <c r="O80" s="105"/>
      <c r="P80" s="105"/>
      <c r="Q80" s="105"/>
      <c r="R80" s="105"/>
      <c r="S80" s="105"/>
      <c r="T80" s="105"/>
      <c r="U80" s="105"/>
      <c r="V80" s="105"/>
      <c r="W80" s="105"/>
      <c r="X80" s="105"/>
      <c r="Y80" s="105"/>
      <c r="Z80" s="105"/>
      <c r="AA80" s="105"/>
      <c r="AB80" s="105"/>
      <c r="AC80" s="105"/>
      <c r="AD80" s="105"/>
      <c r="AE80" s="105"/>
      <c r="AF80" s="105"/>
      <c r="AG80" s="105"/>
      <c r="AH80" s="105"/>
      <c r="AI80" s="105"/>
      <c r="AJ80" s="105"/>
      <c r="AK80" s="105"/>
      <c r="AL80" s="105"/>
      <c r="AM80" s="105"/>
      <c r="AN80" s="105"/>
      <c r="AO80" s="105"/>
      <c r="AP80" s="105"/>
      <c r="AQ80" s="105"/>
      <c r="AR80" s="105"/>
      <c r="AS80" s="105"/>
      <c r="AT80" s="105"/>
      <c r="AU80" s="105"/>
    </row>
    <row r="81" spans="1:47">
      <c r="A81" s="105"/>
      <c r="B81" s="105"/>
      <c r="C81" s="105"/>
      <c r="D81" s="105"/>
      <c r="E81" s="105"/>
      <c r="F81" s="106"/>
      <c r="G81" s="106"/>
      <c r="H81" s="105"/>
      <c r="I81" s="105"/>
      <c r="J81" s="105"/>
      <c r="K81" s="105"/>
      <c r="L81" s="105"/>
      <c r="M81" s="105"/>
      <c r="N81" s="105"/>
      <c r="O81" s="105"/>
      <c r="P81" s="105"/>
      <c r="Q81" s="105"/>
      <c r="R81" s="105"/>
      <c r="S81" s="105"/>
      <c r="T81" s="105"/>
      <c r="U81" s="105"/>
      <c r="V81" s="105"/>
      <c r="W81" s="105"/>
      <c r="X81" s="105"/>
      <c r="Y81" s="105"/>
      <c r="Z81" s="105"/>
      <c r="AA81" s="105"/>
      <c r="AB81" s="105"/>
      <c r="AC81" s="105"/>
      <c r="AD81" s="105"/>
      <c r="AE81" s="105"/>
      <c r="AF81" s="105"/>
      <c r="AG81" s="105"/>
      <c r="AH81" s="105"/>
      <c r="AI81" s="105"/>
      <c r="AJ81" s="105"/>
      <c r="AK81" s="105"/>
      <c r="AL81" s="105"/>
      <c r="AM81" s="105"/>
      <c r="AN81" s="105"/>
      <c r="AO81" s="105"/>
      <c r="AP81" s="105"/>
      <c r="AQ81" s="105"/>
      <c r="AR81" s="105"/>
      <c r="AS81" s="105"/>
      <c r="AT81" s="105"/>
      <c r="AU81" s="105"/>
    </row>
    <row r="82" spans="1:47">
      <c r="A82" s="105"/>
      <c r="B82" s="105"/>
      <c r="C82" s="105"/>
      <c r="D82" s="105"/>
      <c r="E82" s="105"/>
      <c r="F82" s="106"/>
      <c r="G82" s="106"/>
      <c r="H82" s="105"/>
      <c r="I82" s="105"/>
      <c r="J82" s="105"/>
      <c r="K82" s="105"/>
      <c r="L82" s="105"/>
      <c r="M82" s="105"/>
      <c r="N82" s="105"/>
      <c r="O82" s="105"/>
      <c r="P82" s="105"/>
      <c r="Q82" s="105"/>
      <c r="R82" s="105"/>
      <c r="S82" s="105"/>
      <c r="T82" s="105"/>
      <c r="U82" s="105"/>
      <c r="V82" s="105"/>
      <c r="W82" s="105"/>
      <c r="X82" s="105"/>
      <c r="Y82" s="105"/>
      <c r="Z82" s="105"/>
      <c r="AA82" s="105"/>
      <c r="AB82" s="105"/>
      <c r="AC82" s="105"/>
      <c r="AD82" s="105"/>
      <c r="AE82" s="105"/>
      <c r="AF82" s="105"/>
      <c r="AG82" s="105"/>
      <c r="AH82" s="105"/>
      <c r="AI82" s="105"/>
      <c r="AJ82" s="105"/>
      <c r="AK82" s="105"/>
      <c r="AL82" s="105"/>
      <c r="AM82" s="105"/>
      <c r="AN82" s="105"/>
      <c r="AO82" s="105"/>
      <c r="AP82" s="105"/>
      <c r="AQ82" s="105"/>
      <c r="AR82" s="105"/>
      <c r="AS82" s="105"/>
      <c r="AT82" s="105"/>
      <c r="AU82" s="105"/>
    </row>
    <row r="83" spans="1:47">
      <c r="A83" s="105"/>
      <c r="B83" s="105"/>
      <c r="C83" s="105"/>
      <c r="D83" s="105"/>
      <c r="E83" s="105"/>
      <c r="F83" s="106"/>
      <c r="G83" s="106"/>
      <c r="H83" s="105"/>
      <c r="I83" s="105"/>
      <c r="J83" s="105"/>
      <c r="K83" s="105"/>
      <c r="L83" s="105"/>
      <c r="M83" s="105"/>
      <c r="N83" s="105"/>
      <c r="O83" s="105"/>
      <c r="P83" s="105"/>
      <c r="Q83" s="105"/>
      <c r="R83" s="105"/>
      <c r="S83" s="105"/>
      <c r="T83" s="105"/>
      <c r="U83" s="105"/>
      <c r="V83" s="105"/>
      <c r="W83" s="105"/>
      <c r="X83" s="105"/>
      <c r="Y83" s="105"/>
      <c r="Z83" s="105"/>
      <c r="AA83" s="105"/>
      <c r="AB83" s="105"/>
      <c r="AC83" s="105"/>
      <c r="AD83" s="105"/>
      <c r="AE83" s="105"/>
      <c r="AF83" s="105"/>
      <c r="AG83" s="105"/>
      <c r="AH83" s="105"/>
      <c r="AI83" s="105"/>
      <c r="AJ83" s="105"/>
      <c r="AK83" s="105"/>
      <c r="AL83" s="105"/>
      <c r="AM83" s="105"/>
      <c r="AN83" s="105"/>
      <c r="AO83" s="105"/>
      <c r="AP83" s="105"/>
      <c r="AQ83" s="105"/>
      <c r="AR83" s="105"/>
      <c r="AS83" s="105"/>
      <c r="AT83" s="105"/>
      <c r="AU83" s="105"/>
    </row>
    <row r="84" spans="1:47">
      <c r="A84" s="105"/>
      <c r="B84" s="105"/>
      <c r="C84" s="105"/>
      <c r="D84" s="105"/>
      <c r="E84" s="105"/>
      <c r="F84" s="106"/>
      <c r="G84" s="106"/>
      <c r="H84" s="105"/>
      <c r="I84" s="105"/>
      <c r="J84" s="105"/>
      <c r="K84" s="105"/>
      <c r="L84" s="105"/>
      <c r="M84" s="105"/>
      <c r="N84" s="105"/>
      <c r="O84" s="105"/>
      <c r="P84" s="105"/>
      <c r="Q84" s="105"/>
      <c r="R84" s="105"/>
      <c r="S84" s="105"/>
      <c r="T84" s="105"/>
      <c r="U84" s="105"/>
      <c r="V84" s="105"/>
      <c r="W84" s="105"/>
      <c r="X84" s="105"/>
      <c r="Y84" s="105"/>
      <c r="Z84" s="105"/>
      <c r="AA84" s="105"/>
      <c r="AB84" s="105"/>
      <c r="AC84" s="105"/>
      <c r="AD84" s="105"/>
      <c r="AE84" s="105"/>
      <c r="AF84" s="105"/>
      <c r="AG84" s="105"/>
      <c r="AH84" s="105"/>
      <c r="AI84" s="105"/>
      <c r="AJ84" s="105"/>
      <c r="AK84" s="105"/>
      <c r="AL84" s="105"/>
      <c r="AM84" s="105"/>
      <c r="AN84" s="105"/>
      <c r="AO84" s="105"/>
      <c r="AP84" s="105"/>
      <c r="AQ84" s="105"/>
      <c r="AR84" s="105"/>
      <c r="AS84" s="105"/>
      <c r="AT84" s="105"/>
      <c r="AU84" s="105"/>
    </row>
    <row r="85" spans="1:47">
      <c r="A85" s="105"/>
      <c r="B85" s="105"/>
      <c r="C85" s="105"/>
      <c r="D85" s="105"/>
      <c r="E85" s="105"/>
      <c r="F85" s="106"/>
      <c r="G85" s="106"/>
      <c r="H85" s="105"/>
      <c r="I85" s="105"/>
      <c r="J85" s="105"/>
      <c r="K85" s="105"/>
      <c r="L85" s="105"/>
      <c r="M85" s="105"/>
      <c r="N85" s="105"/>
      <c r="O85" s="105"/>
      <c r="P85" s="105"/>
      <c r="Q85" s="105"/>
      <c r="R85" s="105"/>
      <c r="S85" s="105"/>
      <c r="T85" s="105"/>
      <c r="U85" s="105"/>
      <c r="V85" s="105"/>
      <c r="W85" s="105"/>
      <c r="X85" s="105"/>
      <c r="Y85" s="105"/>
      <c r="Z85" s="105"/>
      <c r="AA85" s="105"/>
      <c r="AB85" s="105"/>
      <c r="AC85" s="105"/>
      <c r="AD85" s="105"/>
      <c r="AE85" s="105"/>
      <c r="AF85" s="105"/>
      <c r="AG85" s="105"/>
      <c r="AH85" s="105"/>
      <c r="AI85" s="105"/>
      <c r="AJ85" s="105"/>
      <c r="AK85" s="105"/>
      <c r="AL85" s="105"/>
      <c r="AM85" s="105"/>
      <c r="AN85" s="105"/>
      <c r="AO85" s="105"/>
      <c r="AP85" s="105"/>
      <c r="AQ85" s="105"/>
      <c r="AR85" s="105"/>
      <c r="AS85" s="105"/>
      <c r="AT85" s="105"/>
      <c r="AU85" s="105"/>
    </row>
    <row r="86" spans="1:47">
      <c r="A86" s="105"/>
      <c r="B86" s="105"/>
      <c r="C86" s="105"/>
      <c r="D86" s="105"/>
      <c r="E86" s="105"/>
      <c r="F86" s="106"/>
      <c r="G86" s="106"/>
      <c r="H86" s="105"/>
      <c r="I86" s="105"/>
      <c r="J86" s="105"/>
      <c r="K86" s="105"/>
      <c r="L86" s="105"/>
      <c r="M86" s="105"/>
      <c r="N86" s="105"/>
      <c r="O86" s="105"/>
      <c r="P86" s="105"/>
      <c r="Q86" s="105"/>
      <c r="R86" s="105"/>
      <c r="S86" s="105"/>
      <c r="T86" s="105"/>
      <c r="U86" s="105"/>
      <c r="V86" s="105"/>
      <c r="W86" s="105"/>
      <c r="X86" s="105"/>
      <c r="Y86" s="105"/>
      <c r="Z86" s="105"/>
      <c r="AA86" s="105"/>
      <c r="AB86" s="105"/>
      <c r="AC86" s="105"/>
      <c r="AD86" s="105"/>
      <c r="AE86" s="105"/>
      <c r="AF86" s="105"/>
      <c r="AG86" s="105"/>
      <c r="AH86" s="105"/>
      <c r="AI86" s="105"/>
      <c r="AJ86" s="105"/>
      <c r="AK86" s="105"/>
      <c r="AL86" s="105"/>
      <c r="AM86" s="105"/>
      <c r="AN86" s="105"/>
      <c r="AO86" s="105"/>
      <c r="AP86" s="105"/>
      <c r="AQ86" s="105"/>
      <c r="AR86" s="105"/>
      <c r="AS86" s="105"/>
      <c r="AT86" s="105"/>
      <c r="AU86" s="105"/>
    </row>
    <row r="87" spans="1:47">
      <c r="A87" s="118"/>
      <c r="B87" s="118"/>
      <c r="C87" s="118"/>
      <c r="D87" s="118"/>
      <c r="E87" s="118"/>
      <c r="F87" s="127"/>
      <c r="G87" s="127"/>
      <c r="H87" s="118"/>
      <c r="I87" s="118"/>
      <c r="J87" s="118"/>
      <c r="K87" s="118"/>
      <c r="L87" s="118"/>
      <c r="M87" s="118"/>
      <c r="N87" s="118"/>
      <c r="O87" s="118"/>
      <c r="P87" s="118"/>
      <c r="Q87" s="118"/>
      <c r="R87" s="118"/>
      <c r="S87" s="118"/>
      <c r="T87" s="118"/>
      <c r="U87" s="118"/>
      <c r="V87" s="118"/>
      <c r="W87" s="118"/>
      <c r="X87" s="118"/>
      <c r="Y87" s="118"/>
      <c r="Z87" s="118"/>
      <c r="AA87" s="118"/>
      <c r="AB87" s="118"/>
      <c r="AC87" s="118"/>
      <c r="AD87" s="118"/>
      <c r="AE87" s="118"/>
      <c r="AF87" s="118"/>
      <c r="AG87" s="118"/>
      <c r="AH87" s="118"/>
      <c r="AI87" s="118"/>
      <c r="AJ87" s="118"/>
      <c r="AK87" s="118"/>
      <c r="AL87" s="118"/>
      <c r="AM87" s="118"/>
      <c r="AN87" s="118"/>
      <c r="AO87" s="118"/>
      <c r="AP87" s="118"/>
      <c r="AQ87" s="118"/>
      <c r="AR87" s="118"/>
      <c r="AS87" s="118"/>
      <c r="AT87" s="118"/>
      <c r="AU87" s="118"/>
    </row>
    <row r="88" spans="1:47">
      <c r="A88" s="118"/>
      <c r="B88" s="118"/>
      <c r="C88" s="118"/>
      <c r="D88" s="118"/>
      <c r="E88" s="118"/>
      <c r="F88" s="127"/>
      <c r="G88" s="127"/>
      <c r="H88" s="118"/>
      <c r="I88" s="118"/>
      <c r="J88" s="118"/>
      <c r="K88" s="118"/>
      <c r="L88" s="118"/>
      <c r="M88" s="118"/>
      <c r="N88" s="118"/>
      <c r="O88" s="118"/>
      <c r="P88" s="118"/>
      <c r="Q88" s="118"/>
      <c r="R88" s="118"/>
      <c r="S88" s="118"/>
      <c r="T88" s="118"/>
      <c r="U88" s="118"/>
      <c r="V88" s="118"/>
      <c r="W88" s="118"/>
      <c r="X88" s="118"/>
      <c r="Y88" s="118"/>
      <c r="Z88" s="118"/>
      <c r="AA88" s="118"/>
      <c r="AB88" s="118"/>
      <c r="AC88" s="118"/>
      <c r="AD88" s="118"/>
      <c r="AE88" s="118"/>
      <c r="AF88" s="118"/>
      <c r="AG88" s="118"/>
      <c r="AH88" s="118"/>
      <c r="AI88" s="118"/>
      <c r="AJ88" s="118"/>
      <c r="AK88" s="118"/>
      <c r="AL88" s="118"/>
      <c r="AM88" s="118"/>
      <c r="AN88" s="118"/>
      <c r="AO88" s="118"/>
      <c r="AP88" s="118"/>
      <c r="AQ88" s="118"/>
      <c r="AR88" s="118"/>
      <c r="AS88" s="118"/>
      <c r="AT88" s="118"/>
      <c r="AU88" s="118"/>
    </row>
  </sheetData>
  <customSheetViews>
    <customSheetView guid="{0B5AE87E-5094-483C-B162-40616F3898A2}" scale="90" showGridLines="0" topLeftCell="A5">
      <selection activeCell="I16" sqref="I16"/>
      <pageMargins left="0.75" right="0.75" top="1" bottom="1" header="0.5" footer="0.5"/>
      <pageSetup paperSize="9" orientation="landscape" horizontalDpi="1200" verticalDpi="1200"/>
      <headerFooter alignWithMargins="0"/>
    </customSheetView>
    <customSheetView guid="{33A8337A-D9C9-4792-85CF-B434512345B4}" scale="90" showGridLines="0" topLeftCell="A5">
      <selection activeCell="I16" sqref="I16"/>
      <pageMargins left="0.75" right="0.75" top="1" bottom="1" header="0.5" footer="0.5"/>
      <pageSetup paperSize="9" orientation="landscape" horizontalDpi="1200" verticalDpi="1200"/>
      <headerFooter alignWithMargins="0"/>
    </customSheetView>
  </customSheetViews>
  <mergeCells count="7">
    <mergeCell ref="A59:E59"/>
    <mergeCell ref="A3:H3"/>
    <mergeCell ref="A32:B32"/>
    <mergeCell ref="C32:H32"/>
    <mergeCell ref="A33:B33"/>
    <mergeCell ref="E33:H33"/>
    <mergeCell ref="A34:H34"/>
  </mergeCells>
  <phoneticPr fontId="44" type="noConversion"/>
  <conditionalFormatting sqref="E6:E31 B6:C31">
    <cfRule type="cellIs" dxfId="146" priority="5" stopIfTrue="1" operator="equal">
      <formula>"√"</formula>
    </cfRule>
  </conditionalFormatting>
  <conditionalFormatting sqref="D22">
    <cfRule type="cellIs" dxfId="145" priority="2" stopIfTrue="1" operator="equal">
      <formula>"√"</formula>
    </cfRule>
  </conditionalFormatting>
  <conditionalFormatting sqref="D14">
    <cfRule type="cellIs" dxfId="144" priority="1" stopIfTrue="1" operator="equal">
      <formula>"√"</formula>
    </cfRule>
  </conditionalFormatting>
  <dataValidations count="2">
    <dataValidation type="list" allowBlank="1" showInputMessage="1" showErrorMessage="1" sqref="E30:E31">
      <formula1>"√,×,-"</formula1>
    </dataValidation>
    <dataValidation type="list" allowBlank="1" showInputMessage="1" showErrorMessage="1" sqref="H6:H31">
      <formula1>"√"</formula1>
    </dataValidation>
  </dataValidations>
  <pageMargins left="0.75" right="0.75" top="1" bottom="1" header="0.5" footer="0.5"/>
  <pageSetup paperSize="9" orientation="landscape" horizontalDpi="1200" verticalDpi="1200" r:id="rId1"/>
  <headerFooter alignWithMargins="0"/>
</worksheet>
</file>

<file path=xl/worksheets/sheet4.xml><?xml version="1.0" encoding="utf-8"?>
<worksheet xmlns="http://schemas.openxmlformats.org/spreadsheetml/2006/main" xmlns:r="http://schemas.openxmlformats.org/officeDocument/2006/relationships">
  <dimension ref="A1:AF1569"/>
  <sheetViews>
    <sheetView tabSelected="1" topLeftCell="E4" zoomScale="85" zoomScaleNormal="85" workbookViewId="0">
      <pane ySplit="7" topLeftCell="A11" activePane="bottomLeft" state="frozen"/>
      <selection activeCell="A4" sqref="A4"/>
      <selection pane="bottomLeft" activeCell="S12" sqref="S12"/>
    </sheetView>
  </sheetViews>
  <sheetFormatPr defaultColWidth="9" defaultRowHeight="12" outlineLevelRow="1" outlineLevelCol="1"/>
  <cols>
    <col min="1" max="1" width="1.125" style="55" customWidth="1"/>
    <col min="2" max="2" width="4.25" style="58" customWidth="1"/>
    <col min="3" max="3" width="7.125" style="58" customWidth="1" outlineLevel="1"/>
    <col min="4" max="4" width="11.5" style="58" customWidth="1" outlineLevel="1"/>
    <col min="5" max="5" width="9.5" style="59" customWidth="1" outlineLevel="1"/>
    <col min="6" max="6" width="10.25" style="58" customWidth="1" outlineLevel="1"/>
    <col min="7" max="7" width="12" style="58" customWidth="1"/>
    <col min="8" max="9" width="7" style="58" customWidth="1"/>
    <col min="10" max="11" width="23.75" style="59" customWidth="1"/>
    <col min="12" max="13" width="26.875" style="59" customWidth="1" outlineLevel="1"/>
    <col min="14" max="14" width="21.125" style="59" customWidth="1" outlineLevel="1"/>
    <col min="15" max="15" width="8" style="59" customWidth="1" outlineLevel="1"/>
    <col min="16" max="16" width="8" style="55" customWidth="1" outlineLevel="1"/>
    <col min="17" max="17" width="8.75" style="55" customWidth="1" outlineLevel="1"/>
    <col min="18" max="18" width="8.5" style="55" customWidth="1" outlineLevel="1"/>
    <col min="19" max="19" width="10" style="55" customWidth="1"/>
    <col min="20" max="22" width="9" style="55" customWidth="1" outlineLevel="1"/>
    <col min="23" max="23" width="10" style="55" customWidth="1"/>
    <col min="24" max="26" width="9" style="55" outlineLevel="1"/>
    <col min="27" max="27" width="10" style="55" customWidth="1"/>
    <col min="28" max="30" width="9" style="55" outlineLevel="1"/>
    <col min="31" max="16384" width="9" style="55"/>
  </cols>
  <sheetData>
    <row r="1" spans="1:31" ht="4.5" customHeight="1"/>
    <row r="2" spans="1:31" s="5" customFormat="1" ht="21.75" customHeight="1">
      <c r="B2" s="260" t="s">
        <v>0</v>
      </c>
      <c r="C2" s="260"/>
      <c r="D2" s="260"/>
      <c r="E2" s="260"/>
      <c r="F2" s="260"/>
      <c r="G2" s="260"/>
      <c r="H2" s="260"/>
      <c r="I2" s="260"/>
      <c r="J2" s="261"/>
      <c r="K2" s="260"/>
      <c r="L2" s="261"/>
      <c r="M2" s="261"/>
      <c r="N2" s="260"/>
      <c r="O2" s="260"/>
      <c r="P2" s="260"/>
      <c r="Q2" s="11"/>
      <c r="R2" s="11"/>
    </row>
    <row r="3" spans="1:31" s="5" customFormat="1" ht="6" customHeight="1">
      <c r="B3" s="12"/>
      <c r="C3" s="12"/>
      <c r="D3" s="12"/>
      <c r="E3" s="12"/>
      <c r="F3" s="12"/>
      <c r="G3" s="12"/>
      <c r="H3" s="12"/>
      <c r="I3" s="12"/>
      <c r="J3" s="94"/>
      <c r="K3" s="12"/>
      <c r="L3" s="94"/>
      <c r="M3" s="94"/>
      <c r="N3" s="12"/>
      <c r="O3" s="12"/>
      <c r="P3" s="12"/>
      <c r="Q3" s="12"/>
      <c r="R3" s="12"/>
    </row>
    <row r="4" spans="1:31" s="5" customFormat="1" ht="18" customHeight="1">
      <c r="A4" s="60"/>
      <c r="B4" s="206"/>
      <c r="C4" s="206"/>
      <c r="D4" s="206"/>
      <c r="E4" s="206"/>
      <c r="F4" s="206"/>
      <c r="G4" s="206"/>
      <c r="H4" s="206"/>
      <c r="I4" s="206"/>
      <c r="J4" s="207"/>
      <c r="K4" s="206"/>
      <c r="L4" s="207"/>
      <c r="M4" s="207"/>
      <c r="N4" s="206"/>
      <c r="O4" s="206"/>
      <c r="P4" s="206"/>
      <c r="Q4" s="206"/>
      <c r="R4" s="206"/>
      <c r="S4" s="262" t="s">
        <v>26</v>
      </c>
      <c r="T4" s="262"/>
      <c r="U4" s="262"/>
      <c r="V4" s="262"/>
      <c r="W4" s="262" t="s">
        <v>27</v>
      </c>
      <c r="X4" s="262"/>
      <c r="Y4" s="262"/>
      <c r="Z4" s="262"/>
      <c r="AA4" s="262" t="s">
        <v>28</v>
      </c>
      <c r="AB4" s="262"/>
      <c r="AC4" s="262"/>
      <c r="AD4" s="262"/>
      <c r="AE4" s="208"/>
    </row>
    <row r="5" spans="1:31" s="5" customFormat="1" ht="18" hidden="1" customHeight="1" outlineLevel="1">
      <c r="A5" s="60"/>
      <c r="B5" s="206"/>
      <c r="C5" s="206"/>
      <c r="D5" s="206"/>
      <c r="E5" s="206"/>
      <c r="F5" s="206"/>
      <c r="G5" s="206"/>
      <c r="H5" s="206"/>
      <c r="I5" s="206"/>
      <c r="J5" s="207"/>
      <c r="K5" s="206"/>
      <c r="L5" s="207"/>
      <c r="M5" s="207"/>
      <c r="N5" s="206"/>
      <c r="O5" s="206"/>
      <c r="P5" s="206"/>
      <c r="Q5" s="206"/>
      <c r="R5" s="206"/>
      <c r="S5" s="209" t="s">
        <v>29</v>
      </c>
      <c r="T5" s="209" t="e">
        <f>SUMPRODUCT(($G$11:$G$1991&lt;&gt;"")*($Q$11:$Q$1990&lt;&gt;"删除"))</f>
        <v>#N/A</v>
      </c>
      <c r="U5" s="209" t="s">
        <v>30</v>
      </c>
      <c r="V5" s="209">
        <f>SUMPRODUCT(($R$11:$R$1787="是")*(S$11:S$1787=U$5))</f>
        <v>0</v>
      </c>
      <c r="W5" s="209" t="s">
        <v>29</v>
      </c>
      <c r="X5" s="209" t="e">
        <f t="array" ref="X5">SUMPRODUCT(($G$11:$G$1991&lt;&gt;"")*($Q$11:$Q$1990&lt;&gt;"删除"))</f>
        <v>#N/A</v>
      </c>
      <c r="Y5" s="209" t="s">
        <v>30</v>
      </c>
      <c r="Z5" s="209">
        <f>SUMPRODUCT(($R$11:$R$1787="是")*(W$11:W$1787=Y$5))</f>
        <v>0</v>
      </c>
      <c r="AA5" s="209" t="s">
        <v>29</v>
      </c>
      <c r="AB5" s="209" t="e">
        <f t="array" ref="AB5">SUMPRODUCT(($G$11:$G$1991&lt;&gt;"")*($Q$11:$Q$1990&lt;&gt;"删除"))</f>
        <v>#N/A</v>
      </c>
      <c r="AC5" s="209" t="s">
        <v>30</v>
      </c>
      <c r="AD5" s="209">
        <f>SUMPRODUCT(($R$11:$R$1787="是")*(AA$11:AA$1787=AC$5))</f>
        <v>0</v>
      </c>
      <c r="AE5" s="208"/>
    </row>
    <row r="6" spans="1:31" s="5" customFormat="1" ht="18" hidden="1" customHeight="1" outlineLevel="1">
      <c r="A6" s="60"/>
      <c r="B6" s="206"/>
      <c r="C6" s="206"/>
      <c r="D6" s="206"/>
      <c r="E6" s="206"/>
      <c r="F6" s="206"/>
      <c r="G6" s="206"/>
      <c r="H6" s="206"/>
      <c r="I6" s="206"/>
      <c r="J6" s="207"/>
      <c r="K6" s="206"/>
      <c r="L6" s="207"/>
      <c r="M6" s="207"/>
      <c r="N6" s="206"/>
      <c r="O6" s="206"/>
      <c r="P6" s="206"/>
      <c r="Q6" s="206"/>
      <c r="R6" s="206"/>
      <c r="S6" s="209" t="s">
        <v>31</v>
      </c>
      <c r="T6" s="209">
        <f t="array" ref="T6">COUNTIF($R$10:$R$1787,"是")</f>
        <v>4</v>
      </c>
      <c r="U6" s="209" t="s">
        <v>32</v>
      </c>
      <c r="V6" s="209">
        <f>SUMPRODUCT(($R$11:$R$1787="是")*(S$11:S$1787=U$6))</f>
        <v>0</v>
      </c>
      <c r="W6" s="209" t="s">
        <v>31</v>
      </c>
      <c r="X6" s="209">
        <f t="array" ref="X6">COUNTIF($R$10:$R$1787,"是")</f>
        <v>4</v>
      </c>
      <c r="Y6" s="209" t="s">
        <v>32</v>
      </c>
      <c r="Z6" s="209">
        <f>SUMPRODUCT(($R$11:$R$1787="是")*(W$11:W$1787=Y$6))</f>
        <v>0</v>
      </c>
      <c r="AA6" s="209" t="s">
        <v>31</v>
      </c>
      <c r="AB6" s="209">
        <f t="array" ref="AB6">COUNTIF($R$10:$R$1787,"是")</f>
        <v>4</v>
      </c>
      <c r="AC6" s="209" t="s">
        <v>32</v>
      </c>
      <c r="AD6" s="209">
        <f>SUMPRODUCT(($R$11:$R$1787="是")*(AA$11:AA$1787=AC$6))</f>
        <v>0</v>
      </c>
      <c r="AE6" s="208"/>
    </row>
    <row r="7" spans="1:31" s="5" customFormat="1" ht="18" hidden="1" customHeight="1" outlineLevel="1">
      <c r="A7" s="60"/>
      <c r="B7" s="206"/>
      <c r="C7" s="206"/>
      <c r="D7" s="206"/>
      <c r="E7" s="206"/>
      <c r="F7" s="206"/>
      <c r="G7" s="206"/>
      <c r="H7" s="206"/>
      <c r="I7" s="206"/>
      <c r="J7" s="207"/>
      <c r="K7" s="206"/>
      <c r="L7" s="207"/>
      <c r="M7" s="207"/>
      <c r="N7" s="206"/>
      <c r="O7" s="206"/>
      <c r="P7" s="206"/>
      <c r="Q7" s="206"/>
      <c r="R7" s="206"/>
      <c r="S7" s="209" t="s">
        <v>33</v>
      </c>
      <c r="T7" s="209">
        <f>IF(V5+V6+V7=0,0%,(V5+V6+V7)/(T6))</f>
        <v>0</v>
      </c>
      <c r="U7" s="209" t="s">
        <v>34</v>
      </c>
      <c r="V7" s="209">
        <f>SUMPRODUCT(($R$11:$R$1787="是")*(S$11:S$1787=U$7))</f>
        <v>0</v>
      </c>
      <c r="W7" s="209" t="s">
        <v>33</v>
      </c>
      <c r="X7" s="209">
        <f>IF(Z5+Z6+Z7=0,0%,(Z5+Z6+Z7)/(X6))</f>
        <v>0</v>
      </c>
      <c r="Y7" s="209" t="s">
        <v>34</v>
      </c>
      <c r="Z7" s="209">
        <f>SUMPRODUCT(($R$11:$R$1787="是")*(W$11:W$1787=Y$7))</f>
        <v>0</v>
      </c>
      <c r="AA7" s="209" t="s">
        <v>33</v>
      </c>
      <c r="AB7" s="209">
        <f>IF(AD5+AD6+AD7=0,0%,(AD5+AD6+AD7)/(AB6))</f>
        <v>0</v>
      </c>
      <c r="AC7" s="209" t="s">
        <v>34</v>
      </c>
      <c r="AD7" s="209">
        <f>SUMPRODUCT(($R$11:$R$1787="是")*(AA$11:AA$1787=AC$7))</f>
        <v>0</v>
      </c>
      <c r="AE7" s="208"/>
    </row>
    <row r="8" spans="1:31" s="5" customFormat="1" ht="57" hidden="1" customHeight="1" outlineLevel="1">
      <c r="A8" s="60"/>
      <c r="B8" s="206"/>
      <c r="C8" s="206"/>
      <c r="D8" s="210" t="s">
        <v>967</v>
      </c>
      <c r="E8" s="210" t="s">
        <v>35</v>
      </c>
      <c r="F8" s="210" t="s">
        <v>36</v>
      </c>
      <c r="G8" s="210" t="s">
        <v>37</v>
      </c>
      <c r="H8" s="206"/>
      <c r="I8" s="206"/>
      <c r="J8" s="207"/>
      <c r="K8" s="206"/>
      <c r="L8" s="207"/>
      <c r="M8" s="207"/>
      <c r="N8" s="206"/>
      <c r="O8" s="206"/>
      <c r="P8" s="206"/>
      <c r="Q8" s="206"/>
      <c r="R8" s="206"/>
      <c r="S8" s="209" t="s">
        <v>38</v>
      </c>
      <c r="T8" s="209">
        <f t="array" ref="T8">IF(V5=0,0%,V5/(V5+V6+V7))</f>
        <v>0</v>
      </c>
      <c r="U8" s="209" t="s">
        <v>39</v>
      </c>
      <c r="V8" s="209">
        <f>SUMPRODUCT(($R$11:$R$1787="是")*(S$11:S$1787=U$8))</f>
        <v>0</v>
      </c>
      <c r="W8" s="209" t="s">
        <v>38</v>
      </c>
      <c r="X8" s="209">
        <f t="array" ref="X8">IF(Z5=0,0%,Z5/(Z5+Z6+Z7))</f>
        <v>0</v>
      </c>
      <c r="Y8" s="209" t="s">
        <v>39</v>
      </c>
      <c r="Z8" s="209">
        <f>SUMPRODUCT(($R$11:$R$1787="是")*(W$11:W$1787=Y$8))</f>
        <v>0</v>
      </c>
      <c r="AA8" s="209" t="s">
        <v>38</v>
      </c>
      <c r="AB8" s="209">
        <f t="array" ref="AB8">IF(AD5=0,0%,AD5/(AD5+AD6+AD7))</f>
        <v>0</v>
      </c>
      <c r="AC8" s="209" t="s">
        <v>39</v>
      </c>
      <c r="AD8" s="209">
        <f>SUMPRODUCT(($R$11:$R$1787="是")*(AA$11:AA$1787=AC$8))</f>
        <v>0</v>
      </c>
      <c r="AE8" s="208"/>
    </row>
    <row r="9" spans="1:31" s="5" customFormat="1" ht="48" hidden="1" customHeight="1" outlineLevel="1">
      <c r="A9" s="60"/>
      <c r="B9" s="206"/>
      <c r="C9" s="206"/>
      <c r="D9" s="206" t="s">
        <v>968</v>
      </c>
      <c r="E9" s="206" t="s">
        <v>965</v>
      </c>
      <c r="F9" s="206"/>
      <c r="G9" s="206" t="s">
        <v>964</v>
      </c>
      <c r="H9" s="206"/>
      <c r="I9" s="206"/>
      <c r="J9" s="207"/>
      <c r="K9" s="206"/>
      <c r="L9" s="207"/>
      <c r="M9" s="207"/>
      <c r="N9" s="206"/>
      <c r="O9" s="206"/>
      <c r="P9" s="206"/>
      <c r="Q9" s="206"/>
      <c r="R9" s="206"/>
      <c r="S9" s="209" t="s">
        <v>40</v>
      </c>
      <c r="T9" s="209">
        <f t="array" ref="T9">SUMPRODUCT(($R$11:$R$1787="是")*(S$11:S$1787=S9))</f>
        <v>0</v>
      </c>
      <c r="U9" s="209" t="s">
        <v>41</v>
      </c>
      <c r="V9" s="209">
        <f t="array" ref="V9">(T6-V8-V7-V6-V5-T9)</f>
        <v>4</v>
      </c>
      <c r="W9" s="209" t="s">
        <v>40</v>
      </c>
      <c r="X9" s="209">
        <f t="array" ref="X9">SUMPRODUCT(($R$11:$R$1787="是")*(W$11:W$1787=W9))</f>
        <v>0</v>
      </c>
      <c r="Y9" s="209" t="s">
        <v>41</v>
      </c>
      <c r="Z9" s="209">
        <f t="array" ref="Z9">(X6-Z8-Z7-Z6-Z5-X9)</f>
        <v>4</v>
      </c>
      <c r="AA9" s="209" t="s">
        <v>40</v>
      </c>
      <c r="AB9" s="209">
        <f t="array" ref="AB9">SUMPRODUCT(($R$11:$R$1787="是")*(AA$11:AA$1787=AA9))</f>
        <v>0</v>
      </c>
      <c r="AC9" s="209" t="s">
        <v>41</v>
      </c>
      <c r="AD9" s="209">
        <f t="array" ref="AD9">(AB6-AD8-AD7-AD6-AD5-AB9)</f>
        <v>4</v>
      </c>
      <c r="AE9" s="208"/>
    </row>
    <row r="10" spans="1:31" s="54" customFormat="1" ht="17.25" customHeight="1" collapsed="1">
      <c r="A10" s="62"/>
      <c r="B10" s="211" t="s">
        <v>42</v>
      </c>
      <c r="C10" s="211" t="s">
        <v>16</v>
      </c>
      <c r="D10" s="211" t="s">
        <v>43</v>
      </c>
      <c r="E10" s="211" t="s">
        <v>44</v>
      </c>
      <c r="F10" s="211" t="s">
        <v>45</v>
      </c>
      <c r="G10" s="211" t="s">
        <v>46</v>
      </c>
      <c r="H10" s="211" t="s">
        <v>47</v>
      </c>
      <c r="I10" s="211" t="s">
        <v>48</v>
      </c>
      <c r="J10" s="212" t="s">
        <v>329</v>
      </c>
      <c r="K10" s="211" t="s">
        <v>50</v>
      </c>
      <c r="L10" s="213" t="s">
        <v>51</v>
      </c>
      <c r="M10" s="213" t="s">
        <v>52</v>
      </c>
      <c r="N10" s="69" t="s">
        <v>53</v>
      </c>
      <c r="O10" s="69" t="s">
        <v>611</v>
      </c>
      <c r="P10" s="211" t="s">
        <v>55</v>
      </c>
      <c r="Q10" s="211" t="s">
        <v>56</v>
      </c>
      <c r="R10" s="211" t="s">
        <v>31</v>
      </c>
      <c r="S10" s="69" t="s">
        <v>57</v>
      </c>
      <c r="T10" s="211" t="s">
        <v>58</v>
      </c>
      <c r="U10" s="69" t="s">
        <v>59</v>
      </c>
      <c r="V10" s="211" t="s">
        <v>60</v>
      </c>
      <c r="W10" s="69" t="s">
        <v>57</v>
      </c>
      <c r="X10" s="211" t="s">
        <v>58</v>
      </c>
      <c r="Y10" s="69" t="s">
        <v>59</v>
      </c>
      <c r="Z10" s="211" t="s">
        <v>60</v>
      </c>
      <c r="AA10" s="69" t="s">
        <v>57</v>
      </c>
      <c r="AB10" s="211" t="s">
        <v>58</v>
      </c>
      <c r="AC10" s="69" t="s">
        <v>59</v>
      </c>
      <c r="AD10" s="211" t="s">
        <v>60</v>
      </c>
      <c r="AE10" s="214" t="s">
        <v>61</v>
      </c>
    </row>
    <row r="11" spans="1:31" ht="168">
      <c r="A11" s="23"/>
      <c r="B11" s="215">
        <f>SUBTOTAL(103,$C$11:C11)</f>
        <v>1</v>
      </c>
      <c r="C11" s="215">
        <f>测试大纲!$A$13</f>
        <v>3</v>
      </c>
      <c r="D11" s="216" t="s">
        <v>159</v>
      </c>
      <c r="E11" s="217" t="s">
        <v>152</v>
      </c>
      <c r="F11" s="218" t="s">
        <v>151</v>
      </c>
      <c r="G11" s="218" t="str">
        <f>$D$9 &amp; "-"&amp;测试大纲!I$13&amp;"-"&amp;TEXT(SUBTOTAL(103,$C$11:C11),"000")</f>
        <v>Web-LGBB-001</v>
      </c>
      <c r="H11" s="219" t="s">
        <v>337</v>
      </c>
      <c r="I11" s="219" t="s">
        <v>62</v>
      </c>
      <c r="J11" s="220" t="s">
        <v>539</v>
      </c>
      <c r="K11" s="217" t="s">
        <v>975</v>
      </c>
      <c r="L11" s="221"/>
      <c r="M11" s="215"/>
      <c r="N11" s="221" t="s">
        <v>829</v>
      </c>
      <c r="O11" s="214"/>
      <c r="Q11" s="222"/>
      <c r="R11" s="223"/>
      <c r="S11" s="223"/>
      <c r="T11" s="222"/>
      <c r="U11" s="214"/>
      <c r="V11" s="222"/>
      <c r="W11" s="223"/>
      <c r="X11" s="222"/>
      <c r="Y11" s="214"/>
      <c r="Z11" s="222"/>
      <c r="AA11" s="223"/>
      <c r="AB11" s="222"/>
      <c r="AC11" s="214"/>
      <c r="AD11" s="222"/>
      <c r="AE11" s="222"/>
    </row>
    <row r="12" spans="1:31" ht="36">
      <c r="A12" s="23"/>
      <c r="B12" s="215">
        <f>SUBTOTAL(103,$C$11:C12)</f>
        <v>2</v>
      </c>
      <c r="C12" s="215">
        <f>测试大纲!$A$13</f>
        <v>3</v>
      </c>
      <c r="D12" s="216" t="s">
        <v>159</v>
      </c>
      <c r="E12" s="217" t="s">
        <v>152</v>
      </c>
      <c r="F12" s="218" t="s">
        <v>151</v>
      </c>
      <c r="G12" s="218" t="str">
        <f>$D$9 &amp; "-"&amp;测试大纲!I$13&amp;"-"&amp;TEXT(SUBTOTAL(103,$C$11:C12),"000")</f>
        <v>Web-LGBB-002</v>
      </c>
      <c r="H12" s="219" t="s">
        <v>338</v>
      </c>
      <c r="I12" s="219" t="s">
        <v>62</v>
      </c>
      <c r="J12" s="220" t="s">
        <v>564</v>
      </c>
      <c r="K12" s="215" t="s">
        <v>975</v>
      </c>
      <c r="L12" s="215"/>
      <c r="M12" s="215"/>
      <c r="N12" s="220" t="s">
        <v>520</v>
      </c>
      <c r="O12" s="214"/>
      <c r="P12" s="222"/>
      <c r="Q12" s="222"/>
      <c r="R12" s="223"/>
      <c r="S12" s="223"/>
      <c r="T12" s="222"/>
      <c r="U12" s="214"/>
      <c r="V12" s="222"/>
      <c r="W12" s="223"/>
      <c r="X12" s="222"/>
      <c r="Y12" s="214"/>
      <c r="Z12" s="222"/>
      <c r="AA12" s="223"/>
      <c r="AB12" s="222"/>
      <c r="AC12" s="214"/>
      <c r="AD12" s="222"/>
      <c r="AE12" s="222"/>
    </row>
    <row r="13" spans="1:31" ht="24">
      <c r="A13" s="23"/>
      <c r="B13" s="215">
        <f>SUBTOTAL(103,$C$11:C13)</f>
        <v>3</v>
      </c>
      <c r="C13" s="215">
        <f>测试大纲!$A$13</f>
        <v>3</v>
      </c>
      <c r="D13" s="216" t="s">
        <v>159</v>
      </c>
      <c r="E13" s="217" t="s">
        <v>152</v>
      </c>
      <c r="F13" s="218" t="s">
        <v>151</v>
      </c>
      <c r="G13" s="218" t="str">
        <f>$D$9 &amp; "-"&amp;测试大纲!I$13&amp;"-"&amp;TEXT(SUBTOTAL(103,$C$11:C13),"000")</f>
        <v>Web-LGBB-003</v>
      </c>
      <c r="H13" s="219" t="s">
        <v>337</v>
      </c>
      <c r="I13" s="219" t="s">
        <v>62</v>
      </c>
      <c r="J13" s="220" t="s">
        <v>565</v>
      </c>
      <c r="K13" s="217" t="s">
        <v>975</v>
      </c>
      <c r="L13" s="215" t="s">
        <v>472</v>
      </c>
      <c r="M13" s="215"/>
      <c r="N13" s="220" t="s">
        <v>473</v>
      </c>
      <c r="O13" s="214"/>
      <c r="P13" s="222"/>
      <c r="Q13" s="222"/>
      <c r="R13" s="223"/>
      <c r="S13" s="223"/>
      <c r="T13" s="222"/>
      <c r="U13" s="214"/>
      <c r="V13" s="222"/>
      <c r="W13" s="223"/>
      <c r="X13" s="222"/>
      <c r="Y13" s="214"/>
      <c r="Z13" s="222"/>
      <c r="AA13" s="223"/>
      <c r="AB13" s="222"/>
      <c r="AC13" s="214"/>
      <c r="AD13" s="222"/>
      <c r="AE13" s="222"/>
    </row>
    <row r="14" spans="1:31" ht="24">
      <c r="A14" s="23"/>
      <c r="B14" s="215">
        <f>SUBTOTAL(103,$C$11:C14)</f>
        <v>4</v>
      </c>
      <c r="C14" s="215">
        <f>测试大纲!$A$13</f>
        <v>3</v>
      </c>
      <c r="D14" s="216" t="s">
        <v>159</v>
      </c>
      <c r="E14" s="217" t="s">
        <v>152</v>
      </c>
      <c r="F14" s="218" t="s">
        <v>151</v>
      </c>
      <c r="G14" s="218" t="str">
        <f>$D$9 &amp; "-"&amp;测试大纲!I$13&amp;"-"&amp;TEXT(SUBTOTAL(103,$C$11:C14),"000")</f>
        <v>Web-LGBB-004</v>
      </c>
      <c r="H14" s="219" t="s">
        <v>337</v>
      </c>
      <c r="I14" s="219" t="s">
        <v>62</v>
      </c>
      <c r="J14" s="220" t="s">
        <v>566</v>
      </c>
      <c r="K14" s="217" t="s">
        <v>1013</v>
      </c>
      <c r="L14" s="215" t="s">
        <v>1014</v>
      </c>
      <c r="M14" s="215"/>
      <c r="N14" s="220" t="s">
        <v>456</v>
      </c>
      <c r="O14" s="214"/>
      <c r="P14" s="222" t="s">
        <v>1012</v>
      </c>
      <c r="Q14" s="222"/>
      <c r="R14" s="223" t="s">
        <v>63</v>
      </c>
      <c r="S14" s="223"/>
      <c r="T14" s="222"/>
      <c r="U14" s="214"/>
      <c r="V14" s="222"/>
      <c r="W14" s="223"/>
      <c r="X14" s="222"/>
      <c r="Y14" s="214"/>
      <c r="Z14" s="222"/>
      <c r="AA14" s="223"/>
      <c r="AB14" s="222"/>
      <c r="AC14" s="214"/>
      <c r="AD14" s="222"/>
      <c r="AE14" s="222"/>
    </row>
    <row r="15" spans="1:31" ht="24">
      <c r="A15" s="23"/>
      <c r="B15" s="215">
        <f>SUBTOTAL(103,$C$11:C15)</f>
        <v>5</v>
      </c>
      <c r="C15" s="215">
        <f>测试大纲!$A$13</f>
        <v>3</v>
      </c>
      <c r="D15" s="224" t="s">
        <v>159</v>
      </c>
      <c r="E15" s="217" t="s">
        <v>152</v>
      </c>
      <c r="F15" s="218" t="s">
        <v>151</v>
      </c>
      <c r="G15" s="218" t="str">
        <f>$D$9 &amp; "-"&amp;测试大纲!I$13&amp;"-"&amp;TEXT(SUBTOTAL(103,$C$11:C15),"000")</f>
        <v>Web-LGBB-005</v>
      </c>
      <c r="H15" s="219" t="s">
        <v>337</v>
      </c>
      <c r="I15" s="219" t="s">
        <v>62</v>
      </c>
      <c r="J15" s="220" t="s">
        <v>567</v>
      </c>
      <c r="K15" s="225" t="s">
        <v>1011</v>
      </c>
      <c r="L15" s="215" t="s">
        <v>331</v>
      </c>
      <c r="M15" s="226">
        <v>1340121138</v>
      </c>
      <c r="N15" s="220" t="s">
        <v>425</v>
      </c>
      <c r="O15" s="214"/>
      <c r="P15" s="222"/>
      <c r="Q15" s="222"/>
      <c r="R15" s="223"/>
      <c r="S15" s="223"/>
      <c r="T15" s="222"/>
      <c r="U15" s="214"/>
      <c r="V15" s="222"/>
      <c r="W15" s="223"/>
      <c r="X15" s="222"/>
      <c r="Y15" s="214"/>
      <c r="Z15" s="222"/>
      <c r="AA15" s="223"/>
      <c r="AB15" s="222"/>
      <c r="AC15" s="214"/>
      <c r="AD15" s="222"/>
      <c r="AE15" s="222"/>
    </row>
    <row r="16" spans="1:31" ht="24">
      <c r="A16" s="23"/>
      <c r="B16" s="215">
        <f>SUBTOTAL(103,$C$11:C16)</f>
        <v>6</v>
      </c>
      <c r="C16" s="215">
        <f>测试大纲!$A$13</f>
        <v>3</v>
      </c>
      <c r="D16" s="216" t="s">
        <v>159</v>
      </c>
      <c r="E16" s="217" t="s">
        <v>152</v>
      </c>
      <c r="F16" s="218" t="s">
        <v>151</v>
      </c>
      <c r="G16" s="218" t="str">
        <f>$D$9 &amp; "-"&amp;测试大纲!I$13&amp;"-"&amp;TEXT(SUBTOTAL(103,$C$11:C16),"000")</f>
        <v>Web-LGBB-006</v>
      </c>
      <c r="H16" s="219" t="s">
        <v>337</v>
      </c>
      <c r="I16" s="219" t="s">
        <v>62</v>
      </c>
      <c r="J16" s="220" t="s">
        <v>568</v>
      </c>
      <c r="K16" s="215" t="s">
        <v>976</v>
      </c>
      <c r="L16" s="215" t="s">
        <v>830</v>
      </c>
      <c r="M16" s="215" t="s">
        <v>354</v>
      </c>
      <c r="N16" s="220" t="s">
        <v>457</v>
      </c>
      <c r="O16" s="214"/>
      <c r="P16" s="222"/>
      <c r="Q16" s="222"/>
      <c r="R16" s="223"/>
      <c r="S16" s="223"/>
      <c r="T16" s="222"/>
      <c r="U16" s="214"/>
      <c r="V16" s="222"/>
      <c r="W16" s="223"/>
      <c r="X16" s="222"/>
      <c r="Y16" s="214"/>
      <c r="Z16" s="222"/>
      <c r="AA16" s="223"/>
      <c r="AB16" s="222"/>
      <c r="AC16" s="214"/>
      <c r="AD16" s="222"/>
      <c r="AE16" s="222"/>
    </row>
    <row r="17" spans="1:31" ht="24">
      <c r="A17" s="23"/>
      <c r="B17" s="215">
        <f>SUBTOTAL(103,$C$11:C17)</f>
        <v>7</v>
      </c>
      <c r="C17" s="215">
        <f>测试大纲!$A$13</f>
        <v>3</v>
      </c>
      <c r="D17" s="216" t="s">
        <v>159</v>
      </c>
      <c r="E17" s="217" t="s">
        <v>152</v>
      </c>
      <c r="F17" s="218" t="s">
        <v>151</v>
      </c>
      <c r="G17" s="218" t="str">
        <f>$D$9 &amp; "-"&amp;测试大纲!I$13&amp;"-"&amp;TEXT(SUBTOTAL(103,$C$11:C17),"000")</f>
        <v>Web-LGBB-007</v>
      </c>
      <c r="H17" s="219" t="s">
        <v>337</v>
      </c>
      <c r="I17" s="219" t="s">
        <v>62</v>
      </c>
      <c r="J17" s="220" t="s">
        <v>569</v>
      </c>
      <c r="K17" s="215" t="s">
        <v>976</v>
      </c>
      <c r="L17" s="215" t="s">
        <v>334</v>
      </c>
      <c r="M17" s="215" t="s">
        <v>506</v>
      </c>
      <c r="N17" s="220" t="s">
        <v>162</v>
      </c>
      <c r="O17" s="214"/>
      <c r="P17" s="222"/>
      <c r="Q17" s="222"/>
      <c r="R17" s="223"/>
      <c r="S17" s="223"/>
      <c r="T17" s="222"/>
      <c r="U17" s="214"/>
      <c r="V17" s="222"/>
      <c r="W17" s="223"/>
      <c r="X17" s="222"/>
      <c r="Y17" s="214"/>
      <c r="Z17" s="222"/>
      <c r="AA17" s="223"/>
      <c r="AB17" s="222"/>
      <c r="AC17" s="214"/>
      <c r="AD17" s="222"/>
      <c r="AE17" s="222"/>
    </row>
    <row r="18" spans="1:31" ht="24">
      <c r="A18" s="23"/>
      <c r="B18" s="215">
        <f>SUBTOTAL(103,$C$11:C18)</f>
        <v>8</v>
      </c>
      <c r="C18" s="215">
        <f>测试大纲!$A$13</f>
        <v>3</v>
      </c>
      <c r="D18" s="216" t="s">
        <v>159</v>
      </c>
      <c r="E18" s="217" t="s">
        <v>152</v>
      </c>
      <c r="F18" s="218" t="s">
        <v>151</v>
      </c>
      <c r="G18" s="218" t="str">
        <f>$D$9 &amp; "-"&amp;测试大纲!I$13&amp;"-"&amp;TEXT(SUBTOTAL(103,$C$11:C18),"000")</f>
        <v>Web-LGBB-008</v>
      </c>
      <c r="H18" s="219" t="s">
        <v>337</v>
      </c>
      <c r="I18" s="219" t="s">
        <v>62</v>
      </c>
      <c r="J18" s="220" t="s">
        <v>570</v>
      </c>
      <c r="K18" s="215" t="s">
        <v>976</v>
      </c>
      <c r="L18" s="215" t="s">
        <v>335</v>
      </c>
      <c r="M18" s="226" t="s">
        <v>351</v>
      </c>
      <c r="N18" s="220" t="s">
        <v>162</v>
      </c>
      <c r="O18" s="214"/>
      <c r="P18" s="222"/>
      <c r="Q18" s="222"/>
      <c r="R18" s="223"/>
      <c r="S18" s="223"/>
      <c r="T18" s="222"/>
      <c r="U18" s="214"/>
      <c r="V18" s="222"/>
      <c r="W18" s="223"/>
      <c r="X18" s="222"/>
      <c r="Y18" s="214"/>
      <c r="Z18" s="222"/>
      <c r="AA18" s="223"/>
      <c r="AB18" s="222"/>
      <c r="AC18" s="214"/>
      <c r="AD18" s="222"/>
      <c r="AE18" s="222"/>
    </row>
    <row r="19" spans="1:31" ht="24">
      <c r="A19" s="23"/>
      <c r="B19" s="215">
        <f>SUBTOTAL(103,$C$11:C19)</f>
        <v>9</v>
      </c>
      <c r="C19" s="215">
        <f>测试大纲!$A$13</f>
        <v>3</v>
      </c>
      <c r="D19" s="216" t="s">
        <v>159</v>
      </c>
      <c r="E19" s="217" t="s">
        <v>152</v>
      </c>
      <c r="F19" s="218" t="s">
        <v>151</v>
      </c>
      <c r="G19" s="218" t="str">
        <f>$D$9 &amp; "-"&amp;测试大纲!I$13&amp;"-"&amp;TEXT(SUBTOTAL(103,$C$11:C19),"000")</f>
        <v>Web-LGBB-009</v>
      </c>
      <c r="H19" s="219" t="s">
        <v>337</v>
      </c>
      <c r="I19" s="219" t="s">
        <v>62</v>
      </c>
      <c r="J19" s="220" t="s">
        <v>571</v>
      </c>
      <c r="K19" s="215" t="s">
        <v>976</v>
      </c>
      <c r="L19" s="215" t="s">
        <v>831</v>
      </c>
      <c r="M19" s="215"/>
      <c r="N19" s="220" t="s">
        <v>458</v>
      </c>
      <c r="O19" s="214"/>
      <c r="P19" s="222"/>
      <c r="Q19" s="222"/>
      <c r="R19" s="223"/>
      <c r="S19" s="223"/>
      <c r="T19" s="222"/>
      <c r="U19" s="214"/>
      <c r="V19" s="222"/>
      <c r="W19" s="223"/>
      <c r="X19" s="222"/>
      <c r="Y19" s="214"/>
      <c r="Z19" s="222"/>
      <c r="AA19" s="223"/>
      <c r="AB19" s="222"/>
      <c r="AC19" s="214"/>
      <c r="AD19" s="222"/>
      <c r="AE19" s="222"/>
    </row>
    <row r="20" spans="1:31" ht="24">
      <c r="A20" s="23"/>
      <c r="B20" s="215">
        <f>SUBTOTAL(103,$C$11:C20)</f>
        <v>10</v>
      </c>
      <c r="C20" s="215">
        <f>测试大纲!$A$13</f>
        <v>3</v>
      </c>
      <c r="D20" s="216" t="s">
        <v>159</v>
      </c>
      <c r="E20" s="217" t="s">
        <v>152</v>
      </c>
      <c r="F20" s="218" t="s">
        <v>151</v>
      </c>
      <c r="G20" s="218" t="str">
        <f>$D$9 &amp; "-"&amp;测试大纲!I$13&amp;"-"&amp;TEXT(SUBTOTAL(103,$C$11:C20),"000")</f>
        <v>Web-LGBB-010</v>
      </c>
      <c r="H20" s="219" t="s">
        <v>337</v>
      </c>
      <c r="I20" s="219" t="s">
        <v>62</v>
      </c>
      <c r="J20" s="220" t="s">
        <v>572</v>
      </c>
      <c r="K20" s="215" t="s">
        <v>976</v>
      </c>
      <c r="L20" s="215" t="s">
        <v>832</v>
      </c>
      <c r="M20" s="215"/>
      <c r="N20" s="220" t="s">
        <v>465</v>
      </c>
      <c r="O20" s="214"/>
      <c r="P20" s="222"/>
      <c r="Q20" s="222"/>
      <c r="R20" s="223"/>
      <c r="S20" s="223"/>
      <c r="T20" s="222"/>
      <c r="U20" s="214"/>
      <c r="V20" s="222"/>
      <c r="W20" s="223"/>
      <c r="X20" s="222"/>
      <c r="Y20" s="214"/>
      <c r="Z20" s="222"/>
      <c r="AA20" s="223"/>
      <c r="AB20" s="222"/>
      <c r="AC20" s="214"/>
      <c r="AD20" s="222"/>
      <c r="AE20" s="222"/>
    </row>
    <row r="21" spans="1:31" ht="24">
      <c r="A21" s="23"/>
      <c r="B21" s="215">
        <f>SUBTOTAL(103,$C$11:C21)</f>
        <v>11</v>
      </c>
      <c r="C21" s="215">
        <f>测试大纲!$A$13</f>
        <v>3</v>
      </c>
      <c r="D21" s="216" t="s">
        <v>159</v>
      </c>
      <c r="E21" s="217" t="s">
        <v>152</v>
      </c>
      <c r="F21" s="218" t="s">
        <v>151</v>
      </c>
      <c r="G21" s="218" t="str">
        <f>$D$9 &amp; "-"&amp;测试大纲!I$13&amp;"-"&amp;TEXT(SUBTOTAL(103,$C$11:C21),"000")</f>
        <v>Web-LGBB-011</v>
      </c>
      <c r="H21" s="219" t="s">
        <v>337</v>
      </c>
      <c r="I21" s="219" t="s">
        <v>165</v>
      </c>
      <c r="J21" s="220" t="s">
        <v>573</v>
      </c>
      <c r="K21" s="217" t="s">
        <v>975</v>
      </c>
      <c r="L21" s="215" t="s">
        <v>330</v>
      </c>
      <c r="M21" s="215" t="s">
        <v>419</v>
      </c>
      <c r="N21" s="220" t="s">
        <v>463</v>
      </c>
      <c r="O21" s="214"/>
      <c r="P21" s="222"/>
      <c r="Q21" s="222"/>
      <c r="R21" s="223"/>
      <c r="S21" s="223"/>
      <c r="T21" s="222"/>
      <c r="U21" s="214"/>
      <c r="V21" s="222"/>
      <c r="W21" s="223"/>
      <c r="X21" s="222"/>
      <c r="Y21" s="214"/>
      <c r="Z21" s="222"/>
      <c r="AA21" s="223"/>
      <c r="AB21" s="222"/>
      <c r="AC21" s="214"/>
      <c r="AD21" s="222"/>
      <c r="AE21" s="222"/>
    </row>
    <row r="22" spans="1:31" ht="24">
      <c r="A22" s="23"/>
      <c r="B22" s="215">
        <f>SUBTOTAL(103,$C$11:C22)</f>
        <v>12</v>
      </c>
      <c r="C22" s="215">
        <f>测试大纲!$A$13</f>
        <v>3</v>
      </c>
      <c r="D22" s="224" t="s">
        <v>159</v>
      </c>
      <c r="E22" s="217" t="s">
        <v>152</v>
      </c>
      <c r="F22" s="218" t="s">
        <v>151</v>
      </c>
      <c r="G22" s="218" t="str">
        <f>$D$9 &amp; "-"&amp;测试大纲!I$13&amp;"-"&amp;TEXT(SUBTOTAL(103,$C$11:C22),"000")</f>
        <v>Web-LGBB-012</v>
      </c>
      <c r="H22" s="219" t="s">
        <v>337</v>
      </c>
      <c r="I22" s="219" t="s">
        <v>165</v>
      </c>
      <c r="J22" s="220" t="s">
        <v>574</v>
      </c>
      <c r="K22" s="225" t="s">
        <v>976</v>
      </c>
      <c r="L22" s="215" t="s">
        <v>331</v>
      </c>
      <c r="M22" s="226" t="s">
        <v>459</v>
      </c>
      <c r="N22" s="220" t="s">
        <v>463</v>
      </c>
      <c r="O22" s="214"/>
      <c r="P22" s="222"/>
      <c r="Q22" s="222"/>
      <c r="R22" s="223"/>
      <c r="S22" s="223"/>
      <c r="T22" s="222"/>
      <c r="U22" s="214"/>
      <c r="V22" s="222"/>
      <c r="W22" s="223"/>
      <c r="X22" s="222"/>
      <c r="Y22" s="214"/>
      <c r="Z22" s="222"/>
      <c r="AA22" s="223"/>
      <c r="AB22" s="222"/>
      <c r="AC22" s="214"/>
      <c r="AD22" s="222"/>
      <c r="AE22" s="222"/>
    </row>
    <row r="23" spans="1:31" ht="24">
      <c r="A23" s="23"/>
      <c r="B23" s="215">
        <f>SUBTOTAL(103,$C$11:C23)</f>
        <v>13</v>
      </c>
      <c r="C23" s="215">
        <f>测试大纲!$A$13</f>
        <v>3</v>
      </c>
      <c r="D23" s="216" t="s">
        <v>159</v>
      </c>
      <c r="E23" s="217" t="s">
        <v>152</v>
      </c>
      <c r="F23" s="218" t="s">
        <v>151</v>
      </c>
      <c r="G23" s="218" t="str">
        <f>$D$9 &amp; "-"&amp;测试大纲!I$13&amp;"-"&amp;TEXT(SUBTOTAL(103,$C$11:C23),"000")</f>
        <v>Web-LGBB-013</v>
      </c>
      <c r="H23" s="219" t="s">
        <v>337</v>
      </c>
      <c r="I23" s="219" t="s">
        <v>165</v>
      </c>
      <c r="J23" s="220" t="s">
        <v>575</v>
      </c>
      <c r="K23" s="215" t="s">
        <v>976</v>
      </c>
      <c r="L23" s="227" t="s">
        <v>222</v>
      </c>
      <c r="M23" s="215" t="s">
        <v>460</v>
      </c>
      <c r="N23" s="220" t="s">
        <v>463</v>
      </c>
      <c r="O23" s="214"/>
      <c r="P23" s="222"/>
      <c r="Q23" s="222"/>
      <c r="R23" s="223"/>
      <c r="S23" s="223"/>
      <c r="T23" s="222"/>
      <c r="U23" s="214"/>
      <c r="V23" s="222"/>
      <c r="W23" s="223"/>
      <c r="X23" s="222"/>
      <c r="Y23" s="214"/>
      <c r="Z23" s="222"/>
      <c r="AA23" s="223"/>
      <c r="AB23" s="222"/>
      <c r="AC23" s="214"/>
      <c r="AD23" s="222"/>
      <c r="AE23" s="222"/>
    </row>
    <row r="24" spans="1:31" ht="72">
      <c r="A24" s="23"/>
      <c r="B24" s="215">
        <f>SUBTOTAL(103,$C$11:C24)</f>
        <v>14</v>
      </c>
      <c r="C24" s="215">
        <f>测试大纲!$A$13</f>
        <v>3</v>
      </c>
      <c r="D24" s="216" t="s">
        <v>159</v>
      </c>
      <c r="E24" s="217" t="s">
        <v>152</v>
      </c>
      <c r="F24" s="218" t="s">
        <v>151</v>
      </c>
      <c r="G24" s="218" t="str">
        <f>$D$9 &amp; "-"&amp;测试大纲!I$13&amp;"-"&amp;TEXT(SUBTOTAL(103,$C$11:C24),"000")</f>
        <v>Web-LGBB-014</v>
      </c>
      <c r="H24" s="219" t="s">
        <v>337</v>
      </c>
      <c r="I24" s="219" t="s">
        <v>62</v>
      </c>
      <c r="J24" s="220" t="s">
        <v>578</v>
      </c>
      <c r="K24" s="215" t="s">
        <v>976</v>
      </c>
      <c r="L24" s="215" t="s">
        <v>462</v>
      </c>
      <c r="M24" s="215" t="s">
        <v>451</v>
      </c>
      <c r="N24" s="220" t="s">
        <v>464</v>
      </c>
      <c r="O24" s="214"/>
      <c r="P24" s="222"/>
      <c r="Q24" s="222"/>
      <c r="R24" s="223"/>
      <c r="S24" s="223"/>
      <c r="T24" s="222"/>
      <c r="U24" s="214"/>
      <c r="V24" s="222"/>
      <c r="W24" s="223"/>
      <c r="X24" s="222"/>
      <c r="Y24" s="214"/>
      <c r="Z24" s="222"/>
      <c r="AA24" s="223"/>
      <c r="AB24" s="222"/>
      <c r="AC24" s="214"/>
      <c r="AD24" s="222"/>
      <c r="AE24" s="222"/>
    </row>
    <row r="25" spans="1:31" ht="60">
      <c r="A25" s="23"/>
      <c r="B25" s="215">
        <f>SUBTOTAL(103,$C$11:C25)</f>
        <v>15</v>
      </c>
      <c r="C25" s="215">
        <f>测试大纲!$A$13</f>
        <v>3</v>
      </c>
      <c r="D25" s="216" t="s">
        <v>159</v>
      </c>
      <c r="E25" s="217" t="s">
        <v>152</v>
      </c>
      <c r="F25" s="218" t="s">
        <v>151</v>
      </c>
      <c r="G25" s="218" t="str">
        <f>$D$9 &amp; "-"&amp;测试大纲!I$13&amp;"-"&amp;TEXT(SUBTOTAL(103,$C$11:C25),"000")</f>
        <v>Web-LGBB-015</v>
      </c>
      <c r="H25" s="219" t="s">
        <v>337</v>
      </c>
      <c r="I25" s="219" t="s">
        <v>165</v>
      </c>
      <c r="J25" s="220" t="s">
        <v>612</v>
      </c>
      <c r="K25" s="215" t="s">
        <v>976</v>
      </c>
      <c r="L25" s="215" t="s">
        <v>455</v>
      </c>
      <c r="M25" s="215" t="s">
        <v>519</v>
      </c>
      <c r="N25" s="220" t="s">
        <v>463</v>
      </c>
      <c r="O25" s="214"/>
      <c r="P25" s="222"/>
      <c r="Q25" s="222"/>
      <c r="R25" s="223"/>
      <c r="S25" s="223"/>
      <c r="T25" s="222"/>
      <c r="U25" s="214"/>
      <c r="V25" s="222"/>
      <c r="W25" s="223"/>
      <c r="X25" s="222"/>
      <c r="Y25" s="214"/>
      <c r="Z25" s="222"/>
      <c r="AA25" s="223"/>
      <c r="AB25" s="222"/>
      <c r="AC25" s="214"/>
      <c r="AD25" s="222"/>
      <c r="AE25" s="222"/>
    </row>
    <row r="26" spans="1:31" ht="60">
      <c r="A26" s="23"/>
      <c r="B26" s="215">
        <f>SUBTOTAL(103,$C$11:C26)</f>
        <v>16</v>
      </c>
      <c r="C26" s="215">
        <f>测试大纲!$A$13</f>
        <v>3</v>
      </c>
      <c r="D26" s="216" t="s">
        <v>159</v>
      </c>
      <c r="E26" s="217" t="s">
        <v>152</v>
      </c>
      <c r="F26" s="218" t="s">
        <v>151</v>
      </c>
      <c r="G26" s="218" t="str">
        <f>$D$9 &amp; "-"&amp;测试大纲!I$13&amp;"-"&amp;TEXT(SUBTOTAL(103,$C$11:C26),"000")</f>
        <v>Web-LGBB-016</v>
      </c>
      <c r="H26" s="219" t="s">
        <v>337</v>
      </c>
      <c r="I26" s="219" t="s">
        <v>165</v>
      </c>
      <c r="J26" s="220" t="s">
        <v>613</v>
      </c>
      <c r="K26" s="215" t="s">
        <v>976</v>
      </c>
      <c r="L26" s="215" t="s">
        <v>455</v>
      </c>
      <c r="M26" s="215" t="s">
        <v>454</v>
      </c>
      <c r="N26" s="220" t="s">
        <v>463</v>
      </c>
      <c r="O26" s="214"/>
      <c r="P26" s="222"/>
      <c r="Q26" s="222"/>
      <c r="R26" s="223"/>
      <c r="S26" s="223"/>
      <c r="T26" s="222"/>
      <c r="U26" s="214"/>
      <c r="V26" s="222"/>
      <c r="W26" s="223"/>
      <c r="X26" s="222"/>
      <c r="Y26" s="214"/>
      <c r="Z26" s="222"/>
      <c r="AA26" s="223"/>
      <c r="AB26" s="222"/>
      <c r="AC26" s="214"/>
      <c r="AD26" s="222"/>
      <c r="AE26" s="222"/>
    </row>
    <row r="27" spans="1:31" ht="60">
      <c r="A27" s="23"/>
      <c r="B27" s="215">
        <f>SUBTOTAL(103,$C$11:C27)</f>
        <v>17</v>
      </c>
      <c r="C27" s="215">
        <f>测试大纲!$A$13</f>
        <v>3</v>
      </c>
      <c r="D27" s="216" t="s">
        <v>159</v>
      </c>
      <c r="E27" s="217" t="s">
        <v>152</v>
      </c>
      <c r="F27" s="218" t="s">
        <v>151</v>
      </c>
      <c r="G27" s="218" t="str">
        <f>$D$9 &amp; "-"&amp;测试大纲!I$13&amp;"-"&amp;TEXT(SUBTOTAL(103,$C$11:C27),"000")</f>
        <v>Web-LGBB-017</v>
      </c>
      <c r="H27" s="219" t="s">
        <v>337</v>
      </c>
      <c r="I27" s="219" t="s">
        <v>165</v>
      </c>
      <c r="J27" s="220" t="s">
        <v>614</v>
      </c>
      <c r="K27" s="215" t="s">
        <v>976</v>
      </c>
      <c r="L27" s="215" t="s">
        <v>455</v>
      </c>
      <c r="M27" s="215" t="s">
        <v>452</v>
      </c>
      <c r="N27" s="220" t="s">
        <v>463</v>
      </c>
      <c r="O27" s="214"/>
      <c r="P27" s="222"/>
      <c r="Q27" s="222"/>
      <c r="R27" s="223"/>
      <c r="S27" s="223"/>
      <c r="T27" s="222"/>
      <c r="U27" s="214"/>
      <c r="V27" s="222"/>
      <c r="W27" s="223"/>
      <c r="X27" s="222"/>
      <c r="Y27" s="214"/>
      <c r="Z27" s="222"/>
      <c r="AA27" s="223"/>
      <c r="AB27" s="222"/>
      <c r="AC27" s="214"/>
      <c r="AD27" s="222"/>
      <c r="AE27" s="222"/>
    </row>
    <row r="28" spans="1:31" ht="60">
      <c r="A28" s="23"/>
      <c r="B28" s="215">
        <f>SUBTOTAL(103,$C$11:C28)</f>
        <v>18</v>
      </c>
      <c r="C28" s="215">
        <f>测试大纲!$A$13</f>
        <v>3</v>
      </c>
      <c r="D28" s="216" t="s">
        <v>159</v>
      </c>
      <c r="E28" s="217" t="s">
        <v>152</v>
      </c>
      <c r="F28" s="218" t="s">
        <v>151</v>
      </c>
      <c r="G28" s="218" t="str">
        <f>$D$9 &amp; "-"&amp;测试大纲!I$13&amp;"-"&amp;TEXT(SUBTOTAL(103,$C$11:C28),"000")</f>
        <v>Web-LGBB-018</v>
      </c>
      <c r="H28" s="219" t="s">
        <v>337</v>
      </c>
      <c r="I28" s="219" t="s">
        <v>165</v>
      </c>
      <c r="J28" s="220" t="s">
        <v>615</v>
      </c>
      <c r="K28" s="215" t="s">
        <v>976</v>
      </c>
      <c r="L28" s="215" t="s">
        <v>455</v>
      </c>
      <c r="M28" s="215" t="s">
        <v>453</v>
      </c>
      <c r="N28" s="220" t="s">
        <v>463</v>
      </c>
      <c r="O28" s="214"/>
      <c r="P28" s="222"/>
      <c r="Q28" s="222"/>
      <c r="R28" s="223"/>
      <c r="S28" s="223"/>
      <c r="T28" s="222"/>
      <c r="U28" s="214"/>
      <c r="V28" s="222"/>
      <c r="W28" s="223"/>
      <c r="X28" s="222"/>
      <c r="Y28" s="214"/>
      <c r="Z28" s="222"/>
      <c r="AA28" s="223"/>
      <c r="AB28" s="222"/>
      <c r="AC28" s="214"/>
      <c r="AD28" s="222"/>
      <c r="AE28" s="222"/>
    </row>
    <row r="29" spans="1:31" ht="24">
      <c r="A29" s="23"/>
      <c r="B29" s="215">
        <f>SUBTOTAL(103,$C$11:C29)</f>
        <v>19</v>
      </c>
      <c r="C29" s="215">
        <f>测试大纲!$A$13</f>
        <v>3</v>
      </c>
      <c r="D29" s="224" t="s">
        <v>159</v>
      </c>
      <c r="E29" s="217" t="s">
        <v>152</v>
      </c>
      <c r="F29" s="218" t="s">
        <v>151</v>
      </c>
      <c r="G29" s="218" t="str">
        <f>$D$9 &amp; "-"&amp;测试大纲!I$13&amp;"-"&amp;TEXT(SUBTOTAL(103,$C$11:C29),"000")</f>
        <v>Web-LGBB-019</v>
      </c>
      <c r="H29" s="219" t="s">
        <v>338</v>
      </c>
      <c r="I29" s="219" t="s">
        <v>62</v>
      </c>
      <c r="J29" s="220" t="s">
        <v>576</v>
      </c>
      <c r="K29" s="225" t="s">
        <v>976</v>
      </c>
      <c r="L29" s="215" t="s">
        <v>331</v>
      </c>
      <c r="M29" s="215" t="s">
        <v>466</v>
      </c>
      <c r="N29" s="220" t="s">
        <v>467</v>
      </c>
      <c r="O29" s="214"/>
      <c r="P29" s="222"/>
      <c r="Q29" s="222"/>
      <c r="R29" s="223"/>
      <c r="S29" s="223"/>
      <c r="T29" s="222"/>
      <c r="U29" s="214"/>
      <c r="V29" s="222"/>
      <c r="W29" s="223"/>
      <c r="X29" s="222"/>
      <c r="Y29" s="214"/>
      <c r="Z29" s="222"/>
      <c r="AA29" s="223"/>
      <c r="AB29" s="222"/>
      <c r="AC29" s="214"/>
      <c r="AD29" s="222"/>
      <c r="AE29" s="222"/>
    </row>
    <row r="30" spans="1:31" ht="24">
      <c r="A30" s="23"/>
      <c r="B30" s="215">
        <f>SUBTOTAL(103,$C$11:C30)</f>
        <v>20</v>
      </c>
      <c r="C30" s="215">
        <f>测试大纲!$A$13</f>
        <v>3</v>
      </c>
      <c r="D30" s="224" t="s">
        <v>159</v>
      </c>
      <c r="E30" s="217" t="s">
        <v>152</v>
      </c>
      <c r="F30" s="218" t="s">
        <v>151</v>
      </c>
      <c r="G30" s="218" t="str">
        <f>$D$9 &amp; "-"&amp;测试大纲!I$13&amp;"-"&amp;TEXT(SUBTOTAL(103,$C$11:C30),"000")</f>
        <v>Web-LGBB-020</v>
      </c>
      <c r="H30" s="219" t="s">
        <v>338</v>
      </c>
      <c r="I30" s="219" t="s">
        <v>62</v>
      </c>
      <c r="J30" s="220" t="s">
        <v>577</v>
      </c>
      <c r="K30" s="225" t="s">
        <v>976</v>
      </c>
      <c r="L30" s="215" t="s">
        <v>468</v>
      </c>
      <c r="M30" s="215" t="s">
        <v>469</v>
      </c>
      <c r="N30" s="220" t="s">
        <v>470</v>
      </c>
      <c r="O30" s="214"/>
      <c r="P30" s="222"/>
      <c r="Q30" s="222"/>
      <c r="R30" s="223"/>
      <c r="S30" s="223"/>
      <c r="T30" s="222"/>
      <c r="U30" s="214"/>
      <c r="V30" s="222"/>
      <c r="W30" s="223"/>
      <c r="X30" s="222"/>
      <c r="Y30" s="214"/>
      <c r="Z30" s="222"/>
      <c r="AA30" s="223"/>
      <c r="AB30" s="222"/>
      <c r="AC30" s="214"/>
      <c r="AD30" s="222"/>
      <c r="AE30" s="222"/>
    </row>
    <row r="31" spans="1:31" ht="24">
      <c r="A31" s="23"/>
      <c r="B31" s="215">
        <f>SUBTOTAL(103,$C$11:C31)</f>
        <v>21</v>
      </c>
      <c r="C31" s="215">
        <f>测试大纲!$A$13</f>
        <v>3</v>
      </c>
      <c r="D31" s="224" t="s">
        <v>159</v>
      </c>
      <c r="E31" s="217" t="s">
        <v>152</v>
      </c>
      <c r="F31" s="218" t="s">
        <v>151</v>
      </c>
      <c r="G31" s="218" t="str">
        <f>$D$9 &amp; "-"&amp;测试大纲!I$13&amp;"-"&amp;TEXT(SUBTOTAL(103,$C$11:C31),"000")</f>
        <v>Web-LGBB-021</v>
      </c>
      <c r="H31" s="219" t="s">
        <v>338</v>
      </c>
      <c r="I31" s="219" t="s">
        <v>62</v>
      </c>
      <c r="J31" s="220" t="s">
        <v>579</v>
      </c>
      <c r="K31" s="215" t="s">
        <v>976</v>
      </c>
      <c r="L31" s="215" t="s">
        <v>330</v>
      </c>
      <c r="M31" s="215" t="s">
        <v>474</v>
      </c>
      <c r="N31" s="220" t="s">
        <v>475</v>
      </c>
      <c r="O31" s="214"/>
      <c r="P31" s="222"/>
      <c r="Q31" s="222"/>
      <c r="R31" s="223"/>
      <c r="S31" s="223"/>
      <c r="T31" s="222"/>
      <c r="U31" s="214"/>
      <c r="V31" s="222"/>
      <c r="W31" s="223"/>
      <c r="X31" s="222"/>
      <c r="Y31" s="214"/>
      <c r="Z31" s="222"/>
      <c r="AA31" s="223"/>
      <c r="AB31" s="222"/>
      <c r="AC31" s="214"/>
      <c r="AD31" s="222"/>
      <c r="AE31" s="222"/>
    </row>
    <row r="32" spans="1:31" ht="24">
      <c r="A32" s="23"/>
      <c r="B32" s="215">
        <f>SUBTOTAL(103,$C$11:C32)</f>
        <v>22</v>
      </c>
      <c r="C32" s="215">
        <f>测试大纲!$A$13</f>
        <v>3</v>
      </c>
      <c r="D32" s="224" t="s">
        <v>159</v>
      </c>
      <c r="E32" s="217" t="s">
        <v>152</v>
      </c>
      <c r="F32" s="218" t="s">
        <v>151</v>
      </c>
      <c r="G32" s="218" t="str">
        <f>$D$9 &amp; "-"&amp;测试大纲!I$13&amp;"-"&amp;TEXT(SUBTOTAL(103,$C$11:C32),"000")</f>
        <v>Web-LGBB-022</v>
      </c>
      <c r="H32" s="219" t="s">
        <v>340</v>
      </c>
      <c r="I32" s="219" t="s">
        <v>62</v>
      </c>
      <c r="J32" s="220" t="s">
        <v>826</v>
      </c>
      <c r="K32" s="215" t="s">
        <v>976</v>
      </c>
      <c r="L32" s="215" t="s">
        <v>330</v>
      </c>
      <c r="M32" s="215" t="s">
        <v>827</v>
      </c>
      <c r="N32" s="220" t="s">
        <v>828</v>
      </c>
      <c r="O32" s="214"/>
      <c r="P32" s="222"/>
      <c r="Q32" s="222"/>
      <c r="R32" s="223"/>
      <c r="S32" s="223"/>
      <c r="T32" s="222"/>
      <c r="U32" s="214"/>
      <c r="V32" s="222"/>
      <c r="W32" s="223"/>
      <c r="X32" s="222"/>
      <c r="Y32" s="214"/>
      <c r="Z32" s="222"/>
      <c r="AA32" s="223"/>
      <c r="AB32" s="222"/>
      <c r="AC32" s="214"/>
      <c r="AD32" s="222"/>
      <c r="AE32" s="222"/>
    </row>
    <row r="33" spans="1:31" ht="24">
      <c r="A33" s="23"/>
      <c r="B33" s="215">
        <f>SUBTOTAL(103,$C$11:C33)</f>
        <v>23</v>
      </c>
      <c r="C33" s="215">
        <f>测试大纲!$A$13</f>
        <v>3</v>
      </c>
      <c r="D33" s="216" t="s">
        <v>159</v>
      </c>
      <c r="E33" s="217" t="s">
        <v>152</v>
      </c>
      <c r="F33" s="218" t="s">
        <v>151</v>
      </c>
      <c r="G33" s="218" t="str">
        <f>$D$9 &amp; "-"&amp;测试大纲!I$13&amp;"-"&amp;TEXT(SUBTOTAL(103,$C$11:C33),"000")</f>
        <v>Web-LGBB-023</v>
      </c>
      <c r="H33" s="219" t="s">
        <v>337</v>
      </c>
      <c r="I33" s="219" t="s">
        <v>165</v>
      </c>
      <c r="J33" s="220" t="s">
        <v>580</v>
      </c>
      <c r="K33" s="215" t="s">
        <v>976</v>
      </c>
      <c r="L33" s="215" t="s">
        <v>332</v>
      </c>
      <c r="M33" s="215" t="s">
        <v>355</v>
      </c>
      <c r="N33" s="220" t="s">
        <v>461</v>
      </c>
      <c r="O33" s="214"/>
      <c r="P33" s="222"/>
      <c r="Q33" s="222"/>
      <c r="R33" s="223"/>
      <c r="S33" s="223"/>
      <c r="T33" s="222"/>
      <c r="U33" s="214"/>
      <c r="V33" s="222"/>
      <c r="W33" s="223"/>
      <c r="X33" s="222"/>
      <c r="Y33" s="214"/>
      <c r="Z33" s="222"/>
      <c r="AA33" s="223"/>
      <c r="AB33" s="222"/>
      <c r="AC33" s="214"/>
      <c r="AD33" s="222"/>
      <c r="AE33" s="222"/>
    </row>
    <row r="34" spans="1:31" ht="24">
      <c r="A34" s="23"/>
      <c r="B34" s="215">
        <f>SUBTOTAL(103,$C$11:C34)</f>
        <v>24</v>
      </c>
      <c r="C34" s="215">
        <f>测试大纲!$A$13</f>
        <v>3</v>
      </c>
      <c r="D34" s="216" t="s">
        <v>159</v>
      </c>
      <c r="E34" s="217" t="s">
        <v>152</v>
      </c>
      <c r="F34" s="218" t="s">
        <v>151</v>
      </c>
      <c r="G34" s="218" t="str">
        <f>$D$9 &amp; "-"&amp;测试大纲!I$13&amp;"-"&amp;TEXT(SUBTOTAL(103,$C$11:C34),"000")</f>
        <v>Web-LGBB-024</v>
      </c>
      <c r="H34" s="219" t="s">
        <v>337</v>
      </c>
      <c r="I34" s="219" t="s">
        <v>62</v>
      </c>
      <c r="J34" s="220" t="s">
        <v>868</v>
      </c>
      <c r="K34" s="225" t="s">
        <v>976</v>
      </c>
      <c r="L34" s="215" t="s">
        <v>870</v>
      </c>
      <c r="M34" s="215"/>
      <c r="N34" s="220" t="s">
        <v>167</v>
      </c>
      <c r="O34" s="214"/>
      <c r="P34" s="222"/>
      <c r="Q34" s="222"/>
      <c r="R34" s="223"/>
      <c r="S34" s="223"/>
      <c r="T34" s="222"/>
      <c r="U34" s="214"/>
      <c r="V34" s="222"/>
      <c r="W34" s="223"/>
      <c r="X34" s="222"/>
      <c r="Y34" s="214"/>
      <c r="Z34" s="222"/>
      <c r="AA34" s="223"/>
      <c r="AB34" s="222"/>
      <c r="AC34" s="214"/>
      <c r="AD34" s="222"/>
      <c r="AE34" s="222"/>
    </row>
    <row r="35" spans="1:31" ht="24">
      <c r="A35" s="23"/>
      <c r="B35" s="215">
        <f>SUBTOTAL(103,$C$11:C35)</f>
        <v>25</v>
      </c>
      <c r="C35" s="215">
        <f>测试大纲!$A$13</f>
        <v>3</v>
      </c>
      <c r="D35" s="216" t="s">
        <v>159</v>
      </c>
      <c r="E35" s="217" t="s">
        <v>152</v>
      </c>
      <c r="F35" s="218" t="s">
        <v>151</v>
      </c>
      <c r="G35" s="218" t="str">
        <f>$D$9 &amp; "-"&amp;测试大纲!I$13&amp;"-"&amp;TEXT(SUBTOTAL(103,$C$11:C35),"000")</f>
        <v>Web-LGBB-025</v>
      </c>
      <c r="H35" s="219" t="s">
        <v>337</v>
      </c>
      <c r="I35" s="219" t="s">
        <v>62</v>
      </c>
      <c r="J35" s="220" t="s">
        <v>869</v>
      </c>
      <c r="K35" s="225" t="s">
        <v>976</v>
      </c>
      <c r="L35" s="215" t="s">
        <v>871</v>
      </c>
      <c r="M35" s="215"/>
      <c r="N35" s="220" t="s">
        <v>167</v>
      </c>
      <c r="O35" s="214"/>
      <c r="P35" s="222"/>
      <c r="Q35" s="222"/>
      <c r="R35" s="223"/>
      <c r="S35" s="223"/>
      <c r="T35" s="222"/>
      <c r="U35" s="214"/>
      <c r="V35" s="222"/>
      <c r="W35" s="223"/>
      <c r="X35" s="222"/>
      <c r="Y35" s="214"/>
      <c r="Z35" s="222"/>
      <c r="AA35" s="223"/>
      <c r="AB35" s="222"/>
      <c r="AC35" s="214"/>
      <c r="AD35" s="222"/>
      <c r="AE35" s="222"/>
    </row>
    <row r="36" spans="1:31" ht="24">
      <c r="A36" s="23"/>
      <c r="B36" s="215">
        <f>SUBTOTAL(103,$C$11:C36)</f>
        <v>26</v>
      </c>
      <c r="C36" s="215">
        <f>测试大纲!$A$13</f>
        <v>3</v>
      </c>
      <c r="D36" s="216" t="s">
        <v>159</v>
      </c>
      <c r="E36" s="217" t="s">
        <v>152</v>
      </c>
      <c r="F36" s="218" t="s">
        <v>151</v>
      </c>
      <c r="G36" s="218" t="str">
        <f>$D$9 &amp; "-"&amp;测试大纲!I$13&amp;"-"&amp;TEXT(SUBTOTAL(103,$C$11:C36),"000")</f>
        <v>Web-LGBB-026</v>
      </c>
      <c r="H36" s="219" t="s">
        <v>337</v>
      </c>
      <c r="I36" s="219" t="s">
        <v>62</v>
      </c>
      <c r="J36" s="220" t="s">
        <v>872</v>
      </c>
      <c r="K36" s="225" t="s">
        <v>976</v>
      </c>
      <c r="L36" s="215" t="s">
        <v>873</v>
      </c>
      <c r="M36" s="215"/>
      <c r="N36" s="220" t="s">
        <v>167</v>
      </c>
      <c r="O36" s="214"/>
      <c r="P36" s="222"/>
      <c r="Q36" s="222"/>
      <c r="R36" s="223"/>
      <c r="S36" s="223"/>
      <c r="T36" s="222"/>
      <c r="U36" s="214"/>
      <c r="V36" s="222"/>
      <c r="W36" s="223"/>
      <c r="X36" s="222"/>
      <c r="Y36" s="214"/>
      <c r="Z36" s="222"/>
      <c r="AA36" s="223"/>
      <c r="AB36" s="222"/>
      <c r="AC36" s="214"/>
      <c r="AD36" s="222"/>
      <c r="AE36" s="222"/>
    </row>
    <row r="37" spans="1:31" ht="168">
      <c r="A37" s="23"/>
      <c r="B37" s="215">
        <f>SUBTOTAL(103,$C$11:C37)</f>
        <v>27</v>
      </c>
      <c r="C37" s="215">
        <f>测试大纲!$A$13</f>
        <v>3</v>
      </c>
      <c r="D37" s="216" t="s">
        <v>159</v>
      </c>
      <c r="E37" s="217" t="s">
        <v>152</v>
      </c>
      <c r="F37" s="218" t="s">
        <v>151</v>
      </c>
      <c r="G37" s="218" t="str">
        <f>$D$9 &amp; "-"&amp;测试大纲!I$13&amp;"-"&amp;TEXT(SUBTOTAL(103,$C$11:C37),"000")</f>
        <v>Web-LGBB-027</v>
      </c>
      <c r="H37" s="219" t="s">
        <v>337</v>
      </c>
      <c r="I37" s="219" t="s">
        <v>62</v>
      </c>
      <c r="J37" s="220" t="s">
        <v>581</v>
      </c>
      <c r="K37" s="225" t="s">
        <v>976</v>
      </c>
      <c r="L37" s="215" t="s">
        <v>523</v>
      </c>
      <c r="M37" s="215"/>
      <c r="N37" s="221" t="s">
        <v>525</v>
      </c>
      <c r="O37" s="214"/>
      <c r="P37" s="222"/>
      <c r="Q37" s="222"/>
      <c r="R37" s="223"/>
      <c r="S37" s="223"/>
      <c r="T37" s="222"/>
      <c r="U37" s="214"/>
      <c r="V37" s="222"/>
      <c r="W37" s="223"/>
      <c r="X37" s="222"/>
      <c r="Y37" s="214"/>
      <c r="Z37" s="222"/>
      <c r="AA37" s="223"/>
      <c r="AB37" s="222"/>
      <c r="AC37" s="214"/>
      <c r="AD37" s="222"/>
      <c r="AE37" s="222"/>
    </row>
    <row r="38" spans="1:31" ht="24">
      <c r="A38" s="23"/>
      <c r="B38" s="215">
        <f>SUBTOTAL(103,$C$11:C38)</f>
        <v>28</v>
      </c>
      <c r="C38" s="215">
        <f>测试大纲!$A$13</f>
        <v>3</v>
      </c>
      <c r="D38" s="216" t="s">
        <v>159</v>
      </c>
      <c r="E38" s="217" t="s">
        <v>152</v>
      </c>
      <c r="F38" s="218" t="s">
        <v>151</v>
      </c>
      <c r="G38" s="218" t="str">
        <f>$D$9 &amp; "-"&amp;测试大纲!I$13&amp;"-"&amp;TEXT(SUBTOTAL(103,$C$11:C38),"000")</f>
        <v>Web-LGBB-028</v>
      </c>
      <c r="H38" s="219" t="s">
        <v>338</v>
      </c>
      <c r="I38" s="219" t="s">
        <v>62</v>
      </c>
      <c r="J38" s="220" t="s">
        <v>583</v>
      </c>
      <c r="K38" s="215" t="s">
        <v>976</v>
      </c>
      <c r="L38" s="228" t="s">
        <v>194</v>
      </c>
      <c r="M38" s="229" t="s">
        <v>356</v>
      </c>
      <c r="N38" s="220" t="s">
        <v>357</v>
      </c>
      <c r="O38" s="214"/>
      <c r="P38" s="222"/>
      <c r="Q38" s="222"/>
      <c r="R38" s="223"/>
      <c r="S38" s="223"/>
      <c r="T38" s="222"/>
      <c r="U38" s="214"/>
      <c r="V38" s="222"/>
      <c r="W38" s="223"/>
      <c r="X38" s="222"/>
      <c r="Y38" s="214"/>
      <c r="Z38" s="222"/>
      <c r="AA38" s="223"/>
      <c r="AB38" s="222"/>
      <c r="AC38" s="214"/>
      <c r="AD38" s="222"/>
      <c r="AE38" s="222"/>
    </row>
    <row r="39" spans="1:31" ht="24">
      <c r="A39" s="23"/>
      <c r="B39" s="215">
        <f>SUBTOTAL(103,$C$11:C39)</f>
        <v>29</v>
      </c>
      <c r="C39" s="215">
        <f>测试大纲!$A$13</f>
        <v>3</v>
      </c>
      <c r="D39" s="216" t="s">
        <v>159</v>
      </c>
      <c r="E39" s="217" t="s">
        <v>152</v>
      </c>
      <c r="F39" s="218" t="s">
        <v>151</v>
      </c>
      <c r="G39" s="218" t="str">
        <f>$D$9 &amp; "-"&amp;测试大纲!I$13&amp;"-"&amp;TEXT(SUBTOTAL(103,$C$11:C39),"000")</f>
        <v>Web-LGBB-029</v>
      </c>
      <c r="H39" s="219" t="s">
        <v>340</v>
      </c>
      <c r="I39" s="219" t="s">
        <v>62</v>
      </c>
      <c r="J39" s="220" t="s">
        <v>584</v>
      </c>
      <c r="K39" s="215" t="s">
        <v>976</v>
      </c>
      <c r="L39" s="215" t="s">
        <v>770</v>
      </c>
      <c r="M39" s="215" t="s">
        <v>531</v>
      </c>
      <c r="N39" s="220" t="s">
        <v>461</v>
      </c>
      <c r="O39" s="214"/>
      <c r="P39" s="222"/>
      <c r="Q39" s="222"/>
      <c r="R39" s="223"/>
      <c r="S39" s="223"/>
      <c r="T39" s="222"/>
      <c r="U39" s="214"/>
      <c r="V39" s="222"/>
      <c r="W39" s="223"/>
      <c r="X39" s="222"/>
      <c r="Y39" s="214"/>
      <c r="Z39" s="222"/>
      <c r="AA39" s="223"/>
      <c r="AB39" s="222"/>
      <c r="AC39" s="214"/>
      <c r="AD39" s="222"/>
      <c r="AE39" s="222"/>
    </row>
    <row r="40" spans="1:31" ht="24">
      <c r="A40" s="23"/>
      <c r="B40" s="215">
        <f>SUBTOTAL(103,$C$11:C40)</f>
        <v>30</v>
      </c>
      <c r="C40" s="215">
        <f>测试大纲!$A$13</f>
        <v>3</v>
      </c>
      <c r="D40" s="216" t="s">
        <v>159</v>
      </c>
      <c r="E40" s="217" t="s">
        <v>152</v>
      </c>
      <c r="F40" s="218" t="s">
        <v>151</v>
      </c>
      <c r="G40" s="218" t="str">
        <f>$D$9 &amp; "-"&amp;测试大纲!I$13&amp;"-"&amp;TEXT(SUBTOTAL(103,$C$11:C40),"000")</f>
        <v>Web-LGBB-030</v>
      </c>
      <c r="H40" s="219" t="s">
        <v>340</v>
      </c>
      <c r="I40" s="219" t="s">
        <v>62</v>
      </c>
      <c r="J40" s="220" t="s">
        <v>585</v>
      </c>
      <c r="K40" s="215" t="s">
        <v>976</v>
      </c>
      <c r="L40" s="215" t="s">
        <v>770</v>
      </c>
      <c r="M40" s="215" t="s">
        <v>530</v>
      </c>
      <c r="N40" s="220" t="s">
        <v>461</v>
      </c>
      <c r="O40" s="214"/>
      <c r="P40" s="222"/>
      <c r="Q40" s="222"/>
      <c r="R40" s="223"/>
      <c r="S40" s="223"/>
      <c r="T40" s="222"/>
      <c r="U40" s="214"/>
      <c r="V40" s="222"/>
      <c r="W40" s="223"/>
      <c r="X40" s="222"/>
      <c r="Y40" s="214"/>
      <c r="Z40" s="222"/>
      <c r="AA40" s="223"/>
      <c r="AB40" s="222"/>
      <c r="AC40" s="214"/>
      <c r="AD40" s="222"/>
      <c r="AE40" s="222"/>
    </row>
    <row r="41" spans="1:31" ht="24">
      <c r="A41" s="23"/>
      <c r="B41" s="215">
        <f>SUBTOTAL(103,$C$11:C41)</f>
        <v>31</v>
      </c>
      <c r="C41" s="215">
        <f>测试大纲!$A$13</f>
        <v>3</v>
      </c>
      <c r="D41" s="216" t="s">
        <v>159</v>
      </c>
      <c r="E41" s="217" t="s">
        <v>152</v>
      </c>
      <c r="F41" s="218" t="s">
        <v>151</v>
      </c>
      <c r="G41" s="218" t="str">
        <f>$D$9 &amp; "-"&amp;测试大纲!I$13&amp;"-"&amp;TEXT(SUBTOTAL(103,$C$11:C41),"000")</f>
        <v>Web-LGBB-031</v>
      </c>
      <c r="H41" s="219" t="s">
        <v>340</v>
      </c>
      <c r="I41" s="219" t="s">
        <v>62</v>
      </c>
      <c r="J41" s="220" t="s">
        <v>586</v>
      </c>
      <c r="K41" s="215" t="s">
        <v>976</v>
      </c>
      <c r="L41" s="215" t="s">
        <v>770</v>
      </c>
      <c r="M41" s="215" t="s">
        <v>532</v>
      </c>
      <c r="N41" s="220" t="s">
        <v>461</v>
      </c>
      <c r="O41" s="214"/>
      <c r="P41" s="222"/>
      <c r="Q41" s="222"/>
      <c r="R41" s="223"/>
      <c r="S41" s="223"/>
      <c r="T41" s="222"/>
      <c r="U41" s="214"/>
      <c r="V41" s="222"/>
      <c r="W41" s="223"/>
      <c r="X41" s="222"/>
      <c r="Y41" s="214"/>
      <c r="Z41" s="222"/>
      <c r="AA41" s="223"/>
      <c r="AB41" s="222"/>
      <c r="AC41" s="214"/>
      <c r="AD41" s="222"/>
      <c r="AE41" s="222"/>
    </row>
    <row r="42" spans="1:31" ht="36">
      <c r="A42" s="23"/>
      <c r="B42" s="215">
        <f>SUBTOTAL(103,$C$11:C42)</f>
        <v>32</v>
      </c>
      <c r="C42" s="215">
        <f>测试大纲!$A$13</f>
        <v>3</v>
      </c>
      <c r="D42" s="216" t="s">
        <v>159</v>
      </c>
      <c r="E42" s="217" t="s">
        <v>152</v>
      </c>
      <c r="F42" s="218" t="s">
        <v>151</v>
      </c>
      <c r="G42" s="218" t="str">
        <f>$D$9 &amp; "-"&amp;测试大纲!I$13&amp;"-"&amp;TEXT(SUBTOTAL(103,$C$11:C42),"000")</f>
        <v>Web-LGBB-032</v>
      </c>
      <c r="H42" s="219" t="s">
        <v>337</v>
      </c>
      <c r="I42" s="219" t="s">
        <v>62</v>
      </c>
      <c r="J42" s="220" t="s">
        <v>587</v>
      </c>
      <c r="K42" s="215" t="s">
        <v>977</v>
      </c>
      <c r="L42" s="215" t="s">
        <v>168</v>
      </c>
      <c r="M42" s="218"/>
      <c r="N42" s="220" t="s">
        <v>176</v>
      </c>
      <c r="O42" s="214"/>
      <c r="P42" s="222"/>
      <c r="Q42" s="222"/>
      <c r="R42" s="223"/>
      <c r="S42" s="223"/>
      <c r="T42" s="222"/>
      <c r="U42" s="214"/>
      <c r="V42" s="222"/>
      <c r="W42" s="223"/>
      <c r="X42" s="222"/>
      <c r="Y42" s="214"/>
      <c r="Z42" s="222"/>
      <c r="AA42" s="223"/>
      <c r="AB42" s="222"/>
      <c r="AC42" s="214"/>
      <c r="AD42" s="222"/>
      <c r="AE42" s="222"/>
    </row>
    <row r="43" spans="1:31" ht="36">
      <c r="A43" s="23"/>
      <c r="B43" s="215">
        <f>SUBTOTAL(103,$C$11:C43)</f>
        <v>33</v>
      </c>
      <c r="C43" s="215">
        <f>测试大纲!$A$13</f>
        <v>3</v>
      </c>
      <c r="D43" s="216" t="s">
        <v>159</v>
      </c>
      <c r="E43" s="217" t="s">
        <v>152</v>
      </c>
      <c r="F43" s="218" t="s">
        <v>151</v>
      </c>
      <c r="G43" s="218" t="str">
        <f>$D$9 &amp; "-"&amp;测试大纲!I$13&amp;"-"&amp;TEXT(SUBTOTAL(103,$C$11:C43),"000")</f>
        <v>Web-LGBB-033</v>
      </c>
      <c r="H43" s="219" t="s">
        <v>337</v>
      </c>
      <c r="I43" s="219" t="s">
        <v>62</v>
      </c>
      <c r="J43" s="220" t="s">
        <v>588</v>
      </c>
      <c r="K43" s="225" t="s">
        <v>977</v>
      </c>
      <c r="L43" s="215" t="s">
        <v>336</v>
      </c>
      <c r="M43" s="230">
        <v>2</v>
      </c>
      <c r="N43" s="220" t="s">
        <v>176</v>
      </c>
      <c r="O43" s="214"/>
      <c r="P43" s="222"/>
      <c r="Q43" s="222"/>
      <c r="R43" s="223"/>
      <c r="S43" s="223"/>
      <c r="T43" s="222"/>
      <c r="U43" s="214"/>
      <c r="V43" s="222"/>
      <c r="W43" s="223"/>
      <c r="X43" s="222"/>
      <c r="Y43" s="214"/>
      <c r="Z43" s="222"/>
      <c r="AA43" s="223"/>
      <c r="AB43" s="222"/>
      <c r="AC43" s="214"/>
      <c r="AD43" s="222"/>
      <c r="AE43" s="222"/>
    </row>
    <row r="44" spans="1:31" ht="36">
      <c r="A44" s="23"/>
      <c r="B44" s="215">
        <f>SUBTOTAL(103,$C$11:C44)</f>
        <v>34</v>
      </c>
      <c r="C44" s="215">
        <f>测试大纲!$A$13</f>
        <v>3</v>
      </c>
      <c r="D44" s="216" t="s">
        <v>159</v>
      </c>
      <c r="E44" s="217" t="s">
        <v>152</v>
      </c>
      <c r="F44" s="218" t="s">
        <v>151</v>
      </c>
      <c r="G44" s="218" t="str">
        <f>$D$9 &amp; "-"&amp;测试大纲!I$13&amp;"-"&amp;TEXT(SUBTOTAL(103,$C$11:C44),"000")</f>
        <v>Web-LGBB-034</v>
      </c>
      <c r="H44" s="219" t="s">
        <v>337</v>
      </c>
      <c r="I44" s="219" t="s">
        <v>62</v>
      </c>
      <c r="J44" s="220" t="s">
        <v>589</v>
      </c>
      <c r="K44" s="225" t="s">
        <v>977</v>
      </c>
      <c r="L44" s="215" t="s">
        <v>521</v>
      </c>
      <c r="M44" s="230"/>
      <c r="N44" s="220" t="s">
        <v>177</v>
      </c>
      <c r="O44" s="214"/>
      <c r="P44" s="222"/>
      <c r="Q44" s="222"/>
      <c r="R44" s="223"/>
      <c r="S44" s="223"/>
      <c r="T44" s="222"/>
      <c r="U44" s="214"/>
      <c r="V44" s="222"/>
      <c r="W44" s="223"/>
      <c r="X44" s="222"/>
      <c r="Y44" s="214"/>
      <c r="Z44" s="222"/>
      <c r="AA44" s="223"/>
      <c r="AB44" s="222"/>
      <c r="AC44" s="214"/>
      <c r="AD44" s="222"/>
      <c r="AE44" s="222"/>
    </row>
    <row r="45" spans="1:31" ht="36">
      <c r="A45" s="23"/>
      <c r="B45" s="215">
        <f>SUBTOTAL(103,$C$11:C45)</f>
        <v>35</v>
      </c>
      <c r="C45" s="215">
        <f>测试大纲!$A$13</f>
        <v>3</v>
      </c>
      <c r="D45" s="216" t="s">
        <v>159</v>
      </c>
      <c r="E45" s="217" t="s">
        <v>152</v>
      </c>
      <c r="F45" s="218" t="s">
        <v>151</v>
      </c>
      <c r="G45" s="218" t="str">
        <f>$D$9 &amp; "-"&amp;测试大纲!I$13&amp;"-"&amp;TEXT(SUBTOTAL(103,$C$11:C45),"000")</f>
        <v>Web-LGBB-035</v>
      </c>
      <c r="H45" s="219" t="s">
        <v>337</v>
      </c>
      <c r="I45" s="219" t="s">
        <v>62</v>
      </c>
      <c r="J45" s="220" t="s">
        <v>590</v>
      </c>
      <c r="K45" s="225" t="s">
        <v>977</v>
      </c>
      <c r="L45" s="215" t="s">
        <v>522</v>
      </c>
      <c r="M45" s="230"/>
      <c r="N45" s="220" t="s">
        <v>178</v>
      </c>
      <c r="O45" s="214"/>
      <c r="P45" s="222"/>
      <c r="Q45" s="222"/>
      <c r="R45" s="223"/>
      <c r="S45" s="223"/>
      <c r="T45" s="222"/>
      <c r="U45" s="214"/>
      <c r="V45" s="222"/>
      <c r="W45" s="223"/>
      <c r="X45" s="222"/>
      <c r="Y45" s="214"/>
      <c r="Z45" s="222"/>
      <c r="AA45" s="223"/>
      <c r="AB45" s="222"/>
      <c r="AC45" s="214"/>
      <c r="AD45" s="222"/>
      <c r="AE45" s="222"/>
    </row>
    <row r="46" spans="1:31" ht="36">
      <c r="A46" s="23"/>
      <c r="B46" s="215">
        <f>SUBTOTAL(103,$C$11:C46)</f>
        <v>36</v>
      </c>
      <c r="C46" s="215">
        <f>测试大纲!$A$13</f>
        <v>3</v>
      </c>
      <c r="D46" s="216" t="s">
        <v>159</v>
      </c>
      <c r="E46" s="217" t="s">
        <v>152</v>
      </c>
      <c r="F46" s="218" t="s">
        <v>151</v>
      </c>
      <c r="G46" s="218" t="str">
        <f>$D$9 &amp; "-"&amp;测试大纲!I$13&amp;"-"&amp;TEXT(SUBTOTAL(103,$C$11:C46),"000")</f>
        <v>Web-LGBB-036</v>
      </c>
      <c r="H46" s="219" t="s">
        <v>337</v>
      </c>
      <c r="I46" s="219" t="s">
        <v>165</v>
      </c>
      <c r="J46" s="220" t="s">
        <v>591</v>
      </c>
      <c r="K46" s="225" t="s">
        <v>977</v>
      </c>
      <c r="L46" s="230" t="s">
        <v>171</v>
      </c>
      <c r="M46" s="231">
        <v>0</v>
      </c>
      <c r="N46" s="220" t="s">
        <v>471</v>
      </c>
      <c r="O46" s="214"/>
      <c r="P46" s="222"/>
      <c r="Q46" s="222"/>
      <c r="R46" s="223"/>
      <c r="S46" s="223"/>
      <c r="T46" s="222"/>
      <c r="U46" s="214"/>
      <c r="V46" s="222"/>
      <c r="W46" s="223"/>
      <c r="X46" s="222"/>
      <c r="Y46" s="214"/>
      <c r="Z46" s="222"/>
      <c r="AA46" s="223"/>
      <c r="AB46" s="222"/>
      <c r="AC46" s="214"/>
      <c r="AD46" s="222"/>
      <c r="AE46" s="222"/>
    </row>
    <row r="47" spans="1:31" ht="36">
      <c r="A47" s="23"/>
      <c r="B47" s="215">
        <f>SUBTOTAL(103,$C$11:C47)</f>
        <v>37</v>
      </c>
      <c r="C47" s="215">
        <f>测试大纲!$A$13</f>
        <v>3</v>
      </c>
      <c r="D47" s="216" t="s">
        <v>159</v>
      </c>
      <c r="E47" s="217" t="s">
        <v>152</v>
      </c>
      <c r="F47" s="218" t="s">
        <v>151</v>
      </c>
      <c r="G47" s="218" t="str">
        <f>$D$9 &amp; "-"&amp;测试大纲!I$13&amp;"-"&amp;TEXT(SUBTOTAL(103,$C$11:C47),"000")</f>
        <v>Web-LGBB-037</v>
      </c>
      <c r="H47" s="219" t="s">
        <v>337</v>
      </c>
      <c r="I47" s="219" t="s">
        <v>62</v>
      </c>
      <c r="J47" s="220" t="s">
        <v>592</v>
      </c>
      <c r="K47" s="225" t="s">
        <v>977</v>
      </c>
      <c r="L47" s="230"/>
      <c r="M47" s="231"/>
      <c r="N47" s="220" t="s">
        <v>433</v>
      </c>
      <c r="O47" s="214"/>
      <c r="P47" s="222"/>
      <c r="Q47" s="222"/>
      <c r="R47" s="223"/>
      <c r="S47" s="223"/>
      <c r="T47" s="222"/>
      <c r="U47" s="214"/>
      <c r="V47" s="222"/>
      <c r="W47" s="223"/>
      <c r="X47" s="222"/>
      <c r="Y47" s="214"/>
      <c r="Z47" s="222"/>
      <c r="AA47" s="223"/>
      <c r="AB47" s="222"/>
      <c r="AC47" s="214"/>
      <c r="AD47" s="222"/>
      <c r="AE47" s="222"/>
    </row>
    <row r="48" spans="1:31" ht="36">
      <c r="A48" s="23"/>
      <c r="B48" s="215">
        <f>SUBTOTAL(103,$C$11:C48)</f>
        <v>38</v>
      </c>
      <c r="C48" s="215">
        <f>测试大纲!$A$13</f>
        <v>3</v>
      </c>
      <c r="D48" s="216" t="s">
        <v>159</v>
      </c>
      <c r="E48" s="217" t="s">
        <v>152</v>
      </c>
      <c r="F48" s="218" t="s">
        <v>151</v>
      </c>
      <c r="G48" s="218" t="str">
        <f>$D$9 &amp; "-"&amp;测试大纲!I$13&amp;"-"&amp;TEXT(SUBTOTAL(103,$C$11:C48),"000")</f>
        <v>Web-LGBB-038</v>
      </c>
      <c r="H48" s="219" t="s">
        <v>337</v>
      </c>
      <c r="I48" s="219" t="s">
        <v>62</v>
      </c>
      <c r="J48" s="220" t="s">
        <v>593</v>
      </c>
      <c r="K48" s="225" t="s">
        <v>977</v>
      </c>
      <c r="L48" s="225" t="s">
        <v>415</v>
      </c>
      <c r="M48" s="231"/>
      <c r="N48" s="220" t="s">
        <v>433</v>
      </c>
      <c r="O48" s="214"/>
      <c r="P48" s="222"/>
      <c r="Q48" s="222"/>
      <c r="R48" s="223"/>
      <c r="S48" s="223"/>
      <c r="T48" s="222"/>
      <c r="U48" s="214"/>
      <c r="V48" s="222"/>
      <c r="W48" s="223"/>
      <c r="X48" s="222"/>
      <c r="Y48" s="214"/>
      <c r="Z48" s="222"/>
      <c r="AA48" s="223"/>
      <c r="AB48" s="222"/>
      <c r="AC48" s="214"/>
      <c r="AD48" s="222"/>
      <c r="AE48" s="222"/>
    </row>
    <row r="49" spans="1:31" ht="36">
      <c r="A49" s="23"/>
      <c r="B49" s="215">
        <f>SUBTOTAL(103,$C$11:C49)</f>
        <v>39</v>
      </c>
      <c r="C49" s="215">
        <f>测试大纲!$A$13</f>
        <v>3</v>
      </c>
      <c r="D49" s="216" t="s">
        <v>159</v>
      </c>
      <c r="E49" s="217" t="s">
        <v>152</v>
      </c>
      <c r="F49" s="218" t="s">
        <v>151</v>
      </c>
      <c r="G49" s="218" t="str">
        <f>$D$9 &amp; "-"&amp;测试大纲!I$13&amp;"-"&amp;TEXT(SUBTOTAL(103,$C$11:C49),"000")</f>
        <v>Web-LGBB-039</v>
      </c>
      <c r="H49" s="219" t="s">
        <v>337</v>
      </c>
      <c r="I49" s="219" t="s">
        <v>62</v>
      </c>
      <c r="J49" s="220" t="s">
        <v>594</v>
      </c>
      <c r="K49" s="225" t="s">
        <v>977</v>
      </c>
      <c r="L49" s="215" t="s">
        <v>478</v>
      </c>
      <c r="M49" s="225" t="s">
        <v>437</v>
      </c>
      <c r="N49" s="220" t="s">
        <v>438</v>
      </c>
      <c r="O49" s="214"/>
      <c r="P49" s="222"/>
      <c r="Q49" s="222"/>
      <c r="R49" s="223"/>
      <c r="S49" s="223"/>
      <c r="T49" s="222"/>
      <c r="U49" s="214"/>
      <c r="V49" s="222"/>
      <c r="W49" s="223"/>
      <c r="X49" s="222"/>
      <c r="Y49" s="214"/>
      <c r="Z49" s="222"/>
      <c r="AA49" s="223"/>
      <c r="AB49" s="222"/>
      <c r="AC49" s="214"/>
      <c r="AD49" s="222"/>
      <c r="AE49" s="222"/>
    </row>
    <row r="50" spans="1:31" ht="36">
      <c r="A50" s="23"/>
      <c r="B50" s="215">
        <f>SUBTOTAL(103,$C$11:C50)</f>
        <v>40</v>
      </c>
      <c r="C50" s="215">
        <f>测试大纲!$A$13</f>
        <v>3</v>
      </c>
      <c r="D50" s="216" t="s">
        <v>159</v>
      </c>
      <c r="E50" s="217" t="s">
        <v>152</v>
      </c>
      <c r="F50" s="218" t="s">
        <v>151</v>
      </c>
      <c r="G50" s="218" t="str">
        <f>$D$9 &amp; "-"&amp;测试大纲!I$13&amp;"-"&amp;TEXT(SUBTOTAL(103,$C$11:C50),"000")</f>
        <v>Web-LGBB-040</v>
      </c>
      <c r="H50" s="219" t="s">
        <v>337</v>
      </c>
      <c r="I50" s="219" t="s">
        <v>62</v>
      </c>
      <c r="J50" s="220" t="s">
        <v>595</v>
      </c>
      <c r="K50" s="215" t="s">
        <v>977</v>
      </c>
      <c r="L50" s="215" t="s">
        <v>476</v>
      </c>
      <c r="M50" s="215"/>
      <c r="N50" s="220" t="s">
        <v>477</v>
      </c>
      <c r="O50" s="214"/>
      <c r="P50" s="222"/>
      <c r="Q50" s="222"/>
      <c r="R50" s="223"/>
      <c r="S50" s="223"/>
      <c r="T50" s="222"/>
      <c r="U50" s="214"/>
      <c r="V50" s="222"/>
      <c r="W50" s="223"/>
      <c r="X50" s="222"/>
      <c r="Y50" s="214"/>
      <c r="Z50" s="222"/>
      <c r="AA50" s="223"/>
      <c r="AB50" s="222"/>
      <c r="AC50" s="214"/>
      <c r="AD50" s="222"/>
      <c r="AE50" s="222"/>
    </row>
    <row r="51" spans="1:31" ht="48">
      <c r="A51" s="23"/>
      <c r="B51" s="215">
        <f>SUBTOTAL(103,$C$11:C51)</f>
        <v>41</v>
      </c>
      <c r="C51" s="215">
        <f>测试大纲!$A$13</f>
        <v>3</v>
      </c>
      <c r="D51" s="216" t="s">
        <v>159</v>
      </c>
      <c r="E51" s="217" t="s">
        <v>152</v>
      </c>
      <c r="F51" s="218" t="s">
        <v>151</v>
      </c>
      <c r="G51" s="218" t="str">
        <f>$D$9 &amp; "-"&amp;测试大纲!I$13&amp;"-"&amp;TEXT(SUBTOTAL(103,$C$11:C51),"000")</f>
        <v>Web-LGBB-041</v>
      </c>
      <c r="H51" s="219" t="s">
        <v>337</v>
      </c>
      <c r="I51" s="219" t="s">
        <v>165</v>
      </c>
      <c r="J51" s="220" t="s">
        <v>596</v>
      </c>
      <c r="K51" s="215" t="s">
        <v>977</v>
      </c>
      <c r="L51" s="215" t="s">
        <v>479</v>
      </c>
      <c r="M51" s="215" t="s">
        <v>480</v>
      </c>
      <c r="N51" s="220" t="s">
        <v>481</v>
      </c>
      <c r="O51" s="214"/>
      <c r="P51" s="222"/>
      <c r="Q51" s="222"/>
      <c r="R51" s="223"/>
      <c r="S51" s="223"/>
      <c r="T51" s="222"/>
      <c r="U51" s="214"/>
      <c r="V51" s="222"/>
      <c r="W51" s="223"/>
      <c r="X51" s="222"/>
      <c r="Y51" s="214"/>
      <c r="Z51" s="222"/>
      <c r="AA51" s="223"/>
      <c r="AB51" s="222"/>
      <c r="AC51" s="214"/>
      <c r="AD51" s="222"/>
      <c r="AE51" s="222"/>
    </row>
    <row r="52" spans="1:31" ht="156">
      <c r="A52" s="23"/>
      <c r="B52" s="215">
        <f>SUBTOTAL(103,$C$11:C52)</f>
        <v>42</v>
      </c>
      <c r="C52" s="215">
        <f>测试大纲!$A$13</f>
        <v>3</v>
      </c>
      <c r="D52" s="216" t="s">
        <v>159</v>
      </c>
      <c r="E52" s="217" t="s">
        <v>152</v>
      </c>
      <c r="F52" s="230" t="s">
        <v>179</v>
      </c>
      <c r="G52" s="218" t="str">
        <f>$D$9 &amp; "-"&amp;测试大纲!I$13&amp;"-"&amp;TEXT(SUBTOTAL(103,$C$11:C52),"000")</f>
        <v>Web-LGBB-042</v>
      </c>
      <c r="H52" s="219" t="s">
        <v>337</v>
      </c>
      <c r="I52" s="219" t="s">
        <v>62</v>
      </c>
      <c r="J52" s="220" t="s">
        <v>539</v>
      </c>
      <c r="K52" s="217" t="s">
        <v>978</v>
      </c>
      <c r="L52" s="221"/>
      <c r="M52" s="215"/>
      <c r="N52" s="221" t="s">
        <v>524</v>
      </c>
      <c r="O52" s="214"/>
      <c r="P52" s="222"/>
      <c r="Q52" s="222"/>
      <c r="R52" s="223"/>
      <c r="S52" s="223"/>
      <c r="T52" s="222"/>
      <c r="U52" s="214"/>
      <c r="V52" s="222"/>
      <c r="W52" s="223"/>
      <c r="X52" s="222"/>
      <c r="Y52" s="214"/>
      <c r="Z52" s="222"/>
      <c r="AA52" s="223"/>
      <c r="AB52" s="222"/>
      <c r="AC52" s="214"/>
      <c r="AD52" s="222"/>
      <c r="AE52" s="222"/>
    </row>
    <row r="53" spans="1:31" ht="48">
      <c r="A53" s="23"/>
      <c r="B53" s="215">
        <f>SUBTOTAL(103,$C$11:C53)</f>
        <v>43</v>
      </c>
      <c r="C53" s="215">
        <f>测试大纲!$A$13</f>
        <v>3</v>
      </c>
      <c r="D53" s="216" t="s">
        <v>159</v>
      </c>
      <c r="E53" s="217" t="s">
        <v>152</v>
      </c>
      <c r="F53" s="230" t="s">
        <v>179</v>
      </c>
      <c r="G53" s="218" t="str">
        <f>$D$9 &amp; "-"&amp;测试大纲!I$13&amp;"-"&amp;TEXT(SUBTOTAL(103,$C$11:C53),"000")</f>
        <v>Web-LGBB-043</v>
      </c>
      <c r="H53" s="219" t="s">
        <v>337</v>
      </c>
      <c r="I53" s="219" t="s">
        <v>62</v>
      </c>
      <c r="J53" s="220" t="s">
        <v>597</v>
      </c>
      <c r="K53" s="215" t="s">
        <v>978</v>
      </c>
      <c r="L53" s="221"/>
      <c r="M53" s="215"/>
      <c r="N53" s="220" t="s">
        <v>966</v>
      </c>
      <c r="O53" s="214"/>
      <c r="P53" s="222"/>
      <c r="Q53" s="222"/>
      <c r="R53" s="223"/>
      <c r="S53" s="223"/>
      <c r="T53" s="222"/>
      <c r="U53" s="214"/>
      <c r="V53" s="222"/>
      <c r="W53" s="223"/>
      <c r="X53" s="222"/>
      <c r="Y53" s="214"/>
      <c r="Z53" s="222"/>
      <c r="AA53" s="223"/>
      <c r="AB53" s="222"/>
      <c r="AC53" s="214"/>
      <c r="AD53" s="222"/>
      <c r="AE53" s="222"/>
    </row>
    <row r="54" spans="1:31" ht="36">
      <c r="A54" s="23"/>
      <c r="B54" s="215">
        <f>SUBTOTAL(103,$C$11:C54)</f>
        <v>44</v>
      </c>
      <c r="C54" s="215">
        <f>测试大纲!$A$13</f>
        <v>3</v>
      </c>
      <c r="D54" s="216" t="s">
        <v>159</v>
      </c>
      <c r="E54" s="217" t="s">
        <v>152</v>
      </c>
      <c r="F54" s="230" t="s">
        <v>179</v>
      </c>
      <c r="G54" s="218" t="str">
        <f>$D$9 &amp; "-"&amp;测试大纲!I$13&amp;"-"&amp;TEXT(SUBTOTAL(103,$C$11:C54),"000")</f>
        <v>Web-LGBB-044</v>
      </c>
      <c r="H54" s="219" t="s">
        <v>337</v>
      </c>
      <c r="I54" s="219" t="s">
        <v>62</v>
      </c>
      <c r="J54" s="220" t="s">
        <v>833</v>
      </c>
      <c r="K54" s="217" t="s">
        <v>978</v>
      </c>
      <c r="L54" s="215" t="s">
        <v>921</v>
      </c>
      <c r="M54" s="229" t="s">
        <v>358</v>
      </c>
      <c r="N54" s="220" t="s">
        <v>834</v>
      </c>
      <c r="O54" s="214"/>
      <c r="P54" s="222"/>
      <c r="Q54" s="222"/>
      <c r="R54" s="223"/>
      <c r="S54" s="223"/>
      <c r="T54" s="222"/>
      <c r="U54" s="214"/>
      <c r="V54" s="222"/>
      <c r="W54" s="223"/>
      <c r="X54" s="222"/>
      <c r="Y54" s="214"/>
      <c r="Z54" s="222"/>
      <c r="AA54" s="223"/>
      <c r="AB54" s="222"/>
      <c r="AC54" s="214"/>
      <c r="AD54" s="222"/>
      <c r="AE54" s="222"/>
    </row>
    <row r="55" spans="1:31" ht="36">
      <c r="A55" s="23"/>
      <c r="B55" s="215">
        <f>SUBTOTAL(103,$C$11:C55)</f>
        <v>45</v>
      </c>
      <c r="C55" s="215">
        <f>测试大纲!$A$13</f>
        <v>3</v>
      </c>
      <c r="D55" s="216" t="s">
        <v>159</v>
      </c>
      <c r="E55" s="217" t="s">
        <v>152</v>
      </c>
      <c r="F55" s="230" t="s">
        <v>179</v>
      </c>
      <c r="G55" s="218" t="str">
        <f>$D$9 &amp; "-"&amp;测试大纲!I$13&amp;"-"&amp;TEXT(SUBTOTAL(103,$C$11:C55),"000")</f>
        <v>Web-LGBB-045</v>
      </c>
      <c r="H55" s="219" t="s">
        <v>337</v>
      </c>
      <c r="I55" s="219" t="s">
        <v>62</v>
      </c>
      <c r="J55" s="220" t="s">
        <v>600</v>
      </c>
      <c r="K55" s="215" t="s">
        <v>978</v>
      </c>
      <c r="L55" s="215" t="s">
        <v>922</v>
      </c>
      <c r="M55" s="215" t="s">
        <v>501</v>
      </c>
      <c r="N55" s="220" t="s">
        <v>502</v>
      </c>
      <c r="O55" s="214"/>
      <c r="P55" s="222"/>
      <c r="Q55" s="222"/>
      <c r="R55" s="223"/>
      <c r="S55" s="223"/>
      <c r="T55" s="222"/>
      <c r="U55" s="214"/>
      <c r="V55" s="222"/>
      <c r="W55" s="223"/>
      <c r="X55" s="222"/>
      <c r="Y55" s="214"/>
      <c r="Z55" s="222"/>
      <c r="AA55" s="223"/>
      <c r="AB55" s="222"/>
      <c r="AC55" s="214"/>
      <c r="AD55" s="222"/>
      <c r="AE55" s="222"/>
    </row>
    <row r="56" spans="1:31" ht="24">
      <c r="A56" s="23"/>
      <c r="B56" s="215">
        <f>SUBTOTAL(103,$C$11:C56)</f>
        <v>46</v>
      </c>
      <c r="C56" s="215">
        <f>测试大纲!$A$13</f>
        <v>3</v>
      </c>
      <c r="D56" s="216" t="s">
        <v>159</v>
      </c>
      <c r="E56" s="217" t="s">
        <v>152</v>
      </c>
      <c r="F56" s="230" t="s">
        <v>179</v>
      </c>
      <c r="G56" s="218" t="str">
        <f>$D$9 &amp; "-"&amp;测试大纲!I$13&amp;"-"&amp;TEXT(SUBTOTAL(103,$C$11:C56),"000")</f>
        <v>Web-LGBB-046</v>
      </c>
      <c r="H56" s="219" t="s">
        <v>337</v>
      </c>
      <c r="I56" s="219" t="s">
        <v>62</v>
      </c>
      <c r="J56" s="220" t="s">
        <v>601</v>
      </c>
      <c r="K56" s="217" t="s">
        <v>978</v>
      </c>
      <c r="L56" s="215" t="s">
        <v>923</v>
      </c>
      <c r="M56" s="215" t="s">
        <v>483</v>
      </c>
      <c r="N56" s="220" t="s">
        <v>482</v>
      </c>
      <c r="O56" s="214"/>
      <c r="P56" s="222"/>
      <c r="Q56" s="222"/>
      <c r="R56" s="223"/>
      <c r="S56" s="223"/>
      <c r="T56" s="222"/>
      <c r="U56" s="214"/>
      <c r="V56" s="222"/>
      <c r="W56" s="223"/>
      <c r="X56" s="222"/>
      <c r="Y56" s="214"/>
      <c r="Z56" s="222"/>
      <c r="AA56" s="223"/>
      <c r="AB56" s="222"/>
      <c r="AC56" s="214"/>
      <c r="AD56" s="222"/>
      <c r="AE56" s="222"/>
    </row>
    <row r="57" spans="1:31" ht="24">
      <c r="A57" s="23"/>
      <c r="B57" s="215">
        <f>SUBTOTAL(103,$C$11:C57)</f>
        <v>47</v>
      </c>
      <c r="C57" s="215">
        <f>测试大纲!$A$13</f>
        <v>3</v>
      </c>
      <c r="D57" s="216" t="s">
        <v>159</v>
      </c>
      <c r="E57" s="217" t="s">
        <v>152</v>
      </c>
      <c r="F57" s="230" t="s">
        <v>179</v>
      </c>
      <c r="G57" s="218" t="str">
        <f>$D$9 &amp; "-"&amp;测试大纲!I$13&amp;"-"&amp;TEXT(SUBTOTAL(103,$C$11:C57),"000")</f>
        <v>Web-LGBB-047</v>
      </c>
      <c r="H57" s="219" t="s">
        <v>337</v>
      </c>
      <c r="I57" s="219" t="s">
        <v>62</v>
      </c>
      <c r="J57" s="220" t="s">
        <v>602</v>
      </c>
      <c r="K57" s="217" t="s">
        <v>978</v>
      </c>
      <c r="L57" s="215" t="s">
        <v>924</v>
      </c>
      <c r="M57" s="215" t="s">
        <v>484</v>
      </c>
      <c r="N57" s="220" t="s">
        <v>482</v>
      </c>
      <c r="O57" s="214"/>
      <c r="P57" s="222"/>
      <c r="Q57" s="222"/>
      <c r="R57" s="223"/>
      <c r="S57" s="223"/>
      <c r="T57" s="222"/>
      <c r="U57" s="214"/>
      <c r="V57" s="222"/>
      <c r="W57" s="223"/>
      <c r="X57" s="222"/>
      <c r="Y57" s="214"/>
      <c r="Z57" s="222"/>
      <c r="AA57" s="223"/>
      <c r="AB57" s="222"/>
      <c r="AC57" s="214"/>
      <c r="AD57" s="222"/>
      <c r="AE57" s="222"/>
    </row>
    <row r="58" spans="1:31" ht="24">
      <c r="A58" s="23"/>
      <c r="B58" s="215">
        <f>SUBTOTAL(103,$C$11:C58)</f>
        <v>48</v>
      </c>
      <c r="C58" s="215">
        <f>测试大纲!$A$13</f>
        <v>3</v>
      </c>
      <c r="D58" s="216" t="s">
        <v>159</v>
      </c>
      <c r="E58" s="217" t="s">
        <v>152</v>
      </c>
      <c r="F58" s="230" t="s">
        <v>179</v>
      </c>
      <c r="G58" s="218" t="str">
        <f>$D$9 &amp; "-"&amp;测试大纲!I$13&amp;"-"&amp;TEXT(SUBTOTAL(103,$C$11:C58),"000")</f>
        <v>Web-LGBB-048</v>
      </c>
      <c r="H58" s="219" t="s">
        <v>337</v>
      </c>
      <c r="I58" s="219" t="s">
        <v>62</v>
      </c>
      <c r="J58" s="220" t="s">
        <v>603</v>
      </c>
      <c r="K58" s="217" t="s">
        <v>978</v>
      </c>
      <c r="L58" s="215" t="s">
        <v>925</v>
      </c>
      <c r="M58" s="215" t="s">
        <v>485</v>
      </c>
      <c r="N58" s="220" t="s">
        <v>482</v>
      </c>
      <c r="O58" s="214"/>
      <c r="P58" s="222"/>
      <c r="Q58" s="222"/>
      <c r="R58" s="223"/>
      <c r="S58" s="223"/>
      <c r="T58" s="222"/>
      <c r="U58" s="214"/>
      <c r="V58" s="222"/>
      <c r="W58" s="223"/>
      <c r="X58" s="222"/>
      <c r="Y58" s="214"/>
      <c r="Z58" s="222"/>
      <c r="AA58" s="223"/>
      <c r="AB58" s="222"/>
      <c r="AC58" s="214"/>
      <c r="AD58" s="222"/>
      <c r="AE58" s="222"/>
    </row>
    <row r="59" spans="1:31" ht="24">
      <c r="A59" s="23"/>
      <c r="B59" s="215">
        <f>SUBTOTAL(103,$C$11:C59)</f>
        <v>49</v>
      </c>
      <c r="C59" s="215">
        <f>测试大纲!$A$13</f>
        <v>3</v>
      </c>
      <c r="D59" s="216" t="s">
        <v>159</v>
      </c>
      <c r="E59" s="217" t="s">
        <v>152</v>
      </c>
      <c r="F59" s="230" t="s">
        <v>179</v>
      </c>
      <c r="G59" s="218" t="str">
        <f>$D$9 &amp; "-"&amp;测试大纲!I$13&amp;"-"&amp;TEXT(SUBTOTAL(103,$C$11:C59),"000")</f>
        <v>Web-LGBB-049</v>
      </c>
      <c r="H59" s="219" t="s">
        <v>337</v>
      </c>
      <c r="I59" s="219" t="s">
        <v>62</v>
      </c>
      <c r="J59" s="220" t="s">
        <v>604</v>
      </c>
      <c r="K59" s="217" t="s">
        <v>978</v>
      </c>
      <c r="L59" s="215" t="s">
        <v>926</v>
      </c>
      <c r="M59" s="215" t="s">
        <v>486</v>
      </c>
      <c r="N59" s="220" t="s">
        <v>482</v>
      </c>
      <c r="O59" s="214"/>
      <c r="P59" s="222"/>
      <c r="Q59" s="222"/>
      <c r="R59" s="223"/>
      <c r="S59" s="223"/>
      <c r="T59" s="222"/>
      <c r="U59" s="214"/>
      <c r="V59" s="222"/>
      <c r="W59" s="223"/>
      <c r="X59" s="222"/>
      <c r="Y59" s="214"/>
      <c r="Z59" s="222"/>
      <c r="AA59" s="223"/>
      <c r="AB59" s="222"/>
      <c r="AC59" s="214"/>
      <c r="AD59" s="222"/>
      <c r="AE59" s="222"/>
    </row>
    <row r="60" spans="1:31" ht="24">
      <c r="A60" s="23"/>
      <c r="B60" s="215">
        <f>SUBTOTAL(103,$C$11:C60)</f>
        <v>50</v>
      </c>
      <c r="C60" s="215">
        <f>测试大纲!$A$13</f>
        <v>3</v>
      </c>
      <c r="D60" s="216" t="s">
        <v>159</v>
      </c>
      <c r="E60" s="217" t="s">
        <v>152</v>
      </c>
      <c r="F60" s="230" t="s">
        <v>179</v>
      </c>
      <c r="G60" s="218" t="str">
        <f>$D$9 &amp; "-"&amp;测试大纲!I$13&amp;"-"&amp;TEXT(SUBTOTAL(103,$C$11:C60),"000")</f>
        <v>Web-LGBB-050</v>
      </c>
      <c r="H60" s="219" t="s">
        <v>337</v>
      </c>
      <c r="I60" s="219" t="s">
        <v>62</v>
      </c>
      <c r="J60" s="220" t="s">
        <v>605</v>
      </c>
      <c r="K60" s="215" t="s">
        <v>978</v>
      </c>
      <c r="L60" s="215" t="s">
        <v>927</v>
      </c>
      <c r="M60" s="232" t="s">
        <v>487</v>
      </c>
      <c r="N60" s="220" t="s">
        <v>482</v>
      </c>
      <c r="O60" s="214"/>
      <c r="P60" s="222"/>
      <c r="Q60" s="222"/>
      <c r="R60" s="223"/>
      <c r="S60" s="223"/>
      <c r="T60" s="222"/>
      <c r="U60" s="214"/>
      <c r="V60" s="222"/>
      <c r="W60" s="223"/>
      <c r="X60" s="222"/>
      <c r="Y60" s="214"/>
      <c r="Z60" s="222"/>
      <c r="AA60" s="223"/>
      <c r="AB60" s="222"/>
      <c r="AC60" s="214"/>
      <c r="AD60" s="222"/>
      <c r="AE60" s="222"/>
    </row>
    <row r="61" spans="1:31" ht="36">
      <c r="A61" s="23"/>
      <c r="B61" s="215">
        <f>SUBTOTAL(103,$C$11:C61)</f>
        <v>51</v>
      </c>
      <c r="C61" s="215">
        <f>测试大纲!$A$13</f>
        <v>3</v>
      </c>
      <c r="D61" s="216" t="s">
        <v>159</v>
      </c>
      <c r="E61" s="217" t="s">
        <v>152</v>
      </c>
      <c r="F61" s="230" t="s">
        <v>179</v>
      </c>
      <c r="G61" s="218" t="str">
        <f>$D$9 &amp; "-"&amp;测试大纲!I$13&amp;"-"&amp;TEXT(SUBTOTAL(103,$C$11:C61),"000")</f>
        <v>Web-LGBB-051</v>
      </c>
      <c r="H61" s="219" t="s">
        <v>338</v>
      </c>
      <c r="I61" s="219" t="s">
        <v>165</v>
      </c>
      <c r="J61" s="220" t="s">
        <v>598</v>
      </c>
      <c r="K61" s="215" t="s">
        <v>978</v>
      </c>
      <c r="L61" s="215" t="s">
        <v>922</v>
      </c>
      <c r="M61" s="215" t="s">
        <v>503</v>
      </c>
      <c r="N61" s="220" t="s">
        <v>835</v>
      </c>
      <c r="O61" s="214"/>
      <c r="P61" s="222"/>
      <c r="Q61" s="222"/>
      <c r="R61" s="223"/>
      <c r="S61" s="223"/>
      <c r="T61" s="222"/>
      <c r="U61" s="214"/>
      <c r="V61" s="222"/>
      <c r="W61" s="223"/>
      <c r="X61" s="222"/>
      <c r="Y61" s="214"/>
      <c r="Z61" s="222"/>
      <c r="AA61" s="223"/>
      <c r="AB61" s="222"/>
      <c r="AC61" s="214"/>
      <c r="AD61" s="222"/>
      <c r="AE61" s="222"/>
    </row>
    <row r="62" spans="1:31" ht="120">
      <c r="A62" s="23"/>
      <c r="B62" s="215">
        <f>SUBTOTAL(103,$C$11:C62)</f>
        <v>52</v>
      </c>
      <c r="C62" s="215">
        <f>测试大纲!$A$13</f>
        <v>3</v>
      </c>
      <c r="D62" s="216" t="s">
        <v>159</v>
      </c>
      <c r="E62" s="217" t="s">
        <v>152</v>
      </c>
      <c r="F62" s="230" t="s">
        <v>179</v>
      </c>
      <c r="G62" s="218" t="str">
        <f>$D$9 &amp; "-"&amp;测试大纲!I$13&amp;"-"&amp;TEXT(SUBTOTAL(103,$C$11:C62),"000")</f>
        <v>Web-LGBB-052</v>
      </c>
      <c r="H62" s="219" t="s">
        <v>338</v>
      </c>
      <c r="I62" s="219" t="s">
        <v>62</v>
      </c>
      <c r="J62" s="220" t="s">
        <v>599</v>
      </c>
      <c r="K62" s="217" t="s">
        <v>978</v>
      </c>
      <c r="L62" s="215" t="s">
        <v>836</v>
      </c>
      <c r="M62" s="215" t="s">
        <v>563</v>
      </c>
      <c r="N62" s="220" t="s">
        <v>185</v>
      </c>
      <c r="O62" s="214"/>
      <c r="P62" s="222"/>
      <c r="Q62" s="222"/>
      <c r="R62" s="223"/>
      <c r="S62" s="223"/>
      <c r="T62" s="222"/>
      <c r="U62" s="214"/>
      <c r="V62" s="222"/>
      <c r="W62" s="223"/>
      <c r="X62" s="222"/>
      <c r="Y62" s="214"/>
      <c r="Z62" s="222"/>
      <c r="AA62" s="223"/>
      <c r="AB62" s="222"/>
      <c r="AC62" s="214"/>
      <c r="AD62" s="222"/>
      <c r="AE62" s="222"/>
    </row>
    <row r="63" spans="1:31" ht="120">
      <c r="A63" s="23"/>
      <c r="B63" s="215">
        <f>SUBTOTAL(103,$C$11:C63)</f>
        <v>53</v>
      </c>
      <c r="C63" s="215">
        <f>测试大纲!$A$13</f>
        <v>3</v>
      </c>
      <c r="D63" s="216" t="s">
        <v>159</v>
      </c>
      <c r="E63" s="217" t="s">
        <v>152</v>
      </c>
      <c r="F63" s="230" t="s">
        <v>179</v>
      </c>
      <c r="G63" s="218" t="str">
        <f>$D$9 &amp; "-"&amp;测试大纲!I$13&amp;"-"&amp;TEXT(SUBTOTAL(103,$C$11:C63),"000")</f>
        <v>Web-LGBB-053</v>
      </c>
      <c r="H63" s="219" t="s">
        <v>337</v>
      </c>
      <c r="I63" s="219" t="s">
        <v>62</v>
      </c>
      <c r="J63" s="220" t="s">
        <v>606</v>
      </c>
      <c r="K63" s="215" t="s">
        <v>978</v>
      </c>
      <c r="L63" s="215" t="s">
        <v>838</v>
      </c>
      <c r="M63" s="215" t="s">
        <v>837</v>
      </c>
      <c r="N63" s="220" t="s">
        <v>185</v>
      </c>
      <c r="O63" s="214"/>
      <c r="P63" s="222"/>
      <c r="Q63" s="222"/>
      <c r="R63" s="223"/>
      <c r="S63" s="223"/>
      <c r="T63" s="222"/>
      <c r="U63" s="214"/>
      <c r="V63" s="222"/>
      <c r="W63" s="223"/>
      <c r="X63" s="222"/>
      <c r="Y63" s="214"/>
      <c r="Z63" s="222"/>
      <c r="AA63" s="223"/>
      <c r="AB63" s="222"/>
      <c r="AC63" s="214"/>
      <c r="AD63" s="222"/>
      <c r="AE63" s="222"/>
    </row>
    <row r="64" spans="1:31" ht="96">
      <c r="A64" s="23"/>
      <c r="B64" s="215">
        <f>SUBTOTAL(103,$C$11:C64)</f>
        <v>54</v>
      </c>
      <c r="C64" s="215">
        <f>测试大纲!$A$13</f>
        <v>3</v>
      </c>
      <c r="D64" s="216" t="s">
        <v>159</v>
      </c>
      <c r="E64" s="217" t="s">
        <v>152</v>
      </c>
      <c r="F64" s="230" t="s">
        <v>179</v>
      </c>
      <c r="G64" s="218" t="str">
        <f>$D$9 &amp; "-"&amp;测试大纲!I$13&amp;"-"&amp;TEXT(SUBTOTAL(103,$C$11:C64),"000")</f>
        <v>Web-LGBB-054</v>
      </c>
      <c r="H64" s="219" t="s">
        <v>337</v>
      </c>
      <c r="I64" s="219" t="s">
        <v>62</v>
      </c>
      <c r="J64" s="220" t="s">
        <v>607</v>
      </c>
      <c r="K64" s="217" t="s">
        <v>978</v>
      </c>
      <c r="L64" s="215" t="s">
        <v>492</v>
      </c>
      <c r="M64" s="215" t="s">
        <v>491</v>
      </c>
      <c r="N64" s="220" t="s">
        <v>185</v>
      </c>
      <c r="O64" s="214"/>
      <c r="P64" s="222"/>
      <c r="Q64" s="222"/>
      <c r="R64" s="223"/>
      <c r="S64" s="223"/>
      <c r="T64" s="222"/>
      <c r="U64" s="214"/>
      <c r="V64" s="222"/>
      <c r="W64" s="223"/>
      <c r="X64" s="222"/>
      <c r="Y64" s="214"/>
      <c r="Z64" s="222"/>
      <c r="AA64" s="223"/>
      <c r="AB64" s="222"/>
      <c r="AC64" s="214"/>
      <c r="AD64" s="222"/>
      <c r="AE64" s="222"/>
    </row>
    <row r="65" spans="1:31" ht="96">
      <c r="A65" s="23"/>
      <c r="B65" s="215">
        <f>SUBTOTAL(103,$C$11:C65)</f>
        <v>55</v>
      </c>
      <c r="C65" s="215">
        <f>测试大纲!$A$13</f>
        <v>3</v>
      </c>
      <c r="D65" s="216" t="s">
        <v>159</v>
      </c>
      <c r="E65" s="217" t="s">
        <v>152</v>
      </c>
      <c r="F65" s="230" t="s">
        <v>179</v>
      </c>
      <c r="G65" s="218" t="str">
        <f>$D$9 &amp; "-"&amp;测试大纲!I$13&amp;"-"&amp;TEXT(SUBTOTAL(103,$C$11:C65),"000")</f>
        <v>Web-LGBB-055</v>
      </c>
      <c r="H65" s="219" t="s">
        <v>337</v>
      </c>
      <c r="I65" s="219" t="s">
        <v>62</v>
      </c>
      <c r="J65" s="220" t="s">
        <v>608</v>
      </c>
      <c r="K65" s="215" t="s">
        <v>978</v>
      </c>
      <c r="L65" s="215" t="s">
        <v>493</v>
      </c>
      <c r="M65" s="215" t="s">
        <v>491</v>
      </c>
      <c r="N65" s="220" t="s">
        <v>185</v>
      </c>
      <c r="O65" s="214"/>
      <c r="P65" s="222"/>
      <c r="Q65" s="222"/>
      <c r="R65" s="223"/>
      <c r="S65" s="223"/>
      <c r="T65" s="222"/>
      <c r="U65" s="214"/>
      <c r="V65" s="222"/>
      <c r="W65" s="223"/>
      <c r="X65" s="222"/>
      <c r="Y65" s="214"/>
      <c r="Z65" s="222"/>
      <c r="AA65" s="223"/>
      <c r="AB65" s="222"/>
      <c r="AC65" s="214"/>
      <c r="AD65" s="222"/>
      <c r="AE65" s="222"/>
    </row>
    <row r="66" spans="1:31" ht="96">
      <c r="A66" s="23"/>
      <c r="B66" s="215">
        <f>SUBTOTAL(103,$C$11:C66)</f>
        <v>56</v>
      </c>
      <c r="C66" s="215">
        <f>测试大纲!$A$13</f>
        <v>3</v>
      </c>
      <c r="D66" s="216" t="s">
        <v>159</v>
      </c>
      <c r="E66" s="217" t="s">
        <v>152</v>
      </c>
      <c r="F66" s="230" t="s">
        <v>179</v>
      </c>
      <c r="G66" s="218" t="str">
        <f>$D$9 &amp; "-"&amp;测试大纲!I$13&amp;"-"&amp;TEXT(SUBTOTAL(103,$C$11:C66),"000")</f>
        <v>Web-LGBB-056</v>
      </c>
      <c r="H66" s="219" t="s">
        <v>337</v>
      </c>
      <c r="I66" s="219" t="s">
        <v>62</v>
      </c>
      <c r="J66" s="220" t="s">
        <v>609</v>
      </c>
      <c r="K66" s="217" t="s">
        <v>978</v>
      </c>
      <c r="L66" s="215" t="s">
        <v>839</v>
      </c>
      <c r="M66" s="215" t="s">
        <v>491</v>
      </c>
      <c r="N66" s="220" t="s">
        <v>185</v>
      </c>
      <c r="O66" s="214"/>
      <c r="P66" s="222"/>
      <c r="Q66" s="222"/>
      <c r="R66" s="223"/>
      <c r="S66" s="223"/>
      <c r="T66" s="222"/>
      <c r="U66" s="214"/>
      <c r="V66" s="222"/>
      <c r="W66" s="223"/>
      <c r="X66" s="222"/>
      <c r="Y66" s="214"/>
      <c r="Z66" s="222"/>
      <c r="AA66" s="223"/>
      <c r="AB66" s="222"/>
      <c r="AC66" s="214"/>
      <c r="AD66" s="222"/>
      <c r="AE66" s="222"/>
    </row>
    <row r="67" spans="1:31" ht="96">
      <c r="A67" s="23"/>
      <c r="B67" s="215">
        <f>SUBTOTAL(103,$C$11:C67)</f>
        <v>57</v>
      </c>
      <c r="C67" s="215">
        <f>测试大纲!$A$13</f>
        <v>3</v>
      </c>
      <c r="D67" s="216" t="s">
        <v>159</v>
      </c>
      <c r="E67" s="217" t="s">
        <v>152</v>
      </c>
      <c r="F67" s="230" t="s">
        <v>179</v>
      </c>
      <c r="G67" s="218" t="str">
        <f>$D$9 &amp; "-"&amp;测试大纲!I$13&amp;"-"&amp;TEXT(SUBTOTAL(103,$C$11:C67),"000")</f>
        <v>Web-LGBB-057</v>
      </c>
      <c r="H67" s="219" t="s">
        <v>337</v>
      </c>
      <c r="I67" s="219" t="s">
        <v>62</v>
      </c>
      <c r="J67" s="220" t="s">
        <v>610</v>
      </c>
      <c r="K67" s="217" t="s">
        <v>978</v>
      </c>
      <c r="L67" s="215" t="s">
        <v>494</v>
      </c>
      <c r="M67" s="215" t="s">
        <v>491</v>
      </c>
      <c r="N67" s="220" t="s">
        <v>185</v>
      </c>
      <c r="O67" s="214"/>
      <c r="P67" s="222"/>
      <c r="Q67" s="222"/>
      <c r="R67" s="223"/>
      <c r="S67" s="223"/>
      <c r="T67" s="222"/>
      <c r="U67" s="214"/>
      <c r="V67" s="222"/>
      <c r="W67" s="223"/>
      <c r="X67" s="222"/>
      <c r="Y67" s="214"/>
      <c r="Z67" s="222"/>
      <c r="AA67" s="223"/>
      <c r="AB67" s="222"/>
      <c r="AC67" s="214"/>
      <c r="AD67" s="222"/>
      <c r="AE67" s="222"/>
    </row>
    <row r="68" spans="1:31" ht="96">
      <c r="A68" s="23"/>
      <c r="B68" s="215">
        <f>SUBTOTAL(103,$C$11:C68)</f>
        <v>58</v>
      </c>
      <c r="C68" s="215">
        <f>测试大纲!$A$13</f>
        <v>3</v>
      </c>
      <c r="D68" s="216" t="s">
        <v>159</v>
      </c>
      <c r="E68" s="217" t="s">
        <v>152</v>
      </c>
      <c r="F68" s="230" t="s">
        <v>179</v>
      </c>
      <c r="G68" s="218" t="str">
        <f>$D$9 &amp; "-"&amp;测试大纲!I$13&amp;"-"&amp;TEXT(SUBTOTAL(103,$C$11:C68),"000")</f>
        <v>Web-LGBB-058</v>
      </c>
      <c r="H68" s="219" t="s">
        <v>337</v>
      </c>
      <c r="I68" s="219" t="s">
        <v>62</v>
      </c>
      <c r="J68" s="220" t="s">
        <v>616</v>
      </c>
      <c r="K68" s="217" t="s">
        <v>978</v>
      </c>
      <c r="L68" s="215" t="s">
        <v>495</v>
      </c>
      <c r="M68" s="215" t="s">
        <v>491</v>
      </c>
      <c r="N68" s="220" t="s">
        <v>185</v>
      </c>
      <c r="O68" s="214"/>
      <c r="P68" s="222"/>
      <c r="Q68" s="222"/>
      <c r="R68" s="223"/>
      <c r="S68" s="223"/>
      <c r="T68" s="222"/>
      <c r="U68" s="214"/>
      <c r="V68" s="222"/>
      <c r="W68" s="223"/>
      <c r="X68" s="222"/>
      <c r="Y68" s="214"/>
      <c r="Z68" s="222"/>
      <c r="AA68" s="223"/>
      <c r="AB68" s="222"/>
      <c r="AC68" s="214"/>
      <c r="AD68" s="222"/>
      <c r="AE68" s="222"/>
    </row>
    <row r="69" spans="1:31" ht="72">
      <c r="A69" s="23"/>
      <c r="B69" s="215">
        <f>SUBTOTAL(103,$C$11:C69)</f>
        <v>59</v>
      </c>
      <c r="C69" s="215">
        <f>测试大纲!$A$13</f>
        <v>3</v>
      </c>
      <c r="D69" s="216" t="s">
        <v>159</v>
      </c>
      <c r="E69" s="217" t="s">
        <v>152</v>
      </c>
      <c r="F69" s="230" t="s">
        <v>179</v>
      </c>
      <c r="G69" s="218" t="str">
        <f>$D$9 &amp; "-"&amp;测试大纲!I$13&amp;"-"&amp;TEXT(SUBTOTAL(103,$C$11:C69),"000")</f>
        <v>Web-LGBB-059</v>
      </c>
      <c r="H69" s="219" t="s">
        <v>337</v>
      </c>
      <c r="I69" s="219" t="s">
        <v>165</v>
      </c>
      <c r="J69" s="220" t="s">
        <v>617</v>
      </c>
      <c r="K69" s="217" t="s">
        <v>978</v>
      </c>
      <c r="L69" s="229" t="s">
        <v>362</v>
      </c>
      <c r="M69" s="215" t="s">
        <v>366</v>
      </c>
      <c r="N69" s="220" t="s">
        <v>185</v>
      </c>
      <c r="O69" s="214"/>
      <c r="P69" s="222"/>
      <c r="Q69" s="222"/>
      <c r="R69" s="223"/>
      <c r="S69" s="223"/>
      <c r="T69" s="222"/>
      <c r="U69" s="214"/>
      <c r="V69" s="222"/>
      <c r="W69" s="223"/>
      <c r="X69" s="222"/>
      <c r="Y69" s="214"/>
      <c r="Z69" s="222"/>
      <c r="AA69" s="223"/>
      <c r="AB69" s="222"/>
      <c r="AC69" s="214"/>
      <c r="AD69" s="222"/>
      <c r="AE69" s="222"/>
    </row>
    <row r="70" spans="1:31" ht="72">
      <c r="A70" s="23"/>
      <c r="B70" s="215">
        <f>SUBTOTAL(103,$C$11:C70)</f>
        <v>60</v>
      </c>
      <c r="C70" s="215">
        <f>测试大纲!$A$13</f>
        <v>3</v>
      </c>
      <c r="D70" s="216" t="s">
        <v>159</v>
      </c>
      <c r="E70" s="217" t="s">
        <v>152</v>
      </c>
      <c r="F70" s="230" t="s">
        <v>179</v>
      </c>
      <c r="G70" s="218" t="str">
        <f>$D$9 &amp; "-"&amp;测试大纲!I$13&amp;"-"&amp;TEXT(SUBTOTAL(103,$C$11:C70),"000")</f>
        <v>Web-LGBB-060</v>
      </c>
      <c r="H70" s="219" t="s">
        <v>337</v>
      </c>
      <c r="I70" s="219" t="s">
        <v>165</v>
      </c>
      <c r="J70" s="220" t="s">
        <v>618</v>
      </c>
      <c r="K70" s="217" t="s">
        <v>978</v>
      </c>
      <c r="L70" s="229" t="s">
        <v>363</v>
      </c>
      <c r="M70" s="229" t="s">
        <v>352</v>
      </c>
      <c r="N70" s="220" t="s">
        <v>185</v>
      </c>
      <c r="O70" s="214"/>
      <c r="P70" s="222"/>
      <c r="Q70" s="222"/>
      <c r="R70" s="223"/>
      <c r="S70" s="223"/>
      <c r="T70" s="222"/>
      <c r="U70" s="214"/>
      <c r="V70" s="222"/>
      <c r="W70" s="223"/>
      <c r="X70" s="222"/>
      <c r="Y70" s="214"/>
      <c r="Z70" s="222"/>
      <c r="AA70" s="223"/>
      <c r="AB70" s="222"/>
      <c r="AC70" s="214"/>
      <c r="AD70" s="222"/>
      <c r="AE70" s="222"/>
    </row>
    <row r="71" spans="1:31" ht="72">
      <c r="A71" s="23"/>
      <c r="B71" s="215">
        <f>SUBTOTAL(103,$C$11:C71)</f>
        <v>61</v>
      </c>
      <c r="C71" s="215">
        <f>测试大纲!$A$13</f>
        <v>3</v>
      </c>
      <c r="D71" s="216" t="s">
        <v>159</v>
      </c>
      <c r="E71" s="217" t="s">
        <v>152</v>
      </c>
      <c r="F71" s="230" t="s">
        <v>179</v>
      </c>
      <c r="G71" s="218" t="str">
        <f>$D$9 &amp; "-"&amp;测试大纲!I$13&amp;"-"&amp;TEXT(SUBTOTAL(103,$C$11:C71),"000")</f>
        <v>Web-LGBB-061</v>
      </c>
      <c r="H71" s="219" t="s">
        <v>337</v>
      </c>
      <c r="I71" s="219" t="s">
        <v>165</v>
      </c>
      <c r="J71" s="220" t="s">
        <v>619</v>
      </c>
      <c r="K71" s="217" t="s">
        <v>978</v>
      </c>
      <c r="L71" s="229" t="s">
        <v>364</v>
      </c>
      <c r="M71" s="229" t="s">
        <v>365</v>
      </c>
      <c r="N71" s="220" t="s">
        <v>185</v>
      </c>
      <c r="O71" s="214"/>
      <c r="P71" s="222"/>
      <c r="Q71" s="222"/>
      <c r="R71" s="223"/>
      <c r="S71" s="223"/>
      <c r="T71" s="222"/>
      <c r="U71" s="214"/>
      <c r="V71" s="222"/>
      <c r="W71" s="223"/>
      <c r="X71" s="222"/>
      <c r="Y71" s="214"/>
      <c r="Z71" s="222"/>
      <c r="AA71" s="223"/>
      <c r="AB71" s="222"/>
      <c r="AC71" s="214"/>
      <c r="AD71" s="222"/>
      <c r="AE71" s="222"/>
    </row>
    <row r="72" spans="1:31" ht="96">
      <c r="A72" s="23"/>
      <c r="B72" s="215">
        <f>SUBTOTAL(103,$C$11:C72)</f>
        <v>62</v>
      </c>
      <c r="C72" s="215">
        <f>测试大纲!$A$13</f>
        <v>3</v>
      </c>
      <c r="D72" s="216" t="s">
        <v>159</v>
      </c>
      <c r="E72" s="217" t="s">
        <v>152</v>
      </c>
      <c r="F72" s="230" t="s">
        <v>179</v>
      </c>
      <c r="G72" s="218" t="str">
        <f>$D$9 &amp; "-"&amp;测试大纲!I$13&amp;"-"&amp;TEXT(SUBTOTAL(103,$C$11:C72),"000")</f>
        <v>Web-LGBB-062</v>
      </c>
      <c r="H72" s="219" t="s">
        <v>337</v>
      </c>
      <c r="I72" s="219" t="s">
        <v>165</v>
      </c>
      <c r="J72" s="220" t="s">
        <v>620</v>
      </c>
      <c r="K72" s="217" t="s">
        <v>978</v>
      </c>
      <c r="L72" s="229" t="s">
        <v>360</v>
      </c>
      <c r="M72" s="229" t="s">
        <v>359</v>
      </c>
      <c r="N72" s="220" t="s">
        <v>185</v>
      </c>
      <c r="O72" s="214"/>
      <c r="P72" s="222"/>
      <c r="Q72" s="222"/>
      <c r="R72" s="223"/>
      <c r="S72" s="223"/>
      <c r="T72" s="222"/>
      <c r="U72" s="214"/>
      <c r="V72" s="222"/>
      <c r="W72" s="223"/>
      <c r="X72" s="222"/>
      <c r="Y72" s="214"/>
      <c r="Z72" s="222"/>
      <c r="AA72" s="223"/>
      <c r="AB72" s="222"/>
      <c r="AC72" s="214"/>
      <c r="AD72" s="222"/>
      <c r="AE72" s="222"/>
    </row>
    <row r="73" spans="1:31" ht="72">
      <c r="A73" s="23"/>
      <c r="B73" s="215">
        <f>SUBTOTAL(103,$C$11:C73)</f>
        <v>63</v>
      </c>
      <c r="C73" s="215">
        <f>测试大纲!$A$13</f>
        <v>3</v>
      </c>
      <c r="D73" s="216" t="s">
        <v>159</v>
      </c>
      <c r="E73" s="217" t="s">
        <v>152</v>
      </c>
      <c r="F73" s="230" t="s">
        <v>179</v>
      </c>
      <c r="G73" s="218" t="str">
        <f>$D$9 &amp; "-"&amp;测试大纲!I$13&amp;"-"&amp;TEXT(SUBTOTAL(103,$C$11:C73),"000")</f>
        <v>Web-LGBB-063</v>
      </c>
      <c r="H73" s="219" t="s">
        <v>337</v>
      </c>
      <c r="I73" s="219" t="s">
        <v>165</v>
      </c>
      <c r="J73" s="220" t="s">
        <v>621</v>
      </c>
      <c r="K73" s="217" t="s">
        <v>978</v>
      </c>
      <c r="L73" s="229" t="s">
        <v>361</v>
      </c>
      <c r="M73" s="229" t="s">
        <v>367</v>
      </c>
      <c r="N73" s="220" t="s">
        <v>185</v>
      </c>
      <c r="O73" s="214"/>
      <c r="P73" s="222"/>
      <c r="Q73" s="222"/>
      <c r="R73" s="223"/>
      <c r="S73" s="223"/>
      <c r="T73" s="222"/>
      <c r="U73" s="214"/>
      <c r="V73" s="222"/>
      <c r="W73" s="223"/>
      <c r="X73" s="222"/>
      <c r="Y73" s="214"/>
      <c r="Z73" s="222"/>
      <c r="AA73" s="223"/>
      <c r="AB73" s="222"/>
      <c r="AC73" s="214"/>
      <c r="AD73" s="222"/>
      <c r="AE73" s="222"/>
    </row>
    <row r="74" spans="1:31" ht="84">
      <c r="A74" s="23"/>
      <c r="B74" s="215">
        <f>SUBTOTAL(103,$C$11:C74)</f>
        <v>64</v>
      </c>
      <c r="C74" s="215">
        <f>测试大纲!$A$13</f>
        <v>3</v>
      </c>
      <c r="D74" s="216" t="s">
        <v>159</v>
      </c>
      <c r="E74" s="217" t="s">
        <v>152</v>
      </c>
      <c r="F74" s="230" t="s">
        <v>179</v>
      </c>
      <c r="G74" s="218" t="str">
        <f>$D$9 &amp; "-"&amp;测试大纲!I$13&amp;"-"&amp;TEXT(SUBTOTAL(103,$C$11:C74),"000")</f>
        <v>Web-LGBB-064</v>
      </c>
      <c r="H74" s="219" t="s">
        <v>337</v>
      </c>
      <c r="I74" s="219" t="s">
        <v>62</v>
      </c>
      <c r="J74" s="220" t="s">
        <v>622</v>
      </c>
      <c r="K74" s="217" t="s">
        <v>978</v>
      </c>
      <c r="L74" s="215" t="s">
        <v>488</v>
      </c>
      <c r="M74" s="215" t="s">
        <v>489</v>
      </c>
      <c r="N74" s="220" t="s">
        <v>181</v>
      </c>
      <c r="O74" s="214"/>
      <c r="P74" s="222"/>
      <c r="Q74" s="222"/>
      <c r="R74" s="223"/>
      <c r="S74" s="223"/>
      <c r="T74" s="222"/>
      <c r="U74" s="214"/>
      <c r="V74" s="222"/>
      <c r="W74" s="223"/>
      <c r="X74" s="222"/>
      <c r="Y74" s="214"/>
      <c r="Z74" s="222"/>
      <c r="AA74" s="223"/>
      <c r="AB74" s="222"/>
      <c r="AC74" s="214"/>
      <c r="AD74" s="222"/>
      <c r="AE74" s="222"/>
    </row>
    <row r="75" spans="1:31" ht="96">
      <c r="A75" s="23"/>
      <c r="B75" s="215">
        <f>SUBTOTAL(103,$C$11:C75)</f>
        <v>65</v>
      </c>
      <c r="C75" s="215">
        <f>测试大纲!$A$13</f>
        <v>3</v>
      </c>
      <c r="D75" s="216" t="s">
        <v>159</v>
      </c>
      <c r="E75" s="217" t="s">
        <v>152</v>
      </c>
      <c r="F75" s="230" t="s">
        <v>179</v>
      </c>
      <c r="G75" s="218" t="str">
        <f>$D$9 &amp; "-"&amp;测试大纲!I$13&amp;"-"&amp;TEXT(SUBTOTAL(103,$C$11:C75),"000")</f>
        <v>Web-LGBB-065</v>
      </c>
      <c r="H75" s="219" t="s">
        <v>337</v>
      </c>
      <c r="I75" s="219" t="s">
        <v>62</v>
      </c>
      <c r="J75" s="220" t="s">
        <v>840</v>
      </c>
      <c r="K75" s="217" t="s">
        <v>978</v>
      </c>
      <c r="L75" s="215" t="s">
        <v>490</v>
      </c>
      <c r="M75" s="215" t="s">
        <v>841</v>
      </c>
      <c r="N75" s="220" t="s">
        <v>181</v>
      </c>
      <c r="O75" s="214"/>
      <c r="P75" s="222"/>
      <c r="Q75" s="222"/>
      <c r="R75" s="223"/>
      <c r="S75" s="223"/>
      <c r="T75" s="222"/>
      <c r="U75" s="214"/>
      <c r="V75" s="222"/>
      <c r="W75" s="223"/>
      <c r="X75" s="222"/>
      <c r="Y75" s="214"/>
      <c r="Z75" s="222"/>
      <c r="AA75" s="223"/>
      <c r="AB75" s="222"/>
      <c r="AC75" s="214"/>
      <c r="AD75" s="222"/>
      <c r="AE75" s="222"/>
    </row>
    <row r="76" spans="1:31" ht="84">
      <c r="A76" s="23"/>
      <c r="B76" s="215">
        <f>SUBTOTAL(103,$C$11:C76)</f>
        <v>66</v>
      </c>
      <c r="C76" s="215">
        <f>测试大纲!$A$13</f>
        <v>3</v>
      </c>
      <c r="D76" s="216" t="s">
        <v>159</v>
      </c>
      <c r="E76" s="217" t="s">
        <v>152</v>
      </c>
      <c r="F76" s="230" t="s">
        <v>179</v>
      </c>
      <c r="G76" s="218" t="str">
        <f>$D$9 &amp; "-"&amp;测试大纲!I$13&amp;"-"&amp;TEXT(SUBTOTAL(103,$C$11:C76),"000")</f>
        <v>Web-LGBB-066</v>
      </c>
      <c r="H76" s="219" t="s">
        <v>337</v>
      </c>
      <c r="I76" s="219" t="s">
        <v>165</v>
      </c>
      <c r="J76" s="220" t="s">
        <v>623</v>
      </c>
      <c r="K76" s="215" t="s">
        <v>979</v>
      </c>
      <c r="L76" s="215" t="s">
        <v>488</v>
      </c>
      <c r="M76" s="215" t="s">
        <v>489</v>
      </c>
      <c r="N76" s="220" t="s">
        <v>183</v>
      </c>
      <c r="O76" s="214"/>
      <c r="P76" s="222"/>
      <c r="Q76" s="222"/>
      <c r="R76" s="223"/>
      <c r="S76" s="223"/>
      <c r="T76" s="222"/>
      <c r="U76" s="214"/>
      <c r="V76" s="222"/>
      <c r="W76" s="223"/>
      <c r="X76" s="222"/>
      <c r="Y76" s="214"/>
      <c r="Z76" s="222"/>
      <c r="AA76" s="223"/>
      <c r="AB76" s="222"/>
      <c r="AC76" s="214"/>
      <c r="AD76" s="222"/>
      <c r="AE76" s="222"/>
    </row>
    <row r="77" spans="1:31" ht="84">
      <c r="A77" s="23"/>
      <c r="B77" s="215">
        <f>SUBTOTAL(103,$C$11:C77)</f>
        <v>67</v>
      </c>
      <c r="C77" s="215">
        <f>测试大纲!$A$13</f>
        <v>3</v>
      </c>
      <c r="D77" s="216" t="s">
        <v>159</v>
      </c>
      <c r="E77" s="217" t="s">
        <v>152</v>
      </c>
      <c r="F77" s="230" t="s">
        <v>179</v>
      </c>
      <c r="G77" s="218" t="str">
        <f>$D$9 &amp; "-"&amp;测试大纲!I$13&amp;"-"&amp;TEXT(SUBTOTAL(103,$C$11:C77),"000")</f>
        <v>Web-LGBB-067</v>
      </c>
      <c r="H77" s="219" t="s">
        <v>338</v>
      </c>
      <c r="I77" s="219" t="s">
        <v>62</v>
      </c>
      <c r="J77" s="220" t="s">
        <v>624</v>
      </c>
      <c r="K77" s="217" t="s">
        <v>978</v>
      </c>
      <c r="L77" s="215" t="s">
        <v>497</v>
      </c>
      <c r="M77" s="215" t="s">
        <v>489</v>
      </c>
      <c r="N77" s="220" t="s">
        <v>186</v>
      </c>
      <c r="O77" s="214"/>
      <c r="P77" s="222"/>
      <c r="Q77" s="222"/>
      <c r="R77" s="223"/>
      <c r="S77" s="223"/>
      <c r="T77" s="222"/>
      <c r="U77" s="214"/>
      <c r="V77" s="222"/>
      <c r="W77" s="223"/>
      <c r="X77" s="222"/>
      <c r="Y77" s="214"/>
      <c r="Z77" s="222"/>
      <c r="AA77" s="223"/>
      <c r="AB77" s="222"/>
      <c r="AC77" s="214"/>
      <c r="AD77" s="222"/>
      <c r="AE77" s="222"/>
    </row>
    <row r="78" spans="1:31" ht="36">
      <c r="A78" s="23"/>
      <c r="B78" s="215">
        <f>SUBTOTAL(103,$C$11:C78)</f>
        <v>68</v>
      </c>
      <c r="C78" s="215">
        <f>测试大纲!$A$13</f>
        <v>3</v>
      </c>
      <c r="D78" s="216" t="s">
        <v>159</v>
      </c>
      <c r="E78" s="217" t="s">
        <v>152</v>
      </c>
      <c r="F78" s="230" t="s">
        <v>179</v>
      </c>
      <c r="G78" s="218" t="str">
        <f>$D$9 &amp; "-"&amp;测试大纲!I$13&amp;"-"&amp;TEXT(SUBTOTAL(103,$C$11:C78),"000")</f>
        <v>Web-LGBB-068</v>
      </c>
      <c r="H78" s="219" t="s">
        <v>337</v>
      </c>
      <c r="I78" s="219" t="s">
        <v>62</v>
      </c>
      <c r="J78" s="220" t="s">
        <v>625</v>
      </c>
      <c r="K78" s="215" t="s">
        <v>980</v>
      </c>
      <c r="L78" s="215" t="s">
        <v>498</v>
      </c>
      <c r="M78" s="215"/>
      <c r="N78" s="220" t="s">
        <v>496</v>
      </c>
      <c r="O78" s="214"/>
      <c r="P78" s="222"/>
      <c r="Q78" s="222"/>
      <c r="R78" s="223"/>
      <c r="S78" s="223"/>
      <c r="T78" s="222"/>
      <c r="U78" s="214"/>
      <c r="V78" s="222"/>
      <c r="W78" s="223"/>
      <c r="X78" s="222"/>
      <c r="Y78" s="214"/>
      <c r="Z78" s="222"/>
      <c r="AA78" s="223"/>
      <c r="AB78" s="222"/>
      <c r="AC78" s="214"/>
      <c r="AD78" s="222"/>
      <c r="AE78" s="222"/>
    </row>
    <row r="79" spans="1:31" ht="36">
      <c r="A79" s="23"/>
      <c r="B79" s="215">
        <f>SUBTOTAL(103,$C$11:C79)</f>
        <v>69</v>
      </c>
      <c r="C79" s="215">
        <f>测试大纲!$A$13</f>
        <v>3</v>
      </c>
      <c r="D79" s="216" t="s">
        <v>159</v>
      </c>
      <c r="E79" s="217" t="s">
        <v>152</v>
      </c>
      <c r="F79" s="230" t="s">
        <v>179</v>
      </c>
      <c r="G79" s="218" t="str">
        <f>$D$9 &amp; "-"&amp;测试大纲!I$13&amp;"-"&amp;TEXT(SUBTOTAL(103,$C$11:C79),"000")</f>
        <v>Web-LGBB-069</v>
      </c>
      <c r="H79" s="219" t="s">
        <v>337</v>
      </c>
      <c r="I79" s="219" t="s">
        <v>165</v>
      </c>
      <c r="J79" s="220" t="s">
        <v>626</v>
      </c>
      <c r="K79" s="215" t="s">
        <v>981</v>
      </c>
      <c r="L79" s="215" t="s">
        <v>498</v>
      </c>
      <c r="M79" s="215"/>
      <c r="N79" s="220" t="s">
        <v>183</v>
      </c>
      <c r="O79" s="214"/>
      <c r="P79" s="222"/>
      <c r="Q79" s="222"/>
      <c r="R79" s="223"/>
      <c r="S79" s="223"/>
      <c r="T79" s="222"/>
      <c r="U79" s="214"/>
      <c r="V79" s="222"/>
      <c r="W79" s="223"/>
      <c r="X79" s="222"/>
      <c r="Y79" s="214"/>
      <c r="Z79" s="222"/>
      <c r="AA79" s="223"/>
      <c r="AB79" s="222"/>
      <c r="AC79" s="214"/>
      <c r="AD79" s="222"/>
      <c r="AE79" s="222"/>
    </row>
    <row r="80" spans="1:31" ht="36">
      <c r="A80" s="23"/>
      <c r="B80" s="215">
        <f>SUBTOTAL(103,$C$11:C80)</f>
        <v>70</v>
      </c>
      <c r="C80" s="215">
        <f>测试大纲!$A$13</f>
        <v>3</v>
      </c>
      <c r="D80" s="216" t="s">
        <v>159</v>
      </c>
      <c r="E80" s="217" t="s">
        <v>152</v>
      </c>
      <c r="F80" s="230" t="s">
        <v>179</v>
      </c>
      <c r="G80" s="218" t="str">
        <f>$D$9 &amp; "-"&amp;测试大纲!I$13&amp;"-"&amp;TEXT(SUBTOTAL(103,$C$11:C80),"000")</f>
        <v>Web-LGBB-070</v>
      </c>
      <c r="H80" s="219" t="s">
        <v>337</v>
      </c>
      <c r="I80" s="219" t="s">
        <v>165</v>
      </c>
      <c r="J80" s="220" t="s">
        <v>627</v>
      </c>
      <c r="K80" s="215" t="s">
        <v>980</v>
      </c>
      <c r="L80" s="215" t="s">
        <v>499</v>
      </c>
      <c r="M80" s="215"/>
      <c r="N80" s="220" t="s">
        <v>182</v>
      </c>
      <c r="O80" s="214"/>
      <c r="P80" s="222"/>
      <c r="Q80" s="222"/>
      <c r="R80" s="223"/>
      <c r="S80" s="223"/>
      <c r="T80" s="222"/>
      <c r="U80" s="214"/>
      <c r="V80" s="222"/>
      <c r="W80" s="223"/>
      <c r="X80" s="222"/>
      <c r="Y80" s="214"/>
      <c r="Z80" s="222"/>
      <c r="AA80" s="223"/>
      <c r="AB80" s="222"/>
      <c r="AC80" s="214"/>
      <c r="AD80" s="222"/>
      <c r="AE80" s="222"/>
    </row>
    <row r="81" spans="1:31" ht="36">
      <c r="A81" s="23"/>
      <c r="B81" s="215">
        <f>SUBTOTAL(103,$C$11:C81)</f>
        <v>71</v>
      </c>
      <c r="C81" s="215">
        <f>测试大纲!$A$13</f>
        <v>3</v>
      </c>
      <c r="D81" s="216" t="s">
        <v>159</v>
      </c>
      <c r="E81" s="217" t="s">
        <v>152</v>
      </c>
      <c r="F81" s="230" t="s">
        <v>179</v>
      </c>
      <c r="G81" s="218" t="str">
        <f>$D$9 &amp; "-"&amp;测试大纲!I$13&amp;"-"&amp;TEXT(SUBTOTAL(103,$C$11:C81),"000")</f>
        <v>Web-LGBB-071</v>
      </c>
      <c r="H81" s="219" t="s">
        <v>337</v>
      </c>
      <c r="I81" s="219" t="s">
        <v>62</v>
      </c>
      <c r="J81" s="220" t="s">
        <v>944</v>
      </c>
      <c r="K81" s="215" t="s">
        <v>981</v>
      </c>
      <c r="L81" s="215" t="s">
        <v>943</v>
      </c>
      <c r="M81" s="215"/>
      <c r="N81" s="220" t="s">
        <v>500</v>
      </c>
      <c r="O81" s="214"/>
      <c r="P81" s="222"/>
      <c r="Q81" s="222"/>
      <c r="R81" s="223"/>
      <c r="S81" s="223"/>
      <c r="T81" s="222"/>
      <c r="U81" s="214"/>
      <c r="V81" s="222"/>
      <c r="W81" s="223"/>
      <c r="X81" s="222"/>
      <c r="Y81" s="214"/>
      <c r="Z81" s="222"/>
      <c r="AA81" s="223"/>
      <c r="AB81" s="222"/>
      <c r="AC81" s="214"/>
      <c r="AD81" s="222"/>
      <c r="AE81" s="222"/>
    </row>
    <row r="82" spans="1:31" ht="36">
      <c r="A82" s="23"/>
      <c r="B82" s="215">
        <f>SUBTOTAL(103,$C$11:C82)</f>
        <v>72</v>
      </c>
      <c r="C82" s="215">
        <f>测试大纲!$A$13</f>
        <v>3</v>
      </c>
      <c r="D82" s="216" t="s">
        <v>159</v>
      </c>
      <c r="E82" s="217" t="s">
        <v>152</v>
      </c>
      <c r="F82" s="230" t="s">
        <v>179</v>
      </c>
      <c r="G82" s="218" t="str">
        <f>$D$9 &amp; "-"&amp;测试大纲!I$13&amp;"-"&amp;TEXT(SUBTOTAL(103,$C$11:C82),"000")</f>
        <v>Web-LGBB-072</v>
      </c>
      <c r="H82" s="219" t="s">
        <v>337</v>
      </c>
      <c r="I82" s="219" t="s">
        <v>165</v>
      </c>
      <c r="J82" s="220" t="s">
        <v>945</v>
      </c>
      <c r="K82" s="215" t="s">
        <v>981</v>
      </c>
      <c r="L82" s="215" t="s">
        <v>946</v>
      </c>
      <c r="M82" s="215"/>
      <c r="N82" s="220" t="s">
        <v>182</v>
      </c>
      <c r="O82" s="214"/>
      <c r="P82" s="222"/>
      <c r="Q82" s="222"/>
      <c r="R82" s="223"/>
      <c r="S82" s="223"/>
      <c r="T82" s="222"/>
      <c r="U82" s="214"/>
      <c r="V82" s="222"/>
      <c r="W82" s="223"/>
      <c r="X82" s="222"/>
      <c r="Y82" s="214"/>
      <c r="Z82" s="222"/>
      <c r="AA82" s="223"/>
      <c r="AB82" s="222"/>
      <c r="AC82" s="214"/>
      <c r="AD82" s="222"/>
      <c r="AE82" s="222"/>
    </row>
    <row r="83" spans="1:31" ht="84">
      <c r="A83" s="23"/>
      <c r="B83" s="215">
        <f>SUBTOTAL(103,$C$11:C83)</f>
        <v>73</v>
      </c>
      <c r="C83" s="215">
        <f>测试大纲!$A$13</f>
        <v>3</v>
      </c>
      <c r="D83" s="216" t="s">
        <v>159</v>
      </c>
      <c r="E83" s="217" t="s">
        <v>152</v>
      </c>
      <c r="F83" s="230" t="s">
        <v>179</v>
      </c>
      <c r="G83" s="218" t="str">
        <f>$D$9 &amp; "-"&amp;测试大纲!I$13&amp;"-"&amp;TEXT(SUBTOTAL(103,$C$11:C83),"000")</f>
        <v>Web-LGBB-073</v>
      </c>
      <c r="H83" s="219" t="s">
        <v>338</v>
      </c>
      <c r="I83" s="219" t="s">
        <v>165</v>
      </c>
      <c r="J83" s="220" t="s">
        <v>628</v>
      </c>
      <c r="K83" s="217" t="s">
        <v>978</v>
      </c>
      <c r="L83" s="229" t="s">
        <v>368</v>
      </c>
      <c r="M83" s="229" t="s">
        <v>369</v>
      </c>
      <c r="N83" s="220" t="s">
        <v>184</v>
      </c>
      <c r="O83" s="214"/>
      <c r="P83" s="222"/>
      <c r="Q83" s="222"/>
      <c r="R83" s="223"/>
      <c r="S83" s="223"/>
      <c r="T83" s="222"/>
      <c r="U83" s="214"/>
      <c r="V83" s="222"/>
      <c r="W83" s="223"/>
      <c r="X83" s="222"/>
      <c r="Y83" s="214"/>
      <c r="Z83" s="222"/>
      <c r="AA83" s="223"/>
      <c r="AB83" s="222"/>
      <c r="AC83" s="214"/>
      <c r="AD83" s="222"/>
      <c r="AE83" s="222"/>
    </row>
    <row r="84" spans="1:31" ht="84">
      <c r="A84" s="23"/>
      <c r="B84" s="215">
        <f>SUBTOTAL(103,$C$11:C84)</f>
        <v>74</v>
      </c>
      <c r="C84" s="215">
        <f>测试大纲!$A$13</f>
        <v>3</v>
      </c>
      <c r="D84" s="216" t="s">
        <v>159</v>
      </c>
      <c r="E84" s="217" t="s">
        <v>152</v>
      </c>
      <c r="F84" s="230" t="s">
        <v>179</v>
      </c>
      <c r="G84" s="218" t="str">
        <f>$D$9 &amp; "-"&amp;测试大纲!I$13&amp;"-"&amp;TEXT(SUBTOTAL(103,$C$11:C84),"000")</f>
        <v>Web-LGBB-074</v>
      </c>
      <c r="H84" s="219" t="s">
        <v>338</v>
      </c>
      <c r="I84" s="219" t="s">
        <v>165</v>
      </c>
      <c r="J84" s="220" t="s">
        <v>629</v>
      </c>
      <c r="K84" s="217" t="s">
        <v>978</v>
      </c>
      <c r="L84" s="229" t="s">
        <v>368</v>
      </c>
      <c r="M84" s="229" t="s">
        <v>370</v>
      </c>
      <c r="N84" s="220" t="s">
        <v>187</v>
      </c>
      <c r="O84" s="214"/>
      <c r="P84" s="222"/>
      <c r="Q84" s="222"/>
      <c r="R84" s="223"/>
      <c r="S84" s="223"/>
      <c r="T84" s="222"/>
      <c r="U84" s="214"/>
      <c r="V84" s="222"/>
      <c r="W84" s="223"/>
      <c r="X84" s="222"/>
      <c r="Y84" s="214"/>
      <c r="Z84" s="222"/>
      <c r="AA84" s="223"/>
      <c r="AB84" s="222"/>
      <c r="AC84" s="214"/>
      <c r="AD84" s="222"/>
      <c r="AE84" s="222"/>
    </row>
    <row r="85" spans="1:31" ht="84">
      <c r="A85" s="23"/>
      <c r="B85" s="215">
        <f>SUBTOTAL(103,$C$11:C85)</f>
        <v>75</v>
      </c>
      <c r="C85" s="215">
        <f>测试大纲!$A$13</f>
        <v>3</v>
      </c>
      <c r="D85" s="216" t="s">
        <v>159</v>
      </c>
      <c r="E85" s="217" t="s">
        <v>152</v>
      </c>
      <c r="F85" s="230" t="s">
        <v>179</v>
      </c>
      <c r="G85" s="218" t="str">
        <f>$D$9 &amp; "-"&amp;测试大纲!I$13&amp;"-"&amp;TEXT(SUBTOTAL(103,$C$11:C85),"000")</f>
        <v>Web-LGBB-075</v>
      </c>
      <c r="H85" s="219" t="s">
        <v>338</v>
      </c>
      <c r="I85" s="219" t="s">
        <v>165</v>
      </c>
      <c r="J85" s="220" t="s">
        <v>630</v>
      </c>
      <c r="K85" s="217" t="s">
        <v>978</v>
      </c>
      <c r="L85" s="229" t="s">
        <v>371</v>
      </c>
      <c r="M85" s="229" t="s">
        <v>373</v>
      </c>
      <c r="N85" s="220" t="s">
        <v>187</v>
      </c>
      <c r="O85" s="214"/>
      <c r="P85" s="222"/>
      <c r="Q85" s="222"/>
      <c r="R85" s="223"/>
      <c r="S85" s="223"/>
      <c r="T85" s="222"/>
      <c r="U85" s="214"/>
      <c r="V85" s="222"/>
      <c r="W85" s="223"/>
      <c r="X85" s="222"/>
      <c r="Y85" s="214"/>
      <c r="Z85" s="222"/>
      <c r="AA85" s="223"/>
      <c r="AB85" s="222"/>
      <c r="AC85" s="214"/>
      <c r="AD85" s="222"/>
      <c r="AE85" s="222"/>
    </row>
    <row r="86" spans="1:31" ht="84">
      <c r="A86" s="23"/>
      <c r="B86" s="215">
        <f>SUBTOTAL(103,$C$11:C86)</f>
        <v>76</v>
      </c>
      <c r="C86" s="215">
        <f>测试大纲!$A$13</f>
        <v>3</v>
      </c>
      <c r="D86" s="216" t="s">
        <v>159</v>
      </c>
      <c r="E86" s="217" t="s">
        <v>152</v>
      </c>
      <c r="F86" s="230" t="s">
        <v>179</v>
      </c>
      <c r="G86" s="218" t="str">
        <f>$D$9 &amp; "-"&amp;测试大纲!I$13&amp;"-"&amp;TEXT(SUBTOTAL(103,$C$11:C86),"000")</f>
        <v>Web-LGBB-076</v>
      </c>
      <c r="H86" s="219" t="s">
        <v>338</v>
      </c>
      <c r="I86" s="219" t="s">
        <v>165</v>
      </c>
      <c r="J86" s="233" t="s">
        <v>942</v>
      </c>
      <c r="K86" s="217" t="s">
        <v>978</v>
      </c>
      <c r="L86" s="229" t="s">
        <v>372</v>
      </c>
      <c r="M86" s="229" t="s">
        <v>374</v>
      </c>
      <c r="N86" s="220" t="s">
        <v>187</v>
      </c>
      <c r="O86" s="214"/>
      <c r="P86" s="222"/>
      <c r="Q86" s="222"/>
      <c r="R86" s="223"/>
      <c r="S86" s="223"/>
      <c r="T86" s="222"/>
      <c r="U86" s="214"/>
      <c r="V86" s="222"/>
      <c r="W86" s="223"/>
      <c r="X86" s="222"/>
      <c r="Y86" s="214"/>
      <c r="Z86" s="222"/>
      <c r="AA86" s="223"/>
      <c r="AB86" s="222"/>
      <c r="AC86" s="214"/>
      <c r="AD86" s="222"/>
      <c r="AE86" s="222"/>
    </row>
    <row r="87" spans="1:31" ht="108">
      <c r="A87" s="23"/>
      <c r="B87" s="215">
        <f>SUBTOTAL(103,$C$11:C87)</f>
        <v>77</v>
      </c>
      <c r="C87" s="215">
        <f>测试大纲!$A$13</f>
        <v>3</v>
      </c>
      <c r="D87" s="216" t="s">
        <v>159</v>
      </c>
      <c r="E87" s="217" t="s">
        <v>152</v>
      </c>
      <c r="F87" s="217" t="s">
        <v>339</v>
      </c>
      <c r="G87" s="218" t="str">
        <f>$D$9 &amp; "-"&amp;测试大纲!I$13&amp;"-"&amp;TEXT(SUBTOTAL(103,$C$11:C87),"000")</f>
        <v>Web-LGBB-077</v>
      </c>
      <c r="H87" s="219" t="s">
        <v>337</v>
      </c>
      <c r="I87" s="219" t="s">
        <v>62</v>
      </c>
      <c r="J87" s="220" t="s">
        <v>539</v>
      </c>
      <c r="K87" s="215" t="s">
        <v>982</v>
      </c>
      <c r="L87" s="221"/>
      <c r="M87" s="215"/>
      <c r="N87" s="221" t="s">
        <v>507</v>
      </c>
      <c r="O87" s="214"/>
      <c r="P87" s="222"/>
      <c r="Q87" s="222"/>
      <c r="R87" s="223"/>
      <c r="S87" s="223"/>
      <c r="T87" s="222"/>
      <c r="U87" s="214"/>
      <c r="V87" s="222"/>
      <c r="W87" s="223"/>
      <c r="X87" s="222"/>
      <c r="Y87" s="214"/>
      <c r="Z87" s="222"/>
      <c r="AA87" s="223"/>
      <c r="AB87" s="222"/>
      <c r="AC87" s="214"/>
      <c r="AD87" s="222"/>
      <c r="AE87" s="222"/>
    </row>
    <row r="88" spans="1:31" ht="24">
      <c r="A88" s="23"/>
      <c r="B88" s="215">
        <f>SUBTOTAL(103,$C$11:C88)</f>
        <v>78</v>
      </c>
      <c r="C88" s="215">
        <f>测试大纲!$A$13</f>
        <v>3</v>
      </c>
      <c r="D88" s="216" t="s">
        <v>159</v>
      </c>
      <c r="E88" s="217" t="s">
        <v>152</v>
      </c>
      <c r="F88" s="217" t="s">
        <v>339</v>
      </c>
      <c r="G88" s="218" t="str">
        <f>$D$9 &amp; "-"&amp;测试大纲!I$13&amp;"-"&amp;TEXT(SUBTOTAL(103,$C$11:C88),"000")</f>
        <v>Web-LGBB-078</v>
      </c>
      <c r="H88" s="219" t="s">
        <v>337</v>
      </c>
      <c r="I88" s="219" t="s">
        <v>62</v>
      </c>
      <c r="J88" s="220" t="s">
        <v>504</v>
      </c>
      <c r="K88" s="215" t="s">
        <v>982</v>
      </c>
      <c r="L88" s="221"/>
      <c r="M88" s="215"/>
      <c r="N88" s="220" t="s">
        <v>505</v>
      </c>
      <c r="O88" s="214"/>
      <c r="P88" s="222"/>
      <c r="Q88" s="222"/>
      <c r="R88" s="223"/>
      <c r="S88" s="223"/>
      <c r="T88" s="222"/>
      <c r="U88" s="214"/>
      <c r="V88" s="222"/>
      <c r="W88" s="223"/>
      <c r="X88" s="222"/>
      <c r="Y88" s="214"/>
      <c r="Z88" s="222"/>
      <c r="AA88" s="223"/>
      <c r="AB88" s="222"/>
      <c r="AC88" s="214"/>
      <c r="AD88" s="222"/>
      <c r="AE88" s="222"/>
    </row>
    <row r="89" spans="1:31" ht="24">
      <c r="A89" s="23"/>
      <c r="B89" s="215">
        <f>SUBTOTAL(103,$C$11:C89)</f>
        <v>79</v>
      </c>
      <c r="C89" s="215">
        <f>测试大纲!$A$13</f>
        <v>3</v>
      </c>
      <c r="D89" s="216" t="s">
        <v>159</v>
      </c>
      <c r="E89" s="217" t="s">
        <v>152</v>
      </c>
      <c r="F89" s="217" t="s">
        <v>339</v>
      </c>
      <c r="G89" s="218" t="str">
        <f>$D$9 &amp; "-"&amp;测试大纲!I$13&amp;"-"&amp;TEXT(SUBTOTAL(103,$C$11:C89),"000")</f>
        <v>Web-LGBB-079</v>
      </c>
      <c r="H89" s="219" t="s">
        <v>337</v>
      </c>
      <c r="I89" s="219" t="s">
        <v>62</v>
      </c>
      <c r="J89" s="220" t="s">
        <v>631</v>
      </c>
      <c r="K89" s="215" t="s">
        <v>982</v>
      </c>
      <c r="L89" s="221"/>
      <c r="M89" s="215"/>
      <c r="N89" s="220" t="s">
        <v>508</v>
      </c>
      <c r="O89" s="214"/>
      <c r="P89" s="222"/>
      <c r="Q89" s="222"/>
      <c r="R89" s="223"/>
      <c r="S89" s="223"/>
      <c r="T89" s="222"/>
      <c r="U89" s="214"/>
      <c r="V89" s="222"/>
      <c r="W89" s="223"/>
      <c r="X89" s="222"/>
      <c r="Y89" s="214"/>
      <c r="Z89" s="222"/>
      <c r="AA89" s="223"/>
      <c r="AB89" s="222"/>
      <c r="AC89" s="214"/>
      <c r="AD89" s="222"/>
      <c r="AE89" s="222"/>
    </row>
    <row r="90" spans="1:31" ht="24">
      <c r="A90" s="23"/>
      <c r="B90" s="215">
        <f>SUBTOTAL(103,$C$11:C90)</f>
        <v>80</v>
      </c>
      <c r="C90" s="215">
        <f>测试大纲!$A$13</f>
        <v>3</v>
      </c>
      <c r="D90" s="224" t="s">
        <v>159</v>
      </c>
      <c r="E90" s="217" t="s">
        <v>152</v>
      </c>
      <c r="F90" s="217" t="s">
        <v>339</v>
      </c>
      <c r="G90" s="218" t="str">
        <f>$D$9 &amp; "-"&amp;测试大纲!I$13&amp;"-"&amp;TEXT(SUBTOTAL(103,$C$11:C90),"000")</f>
        <v>Web-LGBB-080</v>
      </c>
      <c r="H90" s="219" t="s">
        <v>340</v>
      </c>
      <c r="I90" s="219" t="s">
        <v>62</v>
      </c>
      <c r="J90" s="220" t="s">
        <v>826</v>
      </c>
      <c r="K90" s="215" t="s">
        <v>982</v>
      </c>
      <c r="L90" s="215" t="s">
        <v>330</v>
      </c>
      <c r="M90" s="215" t="s">
        <v>827</v>
      </c>
      <c r="N90" s="220" t="s">
        <v>828</v>
      </c>
      <c r="O90" s="214"/>
      <c r="P90" s="222"/>
      <c r="Q90" s="222"/>
      <c r="R90" s="223"/>
      <c r="S90" s="223"/>
      <c r="T90" s="222"/>
      <c r="U90" s="214"/>
      <c r="V90" s="222"/>
      <c r="W90" s="223"/>
      <c r="X90" s="222"/>
      <c r="Y90" s="214"/>
      <c r="Z90" s="222"/>
      <c r="AA90" s="223"/>
      <c r="AB90" s="222"/>
      <c r="AC90" s="214"/>
      <c r="AD90" s="222"/>
      <c r="AE90" s="222"/>
    </row>
    <row r="91" spans="1:31" ht="36">
      <c r="A91" s="23"/>
      <c r="B91" s="215">
        <f>SUBTOTAL(103,$C$11:C91)</f>
        <v>81</v>
      </c>
      <c r="C91" s="215">
        <f>测试大纲!$A$13</f>
        <v>3</v>
      </c>
      <c r="D91" s="216" t="s">
        <v>159</v>
      </c>
      <c r="E91" s="217" t="s">
        <v>152</v>
      </c>
      <c r="F91" s="217" t="s">
        <v>339</v>
      </c>
      <c r="G91" s="218" t="str">
        <f>$D$9 &amp; "-"&amp;测试大纲!I$13&amp;"-"&amp;TEXT(SUBTOTAL(103,$C$11:C91),"000")</f>
        <v>Web-LGBB-081</v>
      </c>
      <c r="H91" s="219" t="s">
        <v>340</v>
      </c>
      <c r="I91" s="219" t="s">
        <v>62</v>
      </c>
      <c r="J91" s="220" t="s">
        <v>632</v>
      </c>
      <c r="K91" s="215" t="s">
        <v>982</v>
      </c>
      <c r="L91" s="221" t="s">
        <v>510</v>
      </c>
      <c r="M91" s="215"/>
      <c r="N91" s="220" t="s">
        <v>511</v>
      </c>
      <c r="O91" s="214"/>
      <c r="P91" s="222"/>
      <c r="Q91" s="222"/>
      <c r="R91" s="223"/>
      <c r="S91" s="223"/>
      <c r="T91" s="222"/>
      <c r="U91" s="214"/>
      <c r="V91" s="222"/>
      <c r="W91" s="223"/>
      <c r="X91" s="222"/>
      <c r="Y91" s="214"/>
      <c r="Z91" s="222"/>
      <c r="AA91" s="223"/>
      <c r="AB91" s="222"/>
      <c r="AC91" s="214"/>
      <c r="AD91" s="222"/>
      <c r="AE91" s="222"/>
    </row>
    <row r="92" spans="1:31" ht="36">
      <c r="A92" s="23"/>
      <c r="B92" s="215">
        <f>SUBTOTAL(103,$C$11:C92)</f>
        <v>82</v>
      </c>
      <c r="C92" s="215">
        <f>测试大纲!$A$13</f>
        <v>3</v>
      </c>
      <c r="D92" s="216" t="s">
        <v>159</v>
      </c>
      <c r="E92" s="217" t="s">
        <v>152</v>
      </c>
      <c r="F92" s="217" t="s">
        <v>339</v>
      </c>
      <c r="G92" s="218" t="str">
        <f>$D$9 &amp; "-"&amp;测试大纲!I$13&amp;"-"&amp;TEXT(SUBTOTAL(103,$C$11:C92),"000")</f>
        <v>Web-LGBB-082</v>
      </c>
      <c r="H92" s="219" t="s">
        <v>337</v>
      </c>
      <c r="I92" s="219" t="s">
        <v>62</v>
      </c>
      <c r="J92" s="220" t="s">
        <v>633</v>
      </c>
      <c r="K92" s="215" t="s">
        <v>982</v>
      </c>
      <c r="L92" s="230" t="s">
        <v>166</v>
      </c>
      <c r="M92" s="229" t="s">
        <v>375</v>
      </c>
      <c r="N92" s="220" t="s">
        <v>509</v>
      </c>
      <c r="O92" s="214"/>
      <c r="P92" s="222"/>
      <c r="Q92" s="222"/>
      <c r="R92" s="223"/>
      <c r="S92" s="223"/>
      <c r="T92" s="222"/>
      <c r="U92" s="214"/>
      <c r="V92" s="222"/>
      <c r="W92" s="223"/>
      <c r="X92" s="222"/>
      <c r="Y92" s="214"/>
      <c r="Z92" s="222"/>
      <c r="AA92" s="223"/>
      <c r="AB92" s="222"/>
      <c r="AC92" s="214"/>
      <c r="AD92" s="222"/>
      <c r="AE92" s="222"/>
    </row>
    <row r="93" spans="1:31" ht="36">
      <c r="A93" s="23"/>
      <c r="B93" s="215">
        <f>SUBTOTAL(103,$C$11:C93)</f>
        <v>83</v>
      </c>
      <c r="C93" s="215">
        <f>测试大纲!$A$13</f>
        <v>3</v>
      </c>
      <c r="D93" s="216" t="s">
        <v>159</v>
      </c>
      <c r="E93" s="217" t="s">
        <v>152</v>
      </c>
      <c r="F93" s="217" t="s">
        <v>339</v>
      </c>
      <c r="G93" s="218" t="str">
        <f>$D$9 &amp; "-"&amp;测试大纲!I$13&amp;"-"&amp;TEXT(SUBTOTAL(103,$C$11:C93),"000")</f>
        <v>Web-LGBB-083</v>
      </c>
      <c r="H93" s="219" t="s">
        <v>337</v>
      </c>
      <c r="I93" s="219" t="s">
        <v>62</v>
      </c>
      <c r="J93" s="220" t="s">
        <v>634</v>
      </c>
      <c r="K93" s="215" t="s">
        <v>982</v>
      </c>
      <c r="L93" s="215" t="s">
        <v>222</v>
      </c>
      <c r="M93" s="215" t="s">
        <v>506</v>
      </c>
      <c r="N93" s="220" t="s">
        <v>512</v>
      </c>
      <c r="O93" s="214"/>
      <c r="P93" s="222"/>
      <c r="Q93" s="222"/>
      <c r="R93" s="223"/>
      <c r="S93" s="223"/>
      <c r="T93" s="222"/>
      <c r="U93" s="214"/>
      <c r="V93" s="222"/>
      <c r="W93" s="223"/>
      <c r="X93" s="222"/>
      <c r="Y93" s="214"/>
      <c r="Z93" s="222"/>
      <c r="AA93" s="223"/>
      <c r="AB93" s="222"/>
      <c r="AC93" s="214"/>
      <c r="AD93" s="222"/>
      <c r="AE93" s="222"/>
    </row>
    <row r="94" spans="1:31" ht="36">
      <c r="A94" s="23"/>
      <c r="B94" s="215">
        <f>SUBTOTAL(103,$C$11:C94)</f>
        <v>84</v>
      </c>
      <c r="C94" s="215">
        <f>测试大纲!$A$13</f>
        <v>3</v>
      </c>
      <c r="D94" s="216" t="s">
        <v>159</v>
      </c>
      <c r="E94" s="217" t="s">
        <v>152</v>
      </c>
      <c r="F94" s="217" t="s">
        <v>339</v>
      </c>
      <c r="G94" s="218" t="str">
        <f>$D$9 &amp; "-"&amp;测试大纲!I$13&amp;"-"&amp;TEXT(SUBTOTAL(103,$C$11:C94),"000")</f>
        <v>Web-LGBB-084</v>
      </c>
      <c r="H94" s="219" t="s">
        <v>337</v>
      </c>
      <c r="I94" s="219" t="s">
        <v>62</v>
      </c>
      <c r="J94" s="220" t="s">
        <v>635</v>
      </c>
      <c r="K94" s="215" t="s">
        <v>982</v>
      </c>
      <c r="L94" s="215" t="s">
        <v>929</v>
      </c>
      <c r="M94" s="226" t="s">
        <v>351</v>
      </c>
      <c r="N94" s="220" t="s">
        <v>513</v>
      </c>
      <c r="O94" s="214"/>
      <c r="P94" s="222"/>
      <c r="Q94" s="222"/>
      <c r="R94" s="223"/>
      <c r="S94" s="223"/>
      <c r="T94" s="222"/>
      <c r="U94" s="214"/>
      <c r="V94" s="222"/>
      <c r="W94" s="223"/>
      <c r="X94" s="222"/>
      <c r="Y94" s="214"/>
      <c r="Z94" s="222"/>
      <c r="AA94" s="223"/>
      <c r="AB94" s="222"/>
      <c r="AC94" s="214"/>
      <c r="AD94" s="222"/>
      <c r="AE94" s="222"/>
    </row>
    <row r="95" spans="1:31" ht="36">
      <c r="A95" s="23"/>
      <c r="B95" s="215">
        <f>SUBTOTAL(103,$C$11:C95)</f>
        <v>85</v>
      </c>
      <c r="C95" s="215">
        <f>测试大纲!$A$13</f>
        <v>3</v>
      </c>
      <c r="D95" s="216" t="s">
        <v>159</v>
      </c>
      <c r="E95" s="217" t="s">
        <v>152</v>
      </c>
      <c r="F95" s="217" t="s">
        <v>339</v>
      </c>
      <c r="G95" s="218" t="str">
        <f>$D$9 &amp; "-"&amp;测试大纲!I$13&amp;"-"&amp;TEXT(SUBTOTAL(103,$C$11:C95),"000")</f>
        <v>Web-LGBB-085</v>
      </c>
      <c r="H95" s="219" t="s">
        <v>337</v>
      </c>
      <c r="I95" s="219" t="s">
        <v>62</v>
      </c>
      <c r="J95" s="220" t="s">
        <v>636</v>
      </c>
      <c r="K95" s="215" t="s">
        <v>982</v>
      </c>
      <c r="L95" s="215" t="s">
        <v>928</v>
      </c>
      <c r="M95" s="215" t="s">
        <v>354</v>
      </c>
      <c r="N95" s="220" t="s">
        <v>514</v>
      </c>
      <c r="O95" s="214"/>
      <c r="P95" s="222"/>
      <c r="Q95" s="222"/>
      <c r="R95" s="223"/>
      <c r="S95" s="223"/>
      <c r="T95" s="222"/>
      <c r="U95" s="214"/>
      <c r="V95" s="222"/>
      <c r="W95" s="223"/>
      <c r="X95" s="222"/>
      <c r="Y95" s="214"/>
      <c r="Z95" s="222"/>
      <c r="AA95" s="223"/>
      <c r="AB95" s="222"/>
      <c r="AC95" s="214"/>
      <c r="AD95" s="222"/>
      <c r="AE95" s="222"/>
    </row>
    <row r="96" spans="1:31" ht="24">
      <c r="A96" s="23"/>
      <c r="B96" s="215">
        <f>SUBTOTAL(103,$C$11:C96)</f>
        <v>86</v>
      </c>
      <c r="C96" s="215">
        <f>测试大纲!$A$13</f>
        <v>3</v>
      </c>
      <c r="D96" s="216" t="s">
        <v>159</v>
      </c>
      <c r="E96" s="217" t="s">
        <v>152</v>
      </c>
      <c r="F96" s="217" t="s">
        <v>339</v>
      </c>
      <c r="G96" s="218" t="str">
        <f>$D$9 &amp; "-"&amp;测试大纲!I$13&amp;"-"&amp;TEXT(SUBTOTAL(103,$C$11:C96),"000")</f>
        <v>Web-LGBB-086</v>
      </c>
      <c r="H96" s="219" t="s">
        <v>337</v>
      </c>
      <c r="I96" s="219" t="s">
        <v>165</v>
      </c>
      <c r="J96" s="220" t="s">
        <v>637</v>
      </c>
      <c r="K96" s="215" t="s">
        <v>982</v>
      </c>
      <c r="L96" s="215" t="s">
        <v>330</v>
      </c>
      <c r="M96" s="215" t="s">
        <v>419</v>
      </c>
      <c r="N96" s="220" t="s">
        <v>463</v>
      </c>
      <c r="O96" s="214"/>
      <c r="P96" s="222"/>
      <c r="Q96" s="222"/>
      <c r="R96" s="223"/>
      <c r="S96" s="223"/>
      <c r="T96" s="222"/>
      <c r="U96" s="214"/>
      <c r="V96" s="222"/>
      <c r="W96" s="223"/>
      <c r="X96" s="222"/>
      <c r="Y96" s="214"/>
      <c r="Z96" s="222"/>
      <c r="AA96" s="223"/>
      <c r="AB96" s="222"/>
      <c r="AC96" s="214"/>
      <c r="AD96" s="222"/>
      <c r="AE96" s="222"/>
    </row>
    <row r="97" spans="1:31" ht="24">
      <c r="A97" s="23"/>
      <c r="B97" s="215">
        <f>SUBTOTAL(103,$C$11:C97)</f>
        <v>87</v>
      </c>
      <c r="C97" s="215">
        <f>测试大纲!$A$13</f>
        <v>3</v>
      </c>
      <c r="D97" s="224" t="s">
        <v>159</v>
      </c>
      <c r="E97" s="217" t="s">
        <v>152</v>
      </c>
      <c r="F97" s="217" t="s">
        <v>339</v>
      </c>
      <c r="G97" s="218" t="str">
        <f>$D$9 &amp; "-"&amp;测试大纲!I$13&amp;"-"&amp;TEXT(SUBTOTAL(103,$C$11:C97),"000")</f>
        <v>Web-LGBB-087</v>
      </c>
      <c r="H97" s="219" t="s">
        <v>337</v>
      </c>
      <c r="I97" s="219" t="s">
        <v>165</v>
      </c>
      <c r="J97" s="220" t="s">
        <v>638</v>
      </c>
      <c r="K97" s="215" t="s">
        <v>982</v>
      </c>
      <c r="L97" s="215" t="s">
        <v>468</v>
      </c>
      <c r="M97" s="215" t="s">
        <v>460</v>
      </c>
      <c r="N97" s="220" t="s">
        <v>463</v>
      </c>
      <c r="O97" s="214"/>
      <c r="P97" s="222"/>
      <c r="Q97" s="222"/>
      <c r="R97" s="223"/>
      <c r="S97" s="223"/>
      <c r="T97" s="222"/>
      <c r="U97" s="214"/>
      <c r="V97" s="222"/>
      <c r="W97" s="223"/>
      <c r="X97" s="222"/>
      <c r="Y97" s="214"/>
      <c r="Z97" s="222"/>
      <c r="AA97" s="223"/>
      <c r="AB97" s="222"/>
      <c r="AC97" s="214"/>
      <c r="AD97" s="222"/>
      <c r="AE97" s="222"/>
    </row>
    <row r="98" spans="1:31" ht="24">
      <c r="A98" s="23"/>
      <c r="B98" s="215">
        <f>SUBTOTAL(103,$C$11:C98)</f>
        <v>88</v>
      </c>
      <c r="C98" s="215">
        <f>测试大纲!$A$13</f>
        <v>3</v>
      </c>
      <c r="D98" s="216" t="s">
        <v>159</v>
      </c>
      <c r="E98" s="217" t="s">
        <v>152</v>
      </c>
      <c r="F98" s="217" t="s">
        <v>339</v>
      </c>
      <c r="G98" s="218" t="str">
        <f>$D$9 &amp; "-"&amp;测试大纲!I$13&amp;"-"&amp;TEXT(SUBTOTAL(103,$C$11:C98),"000")</f>
        <v>Web-LGBB-088</v>
      </c>
      <c r="H98" s="219" t="s">
        <v>337</v>
      </c>
      <c r="I98" s="219" t="s">
        <v>165</v>
      </c>
      <c r="J98" s="220" t="s">
        <v>639</v>
      </c>
      <c r="K98" s="215" t="s">
        <v>982</v>
      </c>
      <c r="L98" s="215" t="s">
        <v>528</v>
      </c>
      <c r="M98" s="215" t="s">
        <v>529</v>
      </c>
      <c r="N98" s="220" t="s">
        <v>463</v>
      </c>
      <c r="O98" s="214"/>
      <c r="P98" s="222"/>
      <c r="Q98" s="222"/>
      <c r="R98" s="223"/>
      <c r="S98" s="223"/>
      <c r="T98" s="222"/>
      <c r="U98" s="214"/>
      <c r="V98" s="222"/>
      <c r="W98" s="223"/>
      <c r="X98" s="222"/>
      <c r="Y98" s="214"/>
      <c r="Z98" s="222"/>
      <c r="AA98" s="223"/>
      <c r="AB98" s="222"/>
      <c r="AC98" s="214"/>
      <c r="AD98" s="222"/>
      <c r="AE98" s="222"/>
    </row>
    <row r="99" spans="1:31" ht="24">
      <c r="A99" s="23"/>
      <c r="B99" s="215">
        <f>SUBTOTAL(103,$C$11:C99)</f>
        <v>89</v>
      </c>
      <c r="C99" s="215">
        <f>测试大纲!$A$13</f>
        <v>3</v>
      </c>
      <c r="D99" s="224" t="s">
        <v>159</v>
      </c>
      <c r="E99" s="217" t="s">
        <v>152</v>
      </c>
      <c r="F99" s="217" t="s">
        <v>339</v>
      </c>
      <c r="G99" s="218" t="str">
        <f>$D$9 &amp; "-"&amp;测试大纲!I$13&amp;"-"&amp;TEXT(SUBTOTAL(103,$C$11:C99),"000")</f>
        <v>Web-LGBB-089</v>
      </c>
      <c r="H99" s="219" t="s">
        <v>337</v>
      </c>
      <c r="I99" s="219" t="s">
        <v>62</v>
      </c>
      <c r="J99" s="220" t="s">
        <v>640</v>
      </c>
      <c r="K99" s="215" t="s">
        <v>982</v>
      </c>
      <c r="L99" s="215" t="s">
        <v>468</v>
      </c>
      <c r="M99" s="215" t="s">
        <v>469</v>
      </c>
      <c r="N99" s="220" t="s">
        <v>470</v>
      </c>
      <c r="O99" s="214"/>
      <c r="P99" s="222"/>
      <c r="Q99" s="222"/>
      <c r="R99" s="223"/>
      <c r="S99" s="223"/>
      <c r="T99" s="222"/>
      <c r="U99" s="214"/>
      <c r="V99" s="222"/>
      <c r="W99" s="223"/>
      <c r="X99" s="222"/>
      <c r="Y99" s="214"/>
      <c r="Z99" s="222"/>
      <c r="AA99" s="223"/>
      <c r="AB99" s="222"/>
      <c r="AC99" s="214"/>
      <c r="AD99" s="222"/>
      <c r="AE99" s="222"/>
    </row>
    <row r="100" spans="1:31" ht="24">
      <c r="A100" s="23"/>
      <c r="B100" s="215">
        <f>SUBTOTAL(103,$C$11:C100)</f>
        <v>90</v>
      </c>
      <c r="C100" s="215">
        <f>测试大纲!$A$13</f>
        <v>3</v>
      </c>
      <c r="D100" s="224" t="s">
        <v>159</v>
      </c>
      <c r="E100" s="217" t="s">
        <v>152</v>
      </c>
      <c r="F100" s="217" t="s">
        <v>339</v>
      </c>
      <c r="G100" s="218" t="str">
        <f>$D$9 &amp; "-"&amp;测试大纲!I$13&amp;"-"&amp;TEXT(SUBTOTAL(103,$C$11:C100),"000")</f>
        <v>Web-LGBB-090</v>
      </c>
      <c r="H100" s="219" t="s">
        <v>337</v>
      </c>
      <c r="I100" s="219" t="s">
        <v>62</v>
      </c>
      <c r="J100" s="220" t="s">
        <v>641</v>
      </c>
      <c r="K100" s="215" t="s">
        <v>982</v>
      </c>
      <c r="L100" s="215" t="s">
        <v>330</v>
      </c>
      <c r="M100" s="215" t="s">
        <v>390</v>
      </c>
      <c r="N100" s="220" t="s">
        <v>475</v>
      </c>
      <c r="O100" s="214"/>
      <c r="P100" s="222"/>
      <c r="Q100" s="222"/>
      <c r="R100" s="223"/>
      <c r="S100" s="223"/>
      <c r="T100" s="222"/>
      <c r="U100" s="214"/>
      <c r="V100" s="222"/>
      <c r="W100" s="223"/>
      <c r="X100" s="222"/>
      <c r="Y100" s="214"/>
      <c r="Z100" s="222"/>
      <c r="AA100" s="223"/>
      <c r="AB100" s="222"/>
      <c r="AC100" s="214"/>
      <c r="AD100" s="222"/>
      <c r="AE100" s="222"/>
    </row>
    <row r="101" spans="1:31" ht="36">
      <c r="A101" s="23"/>
      <c r="B101" s="215">
        <f>SUBTOTAL(103,$C$11:C101)</f>
        <v>91</v>
      </c>
      <c r="C101" s="215">
        <f>测试大纲!$A$13</f>
        <v>3</v>
      </c>
      <c r="D101" s="216" t="s">
        <v>159</v>
      </c>
      <c r="E101" s="217" t="s">
        <v>152</v>
      </c>
      <c r="F101" s="217" t="s">
        <v>339</v>
      </c>
      <c r="G101" s="218" t="str">
        <f>$D$9 &amp; "-"&amp;测试大纲!I$13&amp;"-"&amp;TEXT(SUBTOTAL(103,$C$11:C101),"000")</f>
        <v>Web-LGBB-091</v>
      </c>
      <c r="H101" s="219" t="s">
        <v>337</v>
      </c>
      <c r="I101" s="219" t="s">
        <v>165</v>
      </c>
      <c r="J101" s="220" t="s">
        <v>628</v>
      </c>
      <c r="K101" s="215" t="s">
        <v>982</v>
      </c>
      <c r="L101" s="215" t="s">
        <v>332</v>
      </c>
      <c r="M101" s="215" t="s">
        <v>355</v>
      </c>
      <c r="N101" s="220" t="s">
        <v>461</v>
      </c>
      <c r="O101" s="214"/>
      <c r="P101" s="222"/>
      <c r="Q101" s="222"/>
      <c r="R101" s="223"/>
      <c r="S101" s="223"/>
      <c r="T101" s="222"/>
      <c r="U101" s="214"/>
      <c r="V101" s="222"/>
      <c r="W101" s="223"/>
      <c r="X101" s="222"/>
      <c r="Y101" s="214"/>
      <c r="Z101" s="222"/>
      <c r="AA101" s="223"/>
      <c r="AB101" s="222"/>
      <c r="AC101" s="214"/>
      <c r="AD101" s="222"/>
      <c r="AE101" s="222"/>
    </row>
    <row r="102" spans="1:31" ht="48">
      <c r="A102" s="23"/>
      <c r="B102" s="215">
        <f>SUBTOTAL(103,$C$11:C102)</f>
        <v>92</v>
      </c>
      <c r="C102" s="215">
        <f>测试大纲!$A$13</f>
        <v>3</v>
      </c>
      <c r="D102" s="216" t="s">
        <v>159</v>
      </c>
      <c r="E102" s="217" t="s">
        <v>152</v>
      </c>
      <c r="F102" s="217" t="s">
        <v>339</v>
      </c>
      <c r="G102" s="218" t="str">
        <f>$D$9 &amp; "-"&amp;测试大纲!I$13&amp;"-"&amp;TEXT(SUBTOTAL(103,$C$11:C102),"000")</f>
        <v>Web-LGBB-092</v>
      </c>
      <c r="H102" s="219" t="s">
        <v>337</v>
      </c>
      <c r="I102" s="219" t="s">
        <v>62</v>
      </c>
      <c r="J102" s="220" t="s">
        <v>842</v>
      </c>
      <c r="K102" s="215" t="s">
        <v>982</v>
      </c>
      <c r="L102" s="215" t="s">
        <v>515</v>
      </c>
      <c r="M102" s="215" t="s">
        <v>843</v>
      </c>
      <c r="N102" s="220" t="s">
        <v>844</v>
      </c>
      <c r="O102" s="214"/>
      <c r="P102" s="222"/>
      <c r="Q102" s="222"/>
      <c r="R102" s="223"/>
      <c r="S102" s="223"/>
      <c r="T102" s="222"/>
      <c r="U102" s="214"/>
      <c r="V102" s="222"/>
      <c r="W102" s="223"/>
      <c r="X102" s="222"/>
      <c r="Y102" s="214"/>
      <c r="Z102" s="222"/>
      <c r="AA102" s="223"/>
      <c r="AB102" s="222"/>
      <c r="AC102" s="214"/>
      <c r="AD102" s="222"/>
      <c r="AE102" s="222"/>
    </row>
    <row r="103" spans="1:31" ht="48">
      <c r="A103" s="23"/>
      <c r="B103" s="215">
        <f>SUBTOTAL(103,$C$11:C103)</f>
        <v>93</v>
      </c>
      <c r="C103" s="215">
        <f>测试大纲!$A$13</f>
        <v>3</v>
      </c>
      <c r="D103" s="216" t="s">
        <v>159</v>
      </c>
      <c r="E103" s="217" t="s">
        <v>152</v>
      </c>
      <c r="F103" s="217" t="s">
        <v>339</v>
      </c>
      <c r="G103" s="218" t="str">
        <f>$D$9 &amp; "-"&amp;测试大纲!I$13&amp;"-"&amp;TEXT(SUBTOTAL(103,$C$11:C103),"000")</f>
        <v>Web-LGBB-093</v>
      </c>
      <c r="H103" s="219" t="s">
        <v>337</v>
      </c>
      <c r="I103" s="219" t="s">
        <v>165</v>
      </c>
      <c r="J103" s="220" t="s">
        <v>642</v>
      </c>
      <c r="K103" s="215" t="s">
        <v>982</v>
      </c>
      <c r="L103" s="215" t="s">
        <v>515</v>
      </c>
      <c r="M103" s="215" t="s">
        <v>518</v>
      </c>
      <c r="N103" s="220" t="s">
        <v>463</v>
      </c>
      <c r="O103" s="214"/>
      <c r="P103" s="222"/>
      <c r="Q103" s="222"/>
      <c r="R103" s="223"/>
      <c r="S103" s="223"/>
      <c r="T103" s="222"/>
      <c r="U103" s="214"/>
      <c r="V103" s="222"/>
      <c r="W103" s="223"/>
      <c r="X103" s="222"/>
      <c r="Y103" s="214"/>
      <c r="Z103" s="222"/>
      <c r="AA103" s="223"/>
      <c r="AB103" s="222"/>
      <c r="AC103" s="214"/>
      <c r="AD103" s="222"/>
      <c r="AE103" s="222"/>
    </row>
    <row r="104" spans="1:31" ht="48">
      <c r="A104" s="23"/>
      <c r="B104" s="215">
        <f>SUBTOTAL(103,$C$11:C104)</f>
        <v>94</v>
      </c>
      <c r="C104" s="215">
        <f>测试大纲!$A$13</f>
        <v>3</v>
      </c>
      <c r="D104" s="216" t="s">
        <v>159</v>
      </c>
      <c r="E104" s="217" t="s">
        <v>152</v>
      </c>
      <c r="F104" s="217" t="s">
        <v>339</v>
      </c>
      <c r="G104" s="218" t="str">
        <f>$D$9 &amp; "-"&amp;测试大纲!I$13&amp;"-"&amp;TEXT(SUBTOTAL(103,$C$11:C104),"000")</f>
        <v>Web-LGBB-094</v>
      </c>
      <c r="H104" s="219" t="s">
        <v>337</v>
      </c>
      <c r="I104" s="219" t="s">
        <v>165</v>
      </c>
      <c r="J104" s="220" t="s">
        <v>643</v>
      </c>
      <c r="K104" s="215" t="s">
        <v>982</v>
      </c>
      <c r="L104" s="215" t="s">
        <v>515</v>
      </c>
      <c r="M104" s="215" t="s">
        <v>516</v>
      </c>
      <c r="N104" s="220" t="s">
        <v>463</v>
      </c>
      <c r="O104" s="214"/>
      <c r="P104" s="222"/>
      <c r="Q104" s="222"/>
      <c r="R104" s="223"/>
      <c r="S104" s="223"/>
      <c r="T104" s="222"/>
      <c r="U104" s="214"/>
      <c r="V104" s="222"/>
      <c r="W104" s="223"/>
      <c r="X104" s="222"/>
      <c r="Y104" s="214"/>
      <c r="Z104" s="222"/>
      <c r="AA104" s="223"/>
      <c r="AB104" s="222"/>
      <c r="AC104" s="214"/>
      <c r="AD104" s="222"/>
      <c r="AE104" s="222"/>
    </row>
    <row r="105" spans="1:31" ht="48">
      <c r="A105" s="23"/>
      <c r="B105" s="215">
        <f>SUBTOTAL(103,$C$11:C105)</f>
        <v>95</v>
      </c>
      <c r="C105" s="215">
        <f>测试大纲!$A$13</f>
        <v>3</v>
      </c>
      <c r="D105" s="216" t="s">
        <v>159</v>
      </c>
      <c r="E105" s="217" t="s">
        <v>152</v>
      </c>
      <c r="F105" s="217" t="s">
        <v>339</v>
      </c>
      <c r="G105" s="218" t="str">
        <f>$D$9 &amp; "-"&amp;测试大纲!I$13&amp;"-"&amp;TEXT(SUBTOTAL(103,$C$11:C105),"000")</f>
        <v>Web-LGBB-095</v>
      </c>
      <c r="H105" s="219" t="s">
        <v>337</v>
      </c>
      <c r="I105" s="219" t="s">
        <v>165</v>
      </c>
      <c r="J105" s="220" t="s">
        <v>644</v>
      </c>
      <c r="K105" s="215" t="s">
        <v>982</v>
      </c>
      <c r="L105" s="215" t="s">
        <v>515</v>
      </c>
      <c r="M105" s="215" t="s">
        <v>517</v>
      </c>
      <c r="N105" s="220" t="s">
        <v>463</v>
      </c>
      <c r="O105" s="214"/>
      <c r="P105" s="222"/>
      <c r="Q105" s="222"/>
      <c r="R105" s="223"/>
      <c r="S105" s="223"/>
      <c r="T105" s="222"/>
      <c r="U105" s="214"/>
      <c r="V105" s="222"/>
      <c r="W105" s="223"/>
      <c r="X105" s="222"/>
      <c r="Y105" s="214"/>
      <c r="Z105" s="222"/>
      <c r="AA105" s="223"/>
      <c r="AB105" s="222"/>
      <c r="AC105" s="214"/>
      <c r="AD105" s="222"/>
      <c r="AE105" s="222"/>
    </row>
    <row r="106" spans="1:31" ht="168">
      <c r="A106" s="23"/>
      <c r="B106" s="215">
        <f>SUBTOTAL(103,$C$11:C106)</f>
        <v>96</v>
      </c>
      <c r="C106" s="215">
        <f>测试大纲!$A$13</f>
        <v>3</v>
      </c>
      <c r="D106" s="216" t="s">
        <v>159</v>
      </c>
      <c r="E106" s="217" t="s">
        <v>152</v>
      </c>
      <c r="F106" s="217" t="s">
        <v>339</v>
      </c>
      <c r="G106" s="218" t="str">
        <f>$D$9 &amp; "-"&amp;测试大纲!I$13&amp;"-"&amp;TEXT(SUBTOTAL(103,$C$11:C106),"000")</f>
        <v>Web-LGBB-096</v>
      </c>
      <c r="H106" s="219" t="s">
        <v>337</v>
      </c>
      <c r="I106" s="219" t="s">
        <v>62</v>
      </c>
      <c r="J106" s="220" t="s">
        <v>645</v>
      </c>
      <c r="K106" s="215" t="s">
        <v>983</v>
      </c>
      <c r="L106" s="215" t="s">
        <v>527</v>
      </c>
      <c r="M106" s="215"/>
      <c r="N106" s="221" t="s">
        <v>526</v>
      </c>
      <c r="O106" s="214"/>
      <c r="P106" s="222"/>
      <c r="Q106" s="222"/>
      <c r="R106" s="223"/>
      <c r="S106" s="223"/>
      <c r="T106" s="222"/>
      <c r="U106" s="214"/>
      <c r="V106" s="222"/>
      <c r="W106" s="223"/>
      <c r="X106" s="222"/>
      <c r="Y106" s="214"/>
      <c r="Z106" s="222"/>
      <c r="AA106" s="223"/>
      <c r="AB106" s="222"/>
      <c r="AC106" s="214"/>
      <c r="AD106" s="222"/>
      <c r="AE106" s="222"/>
    </row>
    <row r="107" spans="1:31" ht="36">
      <c r="A107" s="23"/>
      <c r="B107" s="215">
        <f>SUBTOTAL(103,$C$11:C107)</f>
        <v>97</v>
      </c>
      <c r="C107" s="215">
        <f>测试大纲!$A$13</f>
        <v>3</v>
      </c>
      <c r="D107" s="216" t="s">
        <v>159</v>
      </c>
      <c r="E107" s="217" t="s">
        <v>152</v>
      </c>
      <c r="F107" s="217" t="s">
        <v>339</v>
      </c>
      <c r="G107" s="218" t="str">
        <f>$D$9 &amp; "-"&amp;测试大纲!I$13&amp;"-"&amp;TEXT(SUBTOTAL(103,$C$11:C107),"000")</f>
        <v>Web-LGBB-097</v>
      </c>
      <c r="H107" s="219" t="s">
        <v>337</v>
      </c>
      <c r="I107" s="219" t="s">
        <v>62</v>
      </c>
      <c r="J107" s="220" t="s">
        <v>646</v>
      </c>
      <c r="K107" s="215" t="s">
        <v>983</v>
      </c>
      <c r="L107" s="215" t="s">
        <v>846</v>
      </c>
      <c r="M107" s="229"/>
      <c r="N107" s="221" t="s">
        <v>537</v>
      </c>
      <c r="O107" s="214"/>
      <c r="P107" s="222"/>
      <c r="Q107" s="222"/>
      <c r="R107" s="223"/>
      <c r="S107" s="223"/>
      <c r="T107" s="222"/>
      <c r="U107" s="214"/>
      <c r="V107" s="222"/>
      <c r="W107" s="223"/>
      <c r="X107" s="222"/>
      <c r="Y107" s="214"/>
      <c r="Z107" s="222"/>
      <c r="AA107" s="223"/>
      <c r="AB107" s="222"/>
      <c r="AC107" s="214"/>
      <c r="AD107" s="222"/>
      <c r="AE107" s="222"/>
    </row>
    <row r="108" spans="1:31" ht="48">
      <c r="A108" s="23"/>
      <c r="B108" s="215">
        <f>SUBTOTAL(103,$C$11:C108)</f>
        <v>98</v>
      </c>
      <c r="C108" s="215">
        <f>测试大纲!$A$13</f>
        <v>3</v>
      </c>
      <c r="D108" s="216" t="s">
        <v>159</v>
      </c>
      <c r="E108" s="217" t="s">
        <v>152</v>
      </c>
      <c r="F108" s="217" t="s">
        <v>339</v>
      </c>
      <c r="G108" s="218" t="str">
        <f>$D$9 &amp; "-"&amp;测试大纲!I$13&amp;"-"&amp;TEXT(SUBTOTAL(103,$C$11:C108),"000")</f>
        <v>Web-LGBB-098</v>
      </c>
      <c r="H108" s="219" t="s">
        <v>337</v>
      </c>
      <c r="I108" s="219" t="s">
        <v>62</v>
      </c>
      <c r="J108" s="220" t="s">
        <v>647</v>
      </c>
      <c r="K108" s="215" t="s">
        <v>983</v>
      </c>
      <c r="L108" s="215" t="s">
        <v>845</v>
      </c>
      <c r="M108" s="229"/>
      <c r="N108" s="220" t="s">
        <v>866</v>
      </c>
      <c r="O108" s="214"/>
      <c r="P108" s="222"/>
      <c r="Q108" s="222"/>
      <c r="R108" s="223"/>
      <c r="S108" s="223"/>
      <c r="T108" s="222"/>
      <c r="U108" s="214"/>
      <c r="V108" s="222"/>
      <c r="W108" s="223"/>
      <c r="X108" s="222"/>
      <c r="Y108" s="214"/>
      <c r="Z108" s="222"/>
      <c r="AA108" s="223"/>
      <c r="AB108" s="222"/>
      <c r="AC108" s="214"/>
      <c r="AD108" s="222"/>
      <c r="AE108" s="222"/>
    </row>
    <row r="109" spans="1:31" ht="48">
      <c r="A109" s="23"/>
      <c r="B109" s="215">
        <f>SUBTOTAL(103,$C$11:C109)</f>
        <v>99</v>
      </c>
      <c r="C109" s="215">
        <f>测试大纲!$A$13</f>
        <v>3</v>
      </c>
      <c r="D109" s="216" t="s">
        <v>159</v>
      </c>
      <c r="E109" s="217" t="s">
        <v>152</v>
      </c>
      <c r="F109" s="217" t="s">
        <v>339</v>
      </c>
      <c r="G109" s="218" t="str">
        <f>$D$9 &amp; "-"&amp;测试大纲!I$13&amp;"-"&amp;TEXT(SUBTOTAL(103,$C$11:C109),"000")</f>
        <v>Web-LGBB-099</v>
      </c>
      <c r="H109" s="219" t="s">
        <v>337</v>
      </c>
      <c r="I109" s="219" t="s">
        <v>62</v>
      </c>
      <c r="J109" s="220" t="s">
        <v>648</v>
      </c>
      <c r="K109" s="215" t="s">
        <v>983</v>
      </c>
      <c r="L109" s="215" t="s">
        <v>865</v>
      </c>
      <c r="M109" s="229"/>
      <c r="N109" s="220" t="s">
        <v>867</v>
      </c>
      <c r="O109" s="214"/>
      <c r="P109" s="222"/>
      <c r="Q109" s="222"/>
      <c r="R109" s="223"/>
      <c r="S109" s="223"/>
      <c r="T109" s="222"/>
      <c r="U109" s="214"/>
      <c r="V109" s="222"/>
      <c r="W109" s="223"/>
      <c r="X109" s="222"/>
      <c r="Y109" s="214"/>
      <c r="Z109" s="222"/>
      <c r="AA109" s="223"/>
      <c r="AB109" s="222"/>
      <c r="AC109" s="214"/>
      <c r="AD109" s="222"/>
      <c r="AE109" s="222"/>
    </row>
    <row r="110" spans="1:31" ht="36">
      <c r="A110" s="23"/>
      <c r="B110" s="215">
        <f>SUBTOTAL(103,$C$11:C110)</f>
        <v>100</v>
      </c>
      <c r="C110" s="215">
        <f>测试大纲!$A$13</f>
        <v>3</v>
      </c>
      <c r="D110" s="216" t="s">
        <v>159</v>
      </c>
      <c r="E110" s="217" t="s">
        <v>152</v>
      </c>
      <c r="F110" s="217" t="s">
        <v>339</v>
      </c>
      <c r="G110" s="218" t="str">
        <f>$D$9 &amp; "-"&amp;测试大纲!I$13&amp;"-"&amp;TEXT(SUBTOTAL(103,$C$11:C110),"000")</f>
        <v>Web-LGBB-100</v>
      </c>
      <c r="H110" s="219" t="s">
        <v>337</v>
      </c>
      <c r="I110" s="219" t="s">
        <v>62</v>
      </c>
      <c r="J110" s="220" t="s">
        <v>847</v>
      </c>
      <c r="K110" s="215" t="s">
        <v>983</v>
      </c>
      <c r="L110" s="215" t="s">
        <v>849</v>
      </c>
      <c r="M110" s="226"/>
      <c r="N110" s="220" t="s">
        <v>851</v>
      </c>
      <c r="O110" s="214"/>
      <c r="P110" s="222"/>
      <c r="Q110" s="222"/>
      <c r="R110" s="223"/>
      <c r="S110" s="223"/>
      <c r="T110" s="222"/>
      <c r="U110" s="214"/>
      <c r="V110" s="222"/>
      <c r="W110" s="223"/>
      <c r="X110" s="222"/>
      <c r="Y110" s="214"/>
      <c r="Z110" s="222"/>
      <c r="AA110" s="223"/>
      <c r="AB110" s="222"/>
      <c r="AC110" s="214"/>
      <c r="AD110" s="222"/>
      <c r="AE110" s="222"/>
    </row>
    <row r="111" spans="1:31" ht="36">
      <c r="A111" s="23"/>
      <c r="B111" s="215">
        <f>SUBTOTAL(103,$C$11:C111)</f>
        <v>101</v>
      </c>
      <c r="C111" s="215">
        <f>测试大纲!$A$13</f>
        <v>3</v>
      </c>
      <c r="D111" s="216" t="s">
        <v>159</v>
      </c>
      <c r="E111" s="217" t="s">
        <v>152</v>
      </c>
      <c r="F111" s="217" t="s">
        <v>339</v>
      </c>
      <c r="G111" s="218" t="str">
        <f>$D$9 &amp; "-"&amp;测试大纲!I$13&amp;"-"&amp;TEXT(SUBTOTAL(103,$C$11:C111),"000")</f>
        <v>Web-LGBB-101</v>
      </c>
      <c r="H111" s="219" t="s">
        <v>337</v>
      </c>
      <c r="I111" s="219" t="s">
        <v>62</v>
      </c>
      <c r="J111" s="220" t="s">
        <v>848</v>
      </c>
      <c r="K111" s="215" t="s">
        <v>983</v>
      </c>
      <c r="L111" s="215" t="s">
        <v>850</v>
      </c>
      <c r="M111" s="226"/>
      <c r="N111" s="220" t="s">
        <v>851</v>
      </c>
      <c r="O111" s="214"/>
      <c r="P111" s="222"/>
      <c r="Q111" s="222"/>
      <c r="R111" s="223"/>
      <c r="S111" s="223"/>
      <c r="T111" s="222"/>
      <c r="U111" s="214"/>
      <c r="V111" s="222"/>
      <c r="W111" s="223"/>
      <c r="X111" s="222"/>
      <c r="Y111" s="214"/>
      <c r="Z111" s="222"/>
      <c r="AA111" s="223"/>
      <c r="AB111" s="222"/>
      <c r="AC111" s="214"/>
      <c r="AD111" s="222"/>
      <c r="AE111" s="222"/>
    </row>
    <row r="112" spans="1:31" ht="24">
      <c r="A112" s="23"/>
      <c r="B112" s="215">
        <f>SUBTOTAL(103,$C$11:C112)</f>
        <v>102</v>
      </c>
      <c r="C112" s="215">
        <f>测试大纲!$A$13</f>
        <v>3</v>
      </c>
      <c r="D112" s="216" t="s">
        <v>159</v>
      </c>
      <c r="E112" s="217" t="s">
        <v>152</v>
      </c>
      <c r="F112" s="217" t="s">
        <v>339</v>
      </c>
      <c r="G112" s="218" t="str">
        <f>$D$9 &amp; "-"&amp;测试大纲!I$13&amp;"-"&amp;TEXT(SUBTOTAL(103,$C$11:C112),"000")</f>
        <v>Web-LGBB-102</v>
      </c>
      <c r="H112" s="219" t="s">
        <v>338</v>
      </c>
      <c r="I112" s="219" t="s">
        <v>62</v>
      </c>
      <c r="J112" s="220" t="s">
        <v>582</v>
      </c>
      <c r="K112" s="215" t="s">
        <v>982</v>
      </c>
      <c r="L112" s="228" t="s">
        <v>194</v>
      </c>
      <c r="M112" s="229" t="s">
        <v>356</v>
      </c>
      <c r="N112" s="220" t="s">
        <v>357</v>
      </c>
      <c r="O112" s="214"/>
      <c r="P112" s="222"/>
      <c r="Q112" s="222"/>
      <c r="R112" s="223"/>
      <c r="S112" s="223"/>
      <c r="T112" s="222"/>
      <c r="U112" s="214"/>
      <c r="V112" s="222"/>
      <c r="W112" s="223"/>
      <c r="X112" s="222"/>
      <c r="Y112" s="214"/>
      <c r="Z112" s="222"/>
      <c r="AA112" s="223"/>
      <c r="AB112" s="222"/>
      <c r="AC112" s="214"/>
      <c r="AD112" s="222"/>
      <c r="AE112" s="222"/>
    </row>
    <row r="113" spans="1:31" ht="24">
      <c r="A113" s="23"/>
      <c r="B113" s="215">
        <f>SUBTOTAL(103,$C$11:C113)</f>
        <v>103</v>
      </c>
      <c r="C113" s="215">
        <f>测试大纲!$A$13</f>
        <v>3</v>
      </c>
      <c r="D113" s="216" t="s">
        <v>159</v>
      </c>
      <c r="E113" s="217" t="s">
        <v>152</v>
      </c>
      <c r="F113" s="217" t="s">
        <v>339</v>
      </c>
      <c r="G113" s="218" t="str">
        <f>$D$9 &amp; "-"&amp;测试大纲!I$13&amp;"-"&amp;TEXT(SUBTOTAL(103,$C$11:C113),"000")</f>
        <v>Web-LGBB-103</v>
      </c>
      <c r="H113" s="219" t="s">
        <v>340</v>
      </c>
      <c r="I113" s="219" t="s">
        <v>62</v>
      </c>
      <c r="J113" s="220" t="s">
        <v>584</v>
      </c>
      <c r="K113" s="215" t="s">
        <v>982</v>
      </c>
      <c r="L113" s="215" t="s">
        <v>770</v>
      </c>
      <c r="M113" s="215" t="s">
        <v>531</v>
      </c>
      <c r="N113" s="220" t="s">
        <v>461</v>
      </c>
      <c r="O113" s="214"/>
      <c r="P113" s="222"/>
      <c r="Q113" s="222"/>
      <c r="R113" s="223"/>
      <c r="S113" s="223"/>
      <c r="T113" s="222"/>
      <c r="U113" s="214"/>
      <c r="V113" s="222"/>
      <c r="W113" s="223"/>
      <c r="X113" s="222"/>
      <c r="Y113" s="214"/>
      <c r="Z113" s="222"/>
      <c r="AA113" s="223"/>
      <c r="AB113" s="222"/>
      <c r="AC113" s="214"/>
      <c r="AD113" s="222"/>
      <c r="AE113" s="222"/>
    </row>
    <row r="114" spans="1:31" ht="24">
      <c r="A114" s="23"/>
      <c r="B114" s="215">
        <f>SUBTOTAL(103,$C$11:C114)</f>
        <v>104</v>
      </c>
      <c r="C114" s="215">
        <f>测试大纲!$A$13</f>
        <v>3</v>
      </c>
      <c r="D114" s="216" t="s">
        <v>159</v>
      </c>
      <c r="E114" s="217" t="s">
        <v>152</v>
      </c>
      <c r="F114" s="217" t="s">
        <v>339</v>
      </c>
      <c r="G114" s="218" t="str">
        <f>$D$9 &amp; "-"&amp;测试大纲!I$13&amp;"-"&amp;TEXT(SUBTOTAL(103,$C$11:C114),"000")</f>
        <v>Web-LGBB-104</v>
      </c>
      <c r="H114" s="219" t="s">
        <v>340</v>
      </c>
      <c r="I114" s="219" t="s">
        <v>62</v>
      </c>
      <c r="J114" s="220" t="s">
        <v>585</v>
      </c>
      <c r="K114" s="215" t="s">
        <v>982</v>
      </c>
      <c r="L114" s="215" t="s">
        <v>770</v>
      </c>
      <c r="M114" s="215" t="s">
        <v>530</v>
      </c>
      <c r="N114" s="220" t="s">
        <v>461</v>
      </c>
      <c r="O114" s="214"/>
      <c r="P114" s="222"/>
      <c r="Q114" s="222"/>
      <c r="R114" s="223"/>
      <c r="S114" s="223"/>
      <c r="T114" s="222"/>
      <c r="U114" s="214"/>
      <c r="V114" s="222"/>
      <c r="W114" s="223"/>
      <c r="X114" s="222"/>
      <c r="Y114" s="214"/>
      <c r="Z114" s="222"/>
      <c r="AA114" s="223"/>
      <c r="AB114" s="222"/>
      <c r="AC114" s="214"/>
      <c r="AD114" s="222"/>
      <c r="AE114" s="222"/>
    </row>
    <row r="115" spans="1:31" ht="24">
      <c r="A115" s="23"/>
      <c r="B115" s="215">
        <f>SUBTOTAL(103,$C$11:C115)</f>
        <v>105</v>
      </c>
      <c r="C115" s="215">
        <f>测试大纲!$A$13</f>
        <v>3</v>
      </c>
      <c r="D115" s="216" t="s">
        <v>159</v>
      </c>
      <c r="E115" s="217" t="s">
        <v>152</v>
      </c>
      <c r="F115" s="217" t="s">
        <v>339</v>
      </c>
      <c r="G115" s="218" t="str">
        <f>$D$9 &amp; "-"&amp;测试大纲!I$13&amp;"-"&amp;TEXT(SUBTOTAL(103,$C$11:C115),"000")</f>
        <v>Web-LGBB-105</v>
      </c>
      <c r="H115" s="219" t="s">
        <v>340</v>
      </c>
      <c r="I115" s="219" t="s">
        <v>62</v>
      </c>
      <c r="J115" s="220" t="s">
        <v>586</v>
      </c>
      <c r="K115" s="215" t="s">
        <v>982</v>
      </c>
      <c r="L115" s="215" t="s">
        <v>770</v>
      </c>
      <c r="M115" s="215" t="s">
        <v>532</v>
      </c>
      <c r="N115" s="220" t="s">
        <v>461</v>
      </c>
      <c r="O115" s="214"/>
      <c r="P115" s="222"/>
      <c r="Q115" s="222"/>
      <c r="R115" s="223"/>
      <c r="S115" s="223"/>
      <c r="T115" s="222"/>
      <c r="U115" s="214"/>
      <c r="V115" s="222"/>
      <c r="W115" s="223"/>
      <c r="X115" s="222"/>
      <c r="Y115" s="214"/>
      <c r="Z115" s="222"/>
      <c r="AA115" s="223"/>
      <c r="AB115" s="222"/>
      <c r="AC115" s="214"/>
      <c r="AD115" s="222"/>
      <c r="AE115" s="222"/>
    </row>
    <row r="116" spans="1:31" ht="36">
      <c r="A116" s="23"/>
      <c r="B116" s="215">
        <f>SUBTOTAL(103,$C$11:C116)</f>
        <v>106</v>
      </c>
      <c r="C116" s="215">
        <f>测试大纲!$A$13</f>
        <v>3</v>
      </c>
      <c r="D116" s="216" t="s">
        <v>159</v>
      </c>
      <c r="E116" s="217" t="s">
        <v>152</v>
      </c>
      <c r="F116" s="217" t="s">
        <v>339</v>
      </c>
      <c r="G116" s="218" t="str">
        <f>$D$9 &amp; "-"&amp;测试大纲!I$13&amp;"-"&amp;TEXT(SUBTOTAL(103,$C$11:C116),"000")</f>
        <v>Web-LGBB-106</v>
      </c>
      <c r="H116" s="219" t="s">
        <v>337</v>
      </c>
      <c r="I116" s="219" t="s">
        <v>62</v>
      </c>
      <c r="J116" s="220" t="s">
        <v>657</v>
      </c>
      <c r="K116" s="215" t="s">
        <v>984</v>
      </c>
      <c r="L116" s="215" t="s">
        <v>333</v>
      </c>
      <c r="M116" s="215"/>
      <c r="N116" s="220" t="s">
        <v>167</v>
      </c>
      <c r="O116" s="214"/>
      <c r="P116" s="222"/>
      <c r="Q116" s="222"/>
      <c r="R116" s="223"/>
      <c r="S116" s="223"/>
      <c r="T116" s="222"/>
      <c r="U116" s="214"/>
      <c r="V116" s="222"/>
      <c r="W116" s="223"/>
      <c r="X116" s="222"/>
      <c r="Y116" s="214"/>
      <c r="Z116" s="222"/>
      <c r="AA116" s="223"/>
      <c r="AB116" s="222"/>
      <c r="AC116" s="214"/>
      <c r="AD116" s="222"/>
      <c r="AE116" s="222"/>
    </row>
    <row r="117" spans="1:31" ht="36">
      <c r="A117" s="23"/>
      <c r="B117" s="215">
        <f>SUBTOTAL(103,$C$11:C117)</f>
        <v>107</v>
      </c>
      <c r="C117" s="215">
        <f>测试大纲!$A$13</f>
        <v>3</v>
      </c>
      <c r="D117" s="216" t="s">
        <v>159</v>
      </c>
      <c r="E117" s="217" t="s">
        <v>152</v>
      </c>
      <c r="F117" s="217" t="s">
        <v>339</v>
      </c>
      <c r="G117" s="218" t="str">
        <f>$D$9 &amp; "-"&amp;测试大纲!I$13&amp;"-"&amp;TEXT(SUBTOTAL(103,$C$11:C117),"000")</f>
        <v>Web-LGBB-107</v>
      </c>
      <c r="H117" s="219" t="s">
        <v>338</v>
      </c>
      <c r="I117" s="219" t="s">
        <v>62</v>
      </c>
      <c r="J117" s="220" t="s">
        <v>649</v>
      </c>
      <c r="K117" s="215" t="s">
        <v>985</v>
      </c>
      <c r="L117" s="215"/>
      <c r="M117" s="215"/>
      <c r="N117" s="220" t="s">
        <v>533</v>
      </c>
      <c r="O117" s="214"/>
      <c r="P117" s="222"/>
      <c r="Q117" s="222"/>
      <c r="R117" s="223"/>
      <c r="S117" s="223"/>
      <c r="T117" s="222"/>
      <c r="U117" s="214"/>
      <c r="V117" s="222"/>
      <c r="W117" s="223"/>
      <c r="X117" s="222"/>
      <c r="Y117" s="214"/>
      <c r="Z117" s="222"/>
      <c r="AA117" s="223"/>
      <c r="AB117" s="222"/>
      <c r="AC117" s="214"/>
      <c r="AD117" s="222"/>
      <c r="AE117" s="222"/>
    </row>
    <row r="118" spans="1:31" ht="48">
      <c r="A118" s="23"/>
      <c r="B118" s="215">
        <f>SUBTOTAL(103,$C$11:C118)</f>
        <v>108</v>
      </c>
      <c r="C118" s="215">
        <f>测试大纲!$A$13</f>
        <v>3</v>
      </c>
      <c r="D118" s="216" t="s">
        <v>159</v>
      </c>
      <c r="E118" s="217" t="s">
        <v>152</v>
      </c>
      <c r="F118" s="217" t="s">
        <v>339</v>
      </c>
      <c r="G118" s="218" t="str">
        <f>$D$9 &amp; "-"&amp;测试大纲!I$13&amp;"-"&amp;TEXT(SUBTOTAL(103,$C$11:C118),"000")</f>
        <v>Web-LGBB-108</v>
      </c>
      <c r="H118" s="219" t="s">
        <v>340</v>
      </c>
      <c r="I118" s="219" t="s">
        <v>62</v>
      </c>
      <c r="J118" s="220" t="s">
        <v>650</v>
      </c>
      <c r="K118" s="215" t="s">
        <v>986</v>
      </c>
      <c r="L118" s="215"/>
      <c r="M118" s="215"/>
      <c r="N118" s="220" t="s">
        <v>534</v>
      </c>
      <c r="O118" s="214"/>
      <c r="P118" s="222"/>
      <c r="Q118" s="222"/>
      <c r="R118" s="223"/>
      <c r="S118" s="223"/>
      <c r="T118" s="222"/>
      <c r="U118" s="214"/>
      <c r="V118" s="222"/>
      <c r="W118" s="223"/>
      <c r="X118" s="222"/>
      <c r="Y118" s="214"/>
      <c r="Z118" s="222"/>
      <c r="AA118" s="223"/>
      <c r="AB118" s="222"/>
      <c r="AC118" s="214"/>
      <c r="AD118" s="222"/>
      <c r="AE118" s="222"/>
    </row>
    <row r="119" spans="1:31" ht="48">
      <c r="A119" s="23"/>
      <c r="B119" s="215">
        <f>SUBTOTAL(103,$C$11:C119)</f>
        <v>109</v>
      </c>
      <c r="C119" s="215">
        <f>测试大纲!$A$13</f>
        <v>3</v>
      </c>
      <c r="D119" s="216" t="s">
        <v>159</v>
      </c>
      <c r="E119" s="217" t="s">
        <v>152</v>
      </c>
      <c r="F119" s="217" t="s">
        <v>339</v>
      </c>
      <c r="G119" s="218" t="str">
        <f>$D$9 &amp; "-"&amp;测试大纲!I$13&amp;"-"&amp;TEXT(SUBTOTAL(103,$C$11:C119),"000")</f>
        <v>Web-LGBB-109</v>
      </c>
      <c r="H119" s="219" t="s">
        <v>340</v>
      </c>
      <c r="I119" s="219" t="s">
        <v>62</v>
      </c>
      <c r="J119" s="220" t="s">
        <v>651</v>
      </c>
      <c r="K119" s="215" t="s">
        <v>986</v>
      </c>
      <c r="L119" s="215"/>
      <c r="M119" s="215"/>
      <c r="N119" s="220" t="s">
        <v>535</v>
      </c>
      <c r="O119" s="214"/>
      <c r="P119" s="222"/>
      <c r="Q119" s="222"/>
      <c r="R119" s="223"/>
      <c r="S119" s="223"/>
      <c r="T119" s="222"/>
      <c r="U119" s="214"/>
      <c r="V119" s="222"/>
      <c r="W119" s="223"/>
      <c r="X119" s="222"/>
      <c r="Y119" s="214"/>
      <c r="Z119" s="222"/>
      <c r="AA119" s="223"/>
      <c r="AB119" s="222"/>
      <c r="AC119" s="214"/>
      <c r="AD119" s="222"/>
      <c r="AE119" s="222"/>
    </row>
    <row r="120" spans="1:31" ht="48">
      <c r="A120" s="23"/>
      <c r="B120" s="215">
        <f>SUBTOTAL(103,$C$11:C120)</f>
        <v>110</v>
      </c>
      <c r="C120" s="215">
        <f>测试大纲!$A$13</f>
        <v>3</v>
      </c>
      <c r="D120" s="216" t="s">
        <v>159</v>
      </c>
      <c r="E120" s="217" t="s">
        <v>152</v>
      </c>
      <c r="F120" s="217" t="s">
        <v>339</v>
      </c>
      <c r="G120" s="218" t="str">
        <f>$D$9 &amp; "-"&amp;测试大纲!I$13&amp;"-"&amp;TEXT(SUBTOTAL(103,$C$11:C120),"000")</f>
        <v>Web-LGBB-110</v>
      </c>
      <c r="H120" s="219" t="s">
        <v>338</v>
      </c>
      <c r="I120" s="219" t="s">
        <v>62</v>
      </c>
      <c r="J120" s="220" t="s">
        <v>652</v>
      </c>
      <c r="K120" s="215" t="s">
        <v>987</v>
      </c>
      <c r="L120" s="215"/>
      <c r="M120" s="215"/>
      <c r="N120" s="220" t="s">
        <v>536</v>
      </c>
      <c r="O120" s="214"/>
      <c r="P120" s="222"/>
      <c r="Q120" s="222"/>
      <c r="R120" s="223"/>
      <c r="S120" s="223"/>
      <c r="T120" s="222"/>
      <c r="U120" s="214"/>
      <c r="V120" s="222"/>
      <c r="W120" s="223"/>
      <c r="X120" s="222"/>
      <c r="Y120" s="214"/>
      <c r="Z120" s="222"/>
      <c r="AA120" s="223"/>
      <c r="AB120" s="222"/>
      <c r="AC120" s="214"/>
      <c r="AD120" s="222"/>
      <c r="AE120" s="222"/>
    </row>
    <row r="121" spans="1:31" ht="36">
      <c r="A121" s="23"/>
      <c r="B121" s="215">
        <f>SUBTOTAL(103,$C$11:C121)</f>
        <v>111</v>
      </c>
      <c r="C121" s="215">
        <f>测试大纲!$A$13</f>
        <v>3</v>
      </c>
      <c r="D121" s="216" t="s">
        <v>159</v>
      </c>
      <c r="E121" s="217" t="s">
        <v>152</v>
      </c>
      <c r="F121" s="217" t="s">
        <v>339</v>
      </c>
      <c r="G121" s="218" t="str">
        <f>$D$9 &amp; "-"&amp;测试大纲!I$13&amp;"-"&amp;TEXT(SUBTOTAL(103,$C$11:C121),"000")</f>
        <v>Web-LGBB-111</v>
      </c>
      <c r="H121" s="219" t="s">
        <v>337</v>
      </c>
      <c r="I121" s="219" t="s">
        <v>62</v>
      </c>
      <c r="J121" s="220" t="s">
        <v>587</v>
      </c>
      <c r="K121" s="215" t="s">
        <v>988</v>
      </c>
      <c r="L121" s="215" t="s">
        <v>168</v>
      </c>
      <c r="M121" s="218"/>
      <c r="N121" s="220" t="s">
        <v>176</v>
      </c>
      <c r="O121" s="214"/>
      <c r="P121" s="222"/>
      <c r="Q121" s="222"/>
      <c r="R121" s="223"/>
      <c r="S121" s="223"/>
      <c r="T121" s="222"/>
      <c r="U121" s="214"/>
      <c r="V121" s="222"/>
      <c r="W121" s="223"/>
      <c r="X121" s="222"/>
      <c r="Y121" s="214"/>
      <c r="Z121" s="222"/>
      <c r="AA121" s="223"/>
      <c r="AB121" s="222"/>
      <c r="AC121" s="214"/>
      <c r="AD121" s="222"/>
      <c r="AE121" s="222"/>
    </row>
    <row r="122" spans="1:31" ht="36">
      <c r="A122" s="23"/>
      <c r="B122" s="215">
        <f>SUBTOTAL(103,$C$11:C122)</f>
        <v>112</v>
      </c>
      <c r="C122" s="215">
        <f>测试大纲!$A$13</f>
        <v>3</v>
      </c>
      <c r="D122" s="216" t="s">
        <v>159</v>
      </c>
      <c r="E122" s="217" t="s">
        <v>152</v>
      </c>
      <c r="F122" s="217" t="s">
        <v>339</v>
      </c>
      <c r="G122" s="218" t="str">
        <f>$D$9 &amp; "-"&amp;测试大纲!I$13&amp;"-"&amp;TEXT(SUBTOTAL(103,$C$11:C122),"000")</f>
        <v>Web-LGBB-112</v>
      </c>
      <c r="H122" s="219" t="s">
        <v>337</v>
      </c>
      <c r="I122" s="219" t="s">
        <v>62</v>
      </c>
      <c r="J122" s="220" t="s">
        <v>588</v>
      </c>
      <c r="K122" s="215" t="s">
        <v>988</v>
      </c>
      <c r="L122" s="215" t="s">
        <v>336</v>
      </c>
      <c r="M122" s="230">
        <v>2</v>
      </c>
      <c r="N122" s="220" t="s">
        <v>176</v>
      </c>
      <c r="O122" s="214"/>
      <c r="P122" s="222"/>
      <c r="Q122" s="222"/>
      <c r="R122" s="223"/>
      <c r="S122" s="223"/>
      <c r="T122" s="222"/>
      <c r="U122" s="214"/>
      <c r="V122" s="222"/>
      <c r="W122" s="223"/>
      <c r="X122" s="222"/>
      <c r="Y122" s="214"/>
      <c r="Z122" s="222"/>
      <c r="AA122" s="223"/>
      <c r="AB122" s="222"/>
      <c r="AC122" s="214"/>
      <c r="AD122" s="222"/>
      <c r="AE122" s="222"/>
    </row>
    <row r="123" spans="1:31" ht="36">
      <c r="A123" s="23"/>
      <c r="B123" s="215">
        <f>SUBTOTAL(103,$C$11:C123)</f>
        <v>113</v>
      </c>
      <c r="C123" s="215">
        <f>测试大纲!$A$13</f>
        <v>3</v>
      </c>
      <c r="D123" s="216" t="s">
        <v>159</v>
      </c>
      <c r="E123" s="217" t="s">
        <v>152</v>
      </c>
      <c r="F123" s="217" t="s">
        <v>339</v>
      </c>
      <c r="G123" s="218" t="str">
        <f>$D$9 &amp; "-"&amp;测试大纲!I$13&amp;"-"&amp;TEXT(SUBTOTAL(103,$C$11:C123),"000")</f>
        <v>Web-LGBB-113</v>
      </c>
      <c r="H123" s="219" t="s">
        <v>337</v>
      </c>
      <c r="I123" s="219" t="s">
        <v>62</v>
      </c>
      <c r="J123" s="220" t="s">
        <v>589</v>
      </c>
      <c r="K123" s="215" t="s">
        <v>988</v>
      </c>
      <c r="L123" s="215" t="s">
        <v>521</v>
      </c>
      <c r="M123" s="230"/>
      <c r="N123" s="220" t="s">
        <v>177</v>
      </c>
      <c r="O123" s="214"/>
      <c r="P123" s="222"/>
      <c r="Q123" s="222"/>
      <c r="R123" s="223"/>
      <c r="S123" s="223"/>
      <c r="T123" s="222"/>
      <c r="U123" s="214"/>
      <c r="V123" s="222"/>
      <c r="W123" s="223"/>
      <c r="X123" s="222"/>
      <c r="Y123" s="214"/>
      <c r="Z123" s="222"/>
      <c r="AA123" s="223"/>
      <c r="AB123" s="222"/>
      <c r="AC123" s="214"/>
      <c r="AD123" s="222"/>
      <c r="AE123" s="222"/>
    </row>
    <row r="124" spans="1:31" ht="36">
      <c r="A124" s="23"/>
      <c r="B124" s="215">
        <f>SUBTOTAL(103,$C$11:C124)</f>
        <v>114</v>
      </c>
      <c r="C124" s="215">
        <f>测试大纲!$A$13</f>
        <v>3</v>
      </c>
      <c r="D124" s="216" t="s">
        <v>159</v>
      </c>
      <c r="E124" s="217" t="s">
        <v>152</v>
      </c>
      <c r="F124" s="217" t="s">
        <v>339</v>
      </c>
      <c r="G124" s="218" t="str">
        <f>$D$9 &amp; "-"&amp;测试大纲!I$13&amp;"-"&amp;TEXT(SUBTOTAL(103,$C$11:C124),"000")</f>
        <v>Web-LGBB-114</v>
      </c>
      <c r="H124" s="219" t="s">
        <v>337</v>
      </c>
      <c r="I124" s="219" t="s">
        <v>62</v>
      </c>
      <c r="J124" s="220" t="s">
        <v>590</v>
      </c>
      <c r="K124" s="215" t="s">
        <v>988</v>
      </c>
      <c r="L124" s="215" t="s">
        <v>522</v>
      </c>
      <c r="M124" s="230"/>
      <c r="N124" s="220" t="s">
        <v>178</v>
      </c>
      <c r="O124" s="214"/>
      <c r="P124" s="222"/>
      <c r="Q124" s="222"/>
      <c r="R124" s="223"/>
      <c r="S124" s="223"/>
      <c r="T124" s="222"/>
      <c r="U124" s="214"/>
      <c r="V124" s="222"/>
      <c r="W124" s="223"/>
      <c r="X124" s="222"/>
      <c r="Y124" s="214"/>
      <c r="Z124" s="222"/>
      <c r="AA124" s="223"/>
      <c r="AB124" s="222"/>
      <c r="AC124" s="214"/>
      <c r="AD124" s="222"/>
      <c r="AE124" s="222"/>
    </row>
    <row r="125" spans="1:31" ht="36">
      <c r="A125" s="23"/>
      <c r="B125" s="215">
        <f>SUBTOTAL(103,$C$11:C125)</f>
        <v>115</v>
      </c>
      <c r="C125" s="215">
        <f>测试大纲!$A$13</f>
        <v>3</v>
      </c>
      <c r="D125" s="216" t="s">
        <v>159</v>
      </c>
      <c r="E125" s="217" t="s">
        <v>152</v>
      </c>
      <c r="F125" s="217" t="s">
        <v>339</v>
      </c>
      <c r="G125" s="218" t="str">
        <f>$D$9 &amp; "-"&amp;测试大纲!I$13&amp;"-"&amp;TEXT(SUBTOTAL(103,$C$11:C125),"000")</f>
        <v>Web-LGBB-115</v>
      </c>
      <c r="H125" s="219" t="s">
        <v>337</v>
      </c>
      <c r="I125" s="219" t="s">
        <v>165</v>
      </c>
      <c r="J125" s="220" t="s">
        <v>591</v>
      </c>
      <c r="K125" s="215" t="s">
        <v>988</v>
      </c>
      <c r="L125" s="230" t="s">
        <v>171</v>
      </c>
      <c r="M125" s="231">
        <v>0</v>
      </c>
      <c r="N125" s="220" t="s">
        <v>471</v>
      </c>
      <c r="O125" s="214"/>
      <c r="P125" s="222"/>
      <c r="Q125" s="222"/>
      <c r="R125" s="223"/>
      <c r="S125" s="223"/>
      <c r="T125" s="222"/>
      <c r="U125" s="214"/>
      <c r="V125" s="222"/>
      <c r="W125" s="223"/>
      <c r="X125" s="222"/>
      <c r="Y125" s="214"/>
      <c r="Z125" s="222"/>
      <c r="AA125" s="223"/>
      <c r="AB125" s="222"/>
      <c r="AC125" s="214"/>
      <c r="AD125" s="222"/>
      <c r="AE125" s="222"/>
    </row>
    <row r="126" spans="1:31" ht="36">
      <c r="A126" s="23"/>
      <c r="B126" s="215">
        <f>SUBTOTAL(103,$C$11:C126)</f>
        <v>116</v>
      </c>
      <c r="C126" s="215">
        <f>测试大纲!$A$13</f>
        <v>3</v>
      </c>
      <c r="D126" s="216" t="s">
        <v>159</v>
      </c>
      <c r="E126" s="217" t="s">
        <v>152</v>
      </c>
      <c r="F126" s="217" t="s">
        <v>339</v>
      </c>
      <c r="G126" s="218" t="str">
        <f>$D$9 &amp; "-"&amp;测试大纲!I$13&amp;"-"&amp;TEXT(SUBTOTAL(103,$C$11:C126),"000")</f>
        <v>Web-LGBB-116</v>
      </c>
      <c r="H126" s="219" t="s">
        <v>337</v>
      </c>
      <c r="I126" s="219" t="s">
        <v>62</v>
      </c>
      <c r="J126" s="220" t="s">
        <v>592</v>
      </c>
      <c r="K126" s="215" t="s">
        <v>988</v>
      </c>
      <c r="L126" s="230"/>
      <c r="M126" s="231"/>
      <c r="N126" s="220" t="s">
        <v>433</v>
      </c>
      <c r="O126" s="214"/>
      <c r="P126" s="222"/>
      <c r="Q126" s="222"/>
      <c r="R126" s="223"/>
      <c r="S126" s="223"/>
      <c r="T126" s="222"/>
      <c r="U126" s="214"/>
      <c r="V126" s="222"/>
      <c r="W126" s="223"/>
      <c r="X126" s="222"/>
      <c r="Y126" s="214"/>
      <c r="Z126" s="222"/>
      <c r="AA126" s="223"/>
      <c r="AB126" s="222"/>
      <c r="AC126" s="214"/>
      <c r="AD126" s="222"/>
      <c r="AE126" s="222"/>
    </row>
    <row r="127" spans="1:31" ht="36">
      <c r="A127" s="23"/>
      <c r="B127" s="215">
        <f>SUBTOTAL(103,$C$11:C127)</f>
        <v>117</v>
      </c>
      <c r="C127" s="215">
        <f>测试大纲!$A$13</f>
        <v>3</v>
      </c>
      <c r="D127" s="216" t="s">
        <v>159</v>
      </c>
      <c r="E127" s="217" t="s">
        <v>152</v>
      </c>
      <c r="F127" s="217" t="s">
        <v>339</v>
      </c>
      <c r="G127" s="218" t="str">
        <f>$D$9 &amp; "-"&amp;测试大纲!I$13&amp;"-"&amp;TEXT(SUBTOTAL(103,$C$11:C127),"000")</f>
        <v>Web-LGBB-117</v>
      </c>
      <c r="H127" s="219" t="s">
        <v>337</v>
      </c>
      <c r="I127" s="219" t="s">
        <v>62</v>
      </c>
      <c r="J127" s="220" t="s">
        <v>593</v>
      </c>
      <c r="K127" s="215" t="s">
        <v>988</v>
      </c>
      <c r="L127" s="225" t="s">
        <v>415</v>
      </c>
      <c r="M127" s="231"/>
      <c r="N127" s="220" t="s">
        <v>433</v>
      </c>
      <c r="O127" s="214"/>
      <c r="P127" s="222"/>
      <c r="Q127" s="222"/>
      <c r="R127" s="223"/>
      <c r="S127" s="223"/>
      <c r="T127" s="222"/>
      <c r="U127" s="214"/>
      <c r="V127" s="222"/>
      <c r="W127" s="223"/>
      <c r="X127" s="222"/>
      <c r="Y127" s="214"/>
      <c r="Z127" s="222"/>
      <c r="AA127" s="223"/>
      <c r="AB127" s="222"/>
      <c r="AC127" s="214"/>
      <c r="AD127" s="222"/>
      <c r="AE127" s="222"/>
    </row>
    <row r="128" spans="1:31" ht="36">
      <c r="A128" s="23"/>
      <c r="B128" s="215">
        <f>SUBTOTAL(103,$C$11:C128)</f>
        <v>118</v>
      </c>
      <c r="C128" s="215">
        <f>测试大纲!$A$13</f>
        <v>3</v>
      </c>
      <c r="D128" s="216" t="s">
        <v>159</v>
      </c>
      <c r="E128" s="217" t="s">
        <v>152</v>
      </c>
      <c r="F128" s="217" t="s">
        <v>339</v>
      </c>
      <c r="G128" s="218" t="str">
        <f>$D$9 &amp; "-"&amp;测试大纲!I$13&amp;"-"&amp;TEXT(SUBTOTAL(103,$C$11:C128),"000")</f>
        <v>Web-LGBB-118</v>
      </c>
      <c r="H128" s="219" t="s">
        <v>337</v>
      </c>
      <c r="I128" s="219" t="s">
        <v>62</v>
      </c>
      <c r="J128" s="220" t="s">
        <v>594</v>
      </c>
      <c r="K128" s="215" t="s">
        <v>988</v>
      </c>
      <c r="L128" s="215" t="s">
        <v>478</v>
      </c>
      <c r="M128" s="225" t="s">
        <v>375</v>
      </c>
      <c r="N128" s="220" t="s">
        <v>438</v>
      </c>
      <c r="O128" s="214"/>
      <c r="P128" s="222"/>
      <c r="Q128" s="222"/>
      <c r="R128" s="223"/>
      <c r="S128" s="223"/>
      <c r="T128" s="222"/>
      <c r="U128" s="214"/>
      <c r="V128" s="222"/>
      <c r="W128" s="223"/>
      <c r="X128" s="222"/>
      <c r="Y128" s="214"/>
      <c r="Z128" s="222"/>
      <c r="AA128" s="223"/>
      <c r="AB128" s="222"/>
      <c r="AC128" s="214"/>
      <c r="AD128" s="222"/>
      <c r="AE128" s="222"/>
    </row>
    <row r="129" spans="1:31" ht="36">
      <c r="A129" s="23"/>
      <c r="B129" s="215">
        <f>SUBTOTAL(103,$C$11:C129)</f>
        <v>119</v>
      </c>
      <c r="C129" s="215">
        <f>测试大纲!$A$13</f>
        <v>3</v>
      </c>
      <c r="D129" s="216" t="s">
        <v>159</v>
      </c>
      <c r="E129" s="217" t="s">
        <v>152</v>
      </c>
      <c r="F129" s="217" t="s">
        <v>339</v>
      </c>
      <c r="G129" s="218" t="str">
        <f>$D$9 &amp; "-"&amp;测试大纲!I$13&amp;"-"&amp;TEXT(SUBTOTAL(103,$C$11:C129),"000")</f>
        <v>Web-LGBB-119</v>
      </c>
      <c r="H129" s="219" t="s">
        <v>337</v>
      </c>
      <c r="I129" s="219" t="s">
        <v>62</v>
      </c>
      <c r="J129" s="220" t="s">
        <v>595</v>
      </c>
      <c r="K129" s="215" t="s">
        <v>988</v>
      </c>
      <c r="L129" s="215" t="s">
        <v>476</v>
      </c>
      <c r="M129" s="215"/>
      <c r="N129" s="220" t="s">
        <v>477</v>
      </c>
      <c r="O129" s="214"/>
      <c r="P129" s="222"/>
      <c r="Q129" s="222"/>
      <c r="R129" s="223"/>
      <c r="S129" s="223"/>
      <c r="T129" s="222"/>
      <c r="U129" s="214"/>
      <c r="V129" s="222"/>
      <c r="W129" s="223"/>
      <c r="X129" s="222"/>
      <c r="Y129" s="214"/>
      <c r="Z129" s="222"/>
      <c r="AA129" s="223"/>
      <c r="AB129" s="222"/>
      <c r="AC129" s="214"/>
      <c r="AD129" s="222"/>
      <c r="AE129" s="222"/>
    </row>
    <row r="130" spans="1:31" ht="48">
      <c r="A130" s="23"/>
      <c r="B130" s="215">
        <f>SUBTOTAL(103,$C$11:C130)</f>
        <v>120</v>
      </c>
      <c r="C130" s="215">
        <f>测试大纲!$A$13</f>
        <v>3</v>
      </c>
      <c r="D130" s="216" t="s">
        <v>159</v>
      </c>
      <c r="E130" s="217" t="s">
        <v>152</v>
      </c>
      <c r="F130" s="217" t="s">
        <v>339</v>
      </c>
      <c r="G130" s="218" t="str">
        <f>$D$9 &amp; "-"&amp;测试大纲!I$13&amp;"-"&amp;TEXT(SUBTOTAL(103,$C$11:C130),"000")</f>
        <v>Web-LGBB-120</v>
      </c>
      <c r="H130" s="219" t="s">
        <v>337</v>
      </c>
      <c r="I130" s="219" t="s">
        <v>165</v>
      </c>
      <c r="J130" s="220" t="s">
        <v>596</v>
      </c>
      <c r="K130" s="215" t="s">
        <v>988</v>
      </c>
      <c r="L130" s="215" t="s">
        <v>930</v>
      </c>
      <c r="M130" s="215" t="s">
        <v>480</v>
      </c>
      <c r="N130" s="220" t="s">
        <v>481</v>
      </c>
      <c r="O130" s="214"/>
      <c r="P130" s="222"/>
      <c r="Q130" s="222"/>
      <c r="R130" s="223"/>
      <c r="S130" s="223"/>
      <c r="T130" s="222"/>
      <c r="U130" s="214"/>
      <c r="V130" s="222"/>
      <c r="W130" s="223"/>
      <c r="X130" s="222"/>
      <c r="Y130" s="214"/>
      <c r="Z130" s="222"/>
      <c r="AA130" s="223"/>
      <c r="AB130" s="222"/>
      <c r="AC130" s="214"/>
      <c r="AD130" s="222"/>
      <c r="AE130" s="222"/>
    </row>
    <row r="131" spans="1:31" ht="120">
      <c r="A131" s="23"/>
      <c r="B131" s="215">
        <f>SUBTOTAL(103,$C$11:C131)</f>
        <v>121</v>
      </c>
      <c r="C131" s="215">
        <f>测试大纲!$A$13</f>
        <v>3</v>
      </c>
      <c r="D131" s="224" t="s">
        <v>159</v>
      </c>
      <c r="E131" s="215" t="s">
        <v>557</v>
      </c>
      <c r="F131" s="215" t="s">
        <v>558</v>
      </c>
      <c r="G131" s="218" t="str">
        <f>$D$9 &amp; "-"&amp;测试大纲!I$14&amp;"-"&amp;TEXT(SUBTOTAL(103,$C$131:C131),"000")</f>
        <v>Web-JRBB-001</v>
      </c>
      <c r="H131" s="219" t="s">
        <v>337</v>
      </c>
      <c r="I131" s="219" t="s">
        <v>62</v>
      </c>
      <c r="J131" s="220" t="s">
        <v>726</v>
      </c>
      <c r="K131" s="215" t="s">
        <v>989</v>
      </c>
      <c r="L131" s="221"/>
      <c r="M131" s="215"/>
      <c r="N131" s="221" t="s">
        <v>852</v>
      </c>
      <c r="O131" s="214"/>
      <c r="P131" s="222"/>
      <c r="Q131" s="222"/>
      <c r="R131" s="223"/>
      <c r="S131" s="223"/>
      <c r="T131" s="222"/>
      <c r="U131" s="214"/>
      <c r="V131" s="222"/>
      <c r="W131" s="223"/>
      <c r="X131" s="222"/>
      <c r="Y131" s="214"/>
      <c r="Z131" s="222"/>
      <c r="AA131" s="223"/>
      <c r="AB131" s="222"/>
      <c r="AC131" s="214"/>
      <c r="AD131" s="222"/>
      <c r="AE131" s="222"/>
    </row>
    <row r="132" spans="1:31" ht="36">
      <c r="A132" s="23"/>
      <c r="B132" s="215">
        <f>SUBTOTAL(103,$C$11:C132)</f>
        <v>122</v>
      </c>
      <c r="C132" s="215">
        <f>测试大纲!$A$13</f>
        <v>3</v>
      </c>
      <c r="D132" s="224" t="s">
        <v>159</v>
      </c>
      <c r="E132" s="215" t="s">
        <v>557</v>
      </c>
      <c r="F132" s="215" t="s">
        <v>558</v>
      </c>
      <c r="G132" s="218" t="str">
        <f>$D$9 &amp; "-"&amp;测试大纲!I$14&amp;"-"&amp;TEXT(SUBTOTAL(103,$C$131:C132),"000")</f>
        <v>Web-JRBB-002</v>
      </c>
      <c r="H132" s="219" t="s">
        <v>337</v>
      </c>
      <c r="I132" s="219" t="s">
        <v>62</v>
      </c>
      <c r="J132" s="220" t="s">
        <v>727</v>
      </c>
      <c r="K132" s="215" t="s">
        <v>989</v>
      </c>
      <c r="L132" s="215"/>
      <c r="M132" s="215"/>
      <c r="N132" s="220" t="s">
        <v>520</v>
      </c>
      <c r="O132" s="214"/>
      <c r="P132" s="222"/>
      <c r="Q132" s="222"/>
      <c r="R132" s="223"/>
      <c r="S132" s="223"/>
      <c r="T132" s="222"/>
      <c r="U132" s="214"/>
      <c r="V132" s="222"/>
      <c r="W132" s="223"/>
      <c r="X132" s="222"/>
      <c r="Y132" s="214"/>
      <c r="Z132" s="222"/>
      <c r="AA132" s="223"/>
      <c r="AB132" s="222"/>
      <c r="AC132" s="214"/>
      <c r="AD132" s="222"/>
      <c r="AE132" s="222"/>
    </row>
    <row r="133" spans="1:31" ht="24">
      <c r="A133" s="23"/>
      <c r="B133" s="215">
        <f>SUBTOTAL(103,$C$11:C133)</f>
        <v>123</v>
      </c>
      <c r="C133" s="215">
        <f>测试大纲!$A$13</f>
        <v>3</v>
      </c>
      <c r="D133" s="224" t="s">
        <v>159</v>
      </c>
      <c r="E133" s="215" t="s">
        <v>557</v>
      </c>
      <c r="F133" s="215" t="s">
        <v>558</v>
      </c>
      <c r="G133" s="218" t="str">
        <f>$D$9 &amp; "-"&amp;测试大纲!I$14&amp;"-"&amp;TEXT(SUBTOTAL(103,$C$131:C133),"000")</f>
        <v>Web-JRBB-003</v>
      </c>
      <c r="H133" s="219" t="s">
        <v>337</v>
      </c>
      <c r="I133" s="219" t="s">
        <v>62</v>
      </c>
      <c r="J133" s="220" t="s">
        <v>741</v>
      </c>
      <c r="K133" s="215" t="s">
        <v>989</v>
      </c>
      <c r="L133" s="215" t="s">
        <v>472</v>
      </c>
      <c r="M133" s="215"/>
      <c r="N133" s="220" t="s">
        <v>473</v>
      </c>
      <c r="O133" s="214"/>
      <c r="P133" s="222"/>
      <c r="Q133" s="222"/>
      <c r="R133" s="223"/>
      <c r="S133" s="223"/>
      <c r="T133" s="222"/>
      <c r="U133" s="214"/>
      <c r="V133" s="222"/>
      <c r="W133" s="223"/>
      <c r="X133" s="222"/>
      <c r="Y133" s="214"/>
      <c r="Z133" s="222"/>
      <c r="AA133" s="223"/>
      <c r="AB133" s="222"/>
      <c r="AC133" s="214"/>
      <c r="AD133" s="222"/>
      <c r="AE133" s="222"/>
    </row>
    <row r="134" spans="1:31" ht="24">
      <c r="A134" s="23"/>
      <c r="B134" s="215">
        <f>SUBTOTAL(103,$C$11:C134)</f>
        <v>124</v>
      </c>
      <c r="C134" s="215">
        <f>测试大纲!$A$13</f>
        <v>3</v>
      </c>
      <c r="D134" s="224" t="s">
        <v>159</v>
      </c>
      <c r="E134" s="215" t="s">
        <v>557</v>
      </c>
      <c r="F134" s="215" t="s">
        <v>558</v>
      </c>
      <c r="G134" s="218" t="str">
        <f>$D$9 &amp; "-"&amp;测试大纲!I$14&amp;"-"&amp;TEXT(SUBTOTAL(103,$C$131:C134),"000")</f>
        <v>Web-JRBB-004</v>
      </c>
      <c r="H134" s="219" t="s">
        <v>340</v>
      </c>
      <c r="I134" s="219" t="s">
        <v>62</v>
      </c>
      <c r="J134" s="220" t="s">
        <v>826</v>
      </c>
      <c r="K134" s="215" t="s">
        <v>989</v>
      </c>
      <c r="L134" s="215" t="s">
        <v>330</v>
      </c>
      <c r="M134" s="215" t="s">
        <v>827</v>
      </c>
      <c r="N134" s="220" t="s">
        <v>828</v>
      </c>
      <c r="O134" s="214"/>
      <c r="P134" s="222"/>
      <c r="Q134" s="222"/>
      <c r="R134" s="223"/>
      <c r="S134" s="223"/>
      <c r="T134" s="222"/>
      <c r="U134" s="214"/>
      <c r="V134" s="222"/>
      <c r="W134" s="223"/>
      <c r="X134" s="222"/>
      <c r="Y134" s="214"/>
      <c r="Z134" s="222"/>
      <c r="AA134" s="223"/>
      <c r="AB134" s="222"/>
      <c r="AC134" s="214"/>
      <c r="AD134" s="222"/>
      <c r="AE134" s="222"/>
    </row>
    <row r="135" spans="1:31" ht="24">
      <c r="A135" s="23"/>
      <c r="B135" s="215">
        <f>SUBTOTAL(103,$C$11:C135)</f>
        <v>125</v>
      </c>
      <c r="C135" s="215">
        <f>测试大纲!$A$13</f>
        <v>3</v>
      </c>
      <c r="D135" s="216" t="s">
        <v>159</v>
      </c>
      <c r="E135" s="215" t="s">
        <v>557</v>
      </c>
      <c r="F135" s="215" t="s">
        <v>558</v>
      </c>
      <c r="G135" s="218" t="str">
        <f>$D$9 &amp; "-"&amp;测试大纲!I$14&amp;"-"&amp;TEXT(SUBTOTAL(103,$C$131:C135),"000")</f>
        <v>Web-JRBB-005</v>
      </c>
      <c r="H135" s="219" t="s">
        <v>337</v>
      </c>
      <c r="I135" s="219" t="s">
        <v>62</v>
      </c>
      <c r="J135" s="220" t="s">
        <v>633</v>
      </c>
      <c r="K135" s="215" t="s">
        <v>989</v>
      </c>
      <c r="L135" s="215" t="s">
        <v>330</v>
      </c>
      <c r="M135" s="215" t="s">
        <v>375</v>
      </c>
      <c r="N135" s="220" t="s">
        <v>456</v>
      </c>
      <c r="O135" s="214"/>
      <c r="P135" s="222"/>
      <c r="Q135" s="222"/>
      <c r="R135" s="223"/>
      <c r="S135" s="223"/>
      <c r="T135" s="222"/>
      <c r="U135" s="214"/>
      <c r="V135" s="222"/>
      <c r="W135" s="223"/>
      <c r="X135" s="222"/>
      <c r="Y135" s="214"/>
      <c r="Z135" s="222"/>
      <c r="AA135" s="223"/>
      <c r="AB135" s="222"/>
      <c r="AC135" s="214"/>
      <c r="AD135" s="222"/>
      <c r="AE135" s="222"/>
    </row>
    <row r="136" spans="1:31" ht="24">
      <c r="A136" s="23"/>
      <c r="B136" s="215">
        <f>SUBTOTAL(103,$C$11:C136)</f>
        <v>126</v>
      </c>
      <c r="C136" s="215">
        <f>测试大纲!$A$13</f>
        <v>3</v>
      </c>
      <c r="D136" s="216" t="s">
        <v>159</v>
      </c>
      <c r="E136" s="215" t="s">
        <v>557</v>
      </c>
      <c r="F136" s="215" t="s">
        <v>558</v>
      </c>
      <c r="G136" s="218" t="str">
        <f>$D$9 &amp; "-"&amp;测试大纲!I$14&amp;"-"&amp;TEXT(SUBTOTAL(103,$C$131:C136),"000")</f>
        <v>Web-JRBB-006</v>
      </c>
      <c r="H136" s="219" t="s">
        <v>337</v>
      </c>
      <c r="I136" s="219" t="s">
        <v>62</v>
      </c>
      <c r="J136" s="220" t="s">
        <v>653</v>
      </c>
      <c r="K136" s="215" t="s">
        <v>989</v>
      </c>
      <c r="L136" s="228" t="s">
        <v>190</v>
      </c>
      <c r="M136" s="234" t="s">
        <v>391</v>
      </c>
      <c r="N136" s="220" t="s">
        <v>544</v>
      </c>
      <c r="O136" s="214"/>
      <c r="P136" s="222"/>
      <c r="Q136" s="222"/>
      <c r="R136" s="223"/>
      <c r="S136" s="223"/>
      <c r="T136" s="222"/>
      <c r="U136" s="214"/>
      <c r="V136" s="222"/>
      <c r="W136" s="223"/>
      <c r="X136" s="222"/>
      <c r="Y136" s="214"/>
      <c r="Z136" s="222"/>
      <c r="AA136" s="223"/>
      <c r="AB136" s="222"/>
      <c r="AC136" s="214"/>
      <c r="AD136" s="222"/>
      <c r="AE136" s="222"/>
    </row>
    <row r="137" spans="1:31" ht="24">
      <c r="A137" s="23"/>
      <c r="B137" s="215">
        <f>SUBTOTAL(103,$C$11:C137)</f>
        <v>127</v>
      </c>
      <c r="C137" s="215">
        <f>测试大纲!$A$13</f>
        <v>3</v>
      </c>
      <c r="D137" s="216" t="s">
        <v>159</v>
      </c>
      <c r="E137" s="215" t="s">
        <v>557</v>
      </c>
      <c r="F137" s="215" t="s">
        <v>558</v>
      </c>
      <c r="G137" s="218" t="str">
        <f>$D$9 &amp; "-"&amp;测试大纲!I$14&amp;"-"&amp;TEXT(SUBTOTAL(103,$C$131:C137),"000")</f>
        <v>Web-JRBB-007</v>
      </c>
      <c r="H137" s="219" t="s">
        <v>337</v>
      </c>
      <c r="I137" s="219" t="s">
        <v>62</v>
      </c>
      <c r="J137" s="220" t="s">
        <v>634</v>
      </c>
      <c r="K137" s="215" t="s">
        <v>989</v>
      </c>
      <c r="L137" s="215" t="s">
        <v>542</v>
      </c>
      <c r="M137" s="215" t="s">
        <v>548</v>
      </c>
      <c r="N137" s="220" t="s">
        <v>545</v>
      </c>
      <c r="O137" s="214"/>
      <c r="P137" s="222"/>
      <c r="Q137" s="222"/>
      <c r="R137" s="223"/>
      <c r="S137" s="223"/>
      <c r="T137" s="222"/>
      <c r="U137" s="214"/>
      <c r="V137" s="222"/>
      <c r="W137" s="223"/>
      <c r="X137" s="222"/>
      <c r="Y137" s="214"/>
      <c r="Z137" s="222"/>
      <c r="AA137" s="223"/>
      <c r="AB137" s="222"/>
      <c r="AC137" s="214"/>
      <c r="AD137" s="222"/>
      <c r="AE137" s="222"/>
    </row>
    <row r="138" spans="1:31" ht="24">
      <c r="A138" s="23"/>
      <c r="B138" s="215">
        <f>SUBTOTAL(103,$C$11:C138)</f>
        <v>128</v>
      </c>
      <c r="C138" s="215">
        <f>测试大纲!$A$13</f>
        <v>3</v>
      </c>
      <c r="D138" s="216" t="s">
        <v>159</v>
      </c>
      <c r="E138" s="215" t="s">
        <v>557</v>
      </c>
      <c r="F138" s="215" t="s">
        <v>558</v>
      </c>
      <c r="G138" s="218" t="str">
        <f>$D$9 &amp; "-"&amp;测试大纲!I$14&amp;"-"&amp;TEXT(SUBTOTAL(103,$C$131:C138),"000")</f>
        <v>Web-JRBB-008</v>
      </c>
      <c r="H138" s="219" t="s">
        <v>337</v>
      </c>
      <c r="I138" s="219" t="s">
        <v>62</v>
      </c>
      <c r="J138" s="220" t="s">
        <v>654</v>
      </c>
      <c r="K138" s="215" t="s">
        <v>989</v>
      </c>
      <c r="L138" s="215" t="s">
        <v>543</v>
      </c>
      <c r="M138" s="215" t="s">
        <v>549</v>
      </c>
      <c r="N138" s="220" t="s">
        <v>546</v>
      </c>
      <c r="O138" s="214"/>
      <c r="P138" s="222"/>
      <c r="Q138" s="222"/>
      <c r="R138" s="223"/>
      <c r="S138" s="223"/>
      <c r="T138" s="222"/>
      <c r="U138" s="214"/>
      <c r="V138" s="222"/>
      <c r="W138" s="223"/>
      <c r="X138" s="222"/>
      <c r="Y138" s="214"/>
      <c r="Z138" s="222"/>
      <c r="AA138" s="223"/>
      <c r="AB138" s="222"/>
      <c r="AC138" s="214"/>
      <c r="AD138" s="222"/>
      <c r="AE138" s="222"/>
    </row>
    <row r="139" spans="1:31" ht="48">
      <c r="A139" s="23"/>
      <c r="B139" s="215">
        <f>SUBTOTAL(103,$C$11:C139)</f>
        <v>129</v>
      </c>
      <c r="C139" s="215">
        <f>测试大纲!$A$13</f>
        <v>3</v>
      </c>
      <c r="D139" s="216" t="s">
        <v>159</v>
      </c>
      <c r="E139" s="215" t="s">
        <v>557</v>
      </c>
      <c r="F139" s="215" t="s">
        <v>558</v>
      </c>
      <c r="G139" s="218" t="str">
        <f>$D$9 &amp; "-"&amp;测试大纲!I$14&amp;"-"&amp;TEXT(SUBTOTAL(103,$C$131:C139),"000")</f>
        <v>Web-JRBB-009</v>
      </c>
      <c r="H139" s="219" t="s">
        <v>337</v>
      </c>
      <c r="I139" s="219" t="s">
        <v>165</v>
      </c>
      <c r="J139" s="220" t="s">
        <v>613</v>
      </c>
      <c r="K139" s="215" t="s">
        <v>989</v>
      </c>
      <c r="L139" s="215" t="s">
        <v>547</v>
      </c>
      <c r="M139" s="215" t="s">
        <v>550</v>
      </c>
      <c r="N139" s="220" t="s">
        <v>463</v>
      </c>
      <c r="O139" s="214"/>
      <c r="P139" s="222"/>
      <c r="Q139" s="222"/>
      <c r="R139" s="223"/>
      <c r="S139" s="223"/>
      <c r="T139" s="222"/>
      <c r="U139" s="214"/>
      <c r="V139" s="222"/>
      <c r="W139" s="223"/>
      <c r="X139" s="222"/>
      <c r="Y139" s="214"/>
      <c r="Z139" s="222"/>
      <c r="AA139" s="223"/>
      <c r="AB139" s="222"/>
      <c r="AC139" s="214"/>
      <c r="AD139" s="222"/>
      <c r="AE139" s="222"/>
    </row>
    <row r="140" spans="1:31" ht="48">
      <c r="A140" s="23"/>
      <c r="B140" s="215">
        <f>SUBTOTAL(103,$C$11:C140)</f>
        <v>130</v>
      </c>
      <c r="C140" s="215">
        <f>测试大纲!$A$13</f>
        <v>3</v>
      </c>
      <c r="D140" s="216" t="s">
        <v>159</v>
      </c>
      <c r="E140" s="215" t="s">
        <v>557</v>
      </c>
      <c r="F140" s="215" t="s">
        <v>558</v>
      </c>
      <c r="G140" s="218" t="str">
        <f>$D$9 &amp; "-"&amp;测试大纲!I$14&amp;"-"&amp;TEXT(SUBTOTAL(103,$C$131:C140),"000")</f>
        <v>Web-JRBB-010</v>
      </c>
      <c r="H140" s="219" t="s">
        <v>337</v>
      </c>
      <c r="I140" s="219" t="s">
        <v>165</v>
      </c>
      <c r="J140" s="220" t="s">
        <v>614</v>
      </c>
      <c r="K140" s="215" t="s">
        <v>989</v>
      </c>
      <c r="L140" s="215" t="s">
        <v>547</v>
      </c>
      <c r="M140" s="215" t="s">
        <v>552</v>
      </c>
      <c r="N140" s="220" t="s">
        <v>463</v>
      </c>
      <c r="O140" s="214"/>
      <c r="P140" s="222"/>
      <c r="Q140" s="222"/>
      <c r="R140" s="223"/>
      <c r="S140" s="223"/>
      <c r="T140" s="222"/>
      <c r="U140" s="214"/>
      <c r="V140" s="222"/>
      <c r="W140" s="223"/>
      <c r="X140" s="222"/>
      <c r="Y140" s="214"/>
      <c r="Z140" s="222"/>
      <c r="AA140" s="223"/>
      <c r="AB140" s="222"/>
      <c r="AC140" s="214"/>
      <c r="AD140" s="222"/>
      <c r="AE140" s="222"/>
    </row>
    <row r="141" spans="1:31" ht="48">
      <c r="A141" s="23"/>
      <c r="B141" s="215">
        <f>SUBTOTAL(103,$C$11:C141)</f>
        <v>131</v>
      </c>
      <c r="C141" s="215">
        <f>测试大纲!$A$13</f>
        <v>3</v>
      </c>
      <c r="D141" s="216" t="s">
        <v>159</v>
      </c>
      <c r="E141" s="215" t="s">
        <v>557</v>
      </c>
      <c r="F141" s="215" t="s">
        <v>558</v>
      </c>
      <c r="G141" s="218" t="str">
        <f>$D$9 &amp; "-"&amp;测试大纲!I$14&amp;"-"&amp;TEXT(SUBTOTAL(103,$C$131:C141),"000")</f>
        <v>Web-JRBB-011</v>
      </c>
      <c r="H141" s="219" t="s">
        <v>337</v>
      </c>
      <c r="I141" s="219" t="s">
        <v>165</v>
      </c>
      <c r="J141" s="220" t="s">
        <v>655</v>
      </c>
      <c r="K141" s="215" t="s">
        <v>989</v>
      </c>
      <c r="L141" s="215" t="s">
        <v>547</v>
      </c>
      <c r="M141" s="215" t="s">
        <v>553</v>
      </c>
      <c r="N141" s="220" t="s">
        <v>463</v>
      </c>
      <c r="O141" s="214"/>
      <c r="P141" s="222"/>
      <c r="Q141" s="222"/>
      <c r="R141" s="223"/>
      <c r="S141" s="223"/>
      <c r="T141" s="222"/>
      <c r="U141" s="214"/>
      <c r="V141" s="222"/>
      <c r="W141" s="223"/>
      <c r="X141" s="222"/>
      <c r="Y141" s="214"/>
      <c r="Z141" s="222"/>
      <c r="AA141" s="223"/>
      <c r="AB141" s="222"/>
      <c r="AC141" s="214"/>
      <c r="AD141" s="222"/>
      <c r="AE141" s="222"/>
    </row>
    <row r="142" spans="1:31" ht="168">
      <c r="A142" s="23"/>
      <c r="B142" s="215">
        <f>SUBTOTAL(103,$C$11:C142)</f>
        <v>132</v>
      </c>
      <c r="C142" s="215">
        <f>测试大纲!$A$13</f>
        <v>3</v>
      </c>
      <c r="D142" s="216" t="s">
        <v>159</v>
      </c>
      <c r="E142" s="215" t="s">
        <v>557</v>
      </c>
      <c r="F142" s="215" t="s">
        <v>558</v>
      </c>
      <c r="G142" s="218" t="str">
        <f>$D$9 &amp; "-"&amp;测试大纲!I$14&amp;"-"&amp;TEXT(SUBTOTAL(103,$C$131:C142),"000")</f>
        <v>Web-JRBB-012</v>
      </c>
      <c r="H142" s="219" t="s">
        <v>337</v>
      </c>
      <c r="I142" s="219" t="s">
        <v>62</v>
      </c>
      <c r="J142" s="220" t="s">
        <v>656</v>
      </c>
      <c r="K142" s="215" t="s">
        <v>989</v>
      </c>
      <c r="L142" s="215" t="s">
        <v>523</v>
      </c>
      <c r="M142" s="215"/>
      <c r="N142" s="221" t="s">
        <v>554</v>
      </c>
      <c r="O142" s="214"/>
      <c r="P142" s="222"/>
      <c r="Q142" s="222"/>
      <c r="R142" s="223"/>
      <c r="S142" s="223"/>
      <c r="T142" s="222"/>
      <c r="U142" s="214"/>
      <c r="V142" s="222"/>
      <c r="W142" s="223"/>
      <c r="X142" s="222"/>
      <c r="Y142" s="214"/>
      <c r="Z142" s="222"/>
      <c r="AA142" s="223"/>
      <c r="AB142" s="222"/>
      <c r="AC142" s="214"/>
      <c r="AD142" s="222"/>
      <c r="AE142" s="222"/>
    </row>
    <row r="143" spans="1:31" ht="24">
      <c r="A143" s="23"/>
      <c r="B143" s="215">
        <f>SUBTOTAL(103,$C$11:C143)</f>
        <v>133</v>
      </c>
      <c r="C143" s="215">
        <f>测试大纲!$A$13</f>
        <v>3</v>
      </c>
      <c r="D143" s="216" t="s">
        <v>159</v>
      </c>
      <c r="E143" s="215" t="s">
        <v>557</v>
      </c>
      <c r="F143" s="215" t="s">
        <v>558</v>
      </c>
      <c r="G143" s="218" t="str">
        <f>$D$9 &amp; "-"&amp;测试大纲!I$14&amp;"-"&amp;TEXT(SUBTOTAL(103,$C$131:C143),"000")</f>
        <v>Web-JRBB-013</v>
      </c>
      <c r="H143" s="219" t="s">
        <v>337</v>
      </c>
      <c r="I143" s="219" t="s">
        <v>62</v>
      </c>
      <c r="J143" s="220" t="s">
        <v>657</v>
      </c>
      <c r="K143" s="215" t="s">
        <v>989</v>
      </c>
      <c r="L143" s="215" t="s">
        <v>333</v>
      </c>
      <c r="M143" s="215"/>
      <c r="N143" s="220" t="s">
        <v>167</v>
      </c>
      <c r="O143" s="214"/>
      <c r="P143" s="222"/>
      <c r="Q143" s="222"/>
      <c r="R143" s="223"/>
      <c r="S143" s="223"/>
      <c r="T143" s="222"/>
      <c r="U143" s="214"/>
      <c r="V143" s="222"/>
      <c r="W143" s="223"/>
      <c r="X143" s="222"/>
      <c r="Y143" s="214"/>
      <c r="Z143" s="222"/>
      <c r="AA143" s="223"/>
      <c r="AB143" s="222"/>
      <c r="AC143" s="214"/>
      <c r="AD143" s="222"/>
      <c r="AE143" s="222"/>
    </row>
    <row r="144" spans="1:31" ht="36">
      <c r="A144" s="23"/>
      <c r="B144" s="215">
        <f>SUBTOTAL(103,$C$11:C144)</f>
        <v>134</v>
      </c>
      <c r="C144" s="215">
        <f>测试大纲!$A$13</f>
        <v>3</v>
      </c>
      <c r="D144" s="216" t="s">
        <v>159</v>
      </c>
      <c r="E144" s="215" t="s">
        <v>557</v>
      </c>
      <c r="F144" s="215" t="s">
        <v>558</v>
      </c>
      <c r="G144" s="218" t="str">
        <f>$D$9 &amp; "-"&amp;测试大纲!I$14&amp;"-"&amp;TEXT(SUBTOTAL(103,$C$131:C144),"000")</f>
        <v>Web-JRBB-014</v>
      </c>
      <c r="H144" s="219" t="s">
        <v>337</v>
      </c>
      <c r="I144" s="219" t="s">
        <v>165</v>
      </c>
      <c r="J144" s="220" t="s">
        <v>658</v>
      </c>
      <c r="K144" s="215" t="s">
        <v>989</v>
      </c>
      <c r="L144" s="215" t="s">
        <v>555</v>
      </c>
      <c r="M144" s="215" t="s">
        <v>355</v>
      </c>
      <c r="N144" s="220" t="s">
        <v>461</v>
      </c>
      <c r="O144" s="214"/>
      <c r="P144" s="222"/>
      <c r="Q144" s="222"/>
      <c r="R144" s="223"/>
      <c r="S144" s="223"/>
      <c r="T144" s="222"/>
      <c r="U144" s="214"/>
      <c r="V144" s="222"/>
      <c r="W144" s="223"/>
      <c r="X144" s="222"/>
      <c r="Y144" s="214"/>
      <c r="Z144" s="222"/>
      <c r="AA144" s="223"/>
      <c r="AB144" s="222"/>
      <c r="AC144" s="214"/>
      <c r="AD144" s="222"/>
      <c r="AE144" s="222"/>
    </row>
    <row r="145" spans="1:31" ht="36">
      <c r="A145" s="23"/>
      <c r="B145" s="215">
        <f>SUBTOTAL(103,$C$11:C145)</f>
        <v>135</v>
      </c>
      <c r="C145" s="215">
        <f>测试大纲!$A$13</f>
        <v>3</v>
      </c>
      <c r="D145" s="216" t="s">
        <v>159</v>
      </c>
      <c r="E145" s="215" t="s">
        <v>557</v>
      </c>
      <c r="F145" s="215" t="s">
        <v>558</v>
      </c>
      <c r="G145" s="218" t="str">
        <f>$D$9 &amp; "-"&amp;测试大纲!I$14&amp;"-"&amp;TEXT(SUBTOTAL(103,$C$131:C145),"000")</f>
        <v>Web-JRBB-015</v>
      </c>
      <c r="H145" s="219" t="s">
        <v>337</v>
      </c>
      <c r="I145" s="219" t="s">
        <v>62</v>
      </c>
      <c r="J145" s="220" t="s">
        <v>587</v>
      </c>
      <c r="K145" s="215" t="s">
        <v>990</v>
      </c>
      <c r="L145" s="215" t="s">
        <v>931</v>
      </c>
      <c r="M145" s="218"/>
      <c r="N145" s="220" t="s">
        <v>176</v>
      </c>
      <c r="O145" s="214"/>
      <c r="P145" s="222"/>
      <c r="Q145" s="222"/>
      <c r="R145" s="223"/>
      <c r="S145" s="223"/>
      <c r="T145" s="222"/>
      <c r="U145" s="214"/>
      <c r="V145" s="222"/>
      <c r="W145" s="223"/>
      <c r="X145" s="222"/>
      <c r="Y145" s="214"/>
      <c r="Z145" s="222"/>
      <c r="AA145" s="223"/>
      <c r="AB145" s="222"/>
      <c r="AC145" s="214"/>
      <c r="AD145" s="222"/>
      <c r="AE145" s="222"/>
    </row>
    <row r="146" spans="1:31" ht="36">
      <c r="A146" s="23"/>
      <c r="B146" s="215">
        <f>SUBTOTAL(103,$C$11:C146)</f>
        <v>136</v>
      </c>
      <c r="C146" s="215">
        <f>测试大纲!$A$13</f>
        <v>3</v>
      </c>
      <c r="D146" s="216" t="s">
        <v>159</v>
      </c>
      <c r="E146" s="215" t="s">
        <v>557</v>
      </c>
      <c r="F146" s="215" t="s">
        <v>558</v>
      </c>
      <c r="G146" s="218" t="str">
        <f>$D$9 &amp; "-"&amp;测试大纲!I$14&amp;"-"&amp;TEXT(SUBTOTAL(103,$C$131:C146),"000")</f>
        <v>Web-JRBB-016</v>
      </c>
      <c r="H146" s="219" t="s">
        <v>337</v>
      </c>
      <c r="I146" s="219" t="s">
        <v>62</v>
      </c>
      <c r="J146" s="220" t="s">
        <v>588</v>
      </c>
      <c r="K146" s="215" t="s">
        <v>990</v>
      </c>
      <c r="L146" s="215" t="s">
        <v>336</v>
      </c>
      <c r="M146" s="230">
        <v>2</v>
      </c>
      <c r="N146" s="220" t="s">
        <v>176</v>
      </c>
      <c r="O146" s="214"/>
      <c r="P146" s="222"/>
      <c r="Q146" s="222"/>
      <c r="R146" s="223"/>
      <c r="S146" s="223"/>
      <c r="T146" s="222"/>
      <c r="U146" s="214"/>
      <c r="V146" s="222"/>
      <c r="W146" s="223"/>
      <c r="X146" s="222"/>
      <c r="Y146" s="214"/>
      <c r="Z146" s="222"/>
      <c r="AA146" s="223"/>
      <c r="AB146" s="222"/>
      <c r="AC146" s="214"/>
      <c r="AD146" s="222"/>
      <c r="AE146" s="222"/>
    </row>
    <row r="147" spans="1:31" ht="36">
      <c r="A147" s="23"/>
      <c r="B147" s="215">
        <f>SUBTOTAL(103,$C$11:C147)</f>
        <v>137</v>
      </c>
      <c r="C147" s="215">
        <f>测试大纲!$A$13</f>
        <v>3</v>
      </c>
      <c r="D147" s="216" t="s">
        <v>159</v>
      </c>
      <c r="E147" s="215" t="s">
        <v>557</v>
      </c>
      <c r="F147" s="215" t="s">
        <v>558</v>
      </c>
      <c r="G147" s="218" t="str">
        <f>$D$9 &amp; "-"&amp;测试大纲!I$14&amp;"-"&amp;TEXT(SUBTOTAL(103,$C$131:C147),"000")</f>
        <v>Web-JRBB-017</v>
      </c>
      <c r="H147" s="219" t="s">
        <v>337</v>
      </c>
      <c r="I147" s="219" t="s">
        <v>62</v>
      </c>
      <c r="J147" s="220" t="s">
        <v>589</v>
      </c>
      <c r="K147" s="215" t="s">
        <v>990</v>
      </c>
      <c r="L147" s="215" t="s">
        <v>932</v>
      </c>
      <c r="M147" s="230"/>
      <c r="N147" s="220" t="s">
        <v>177</v>
      </c>
      <c r="O147" s="214"/>
      <c r="P147" s="222"/>
      <c r="Q147" s="222"/>
      <c r="R147" s="223"/>
      <c r="S147" s="223"/>
      <c r="T147" s="222"/>
      <c r="U147" s="214"/>
      <c r="V147" s="222"/>
      <c r="W147" s="223"/>
      <c r="X147" s="222"/>
      <c r="Y147" s="214"/>
      <c r="Z147" s="222"/>
      <c r="AA147" s="223"/>
      <c r="AB147" s="222"/>
      <c r="AC147" s="214"/>
      <c r="AD147" s="222"/>
      <c r="AE147" s="222"/>
    </row>
    <row r="148" spans="1:31" ht="36">
      <c r="A148" s="23"/>
      <c r="B148" s="215">
        <f>SUBTOTAL(103,$C$11:C148)</f>
        <v>138</v>
      </c>
      <c r="C148" s="215">
        <f>测试大纲!$A$13</f>
        <v>3</v>
      </c>
      <c r="D148" s="216" t="s">
        <v>159</v>
      </c>
      <c r="E148" s="215" t="s">
        <v>557</v>
      </c>
      <c r="F148" s="215" t="s">
        <v>558</v>
      </c>
      <c r="G148" s="218" t="str">
        <f>$D$9 &amp; "-"&amp;测试大纲!I$14&amp;"-"&amp;TEXT(SUBTOTAL(103,$C$131:C148),"000")</f>
        <v>Web-JRBB-018</v>
      </c>
      <c r="H148" s="219" t="s">
        <v>337</v>
      </c>
      <c r="I148" s="219" t="s">
        <v>62</v>
      </c>
      <c r="J148" s="220" t="s">
        <v>590</v>
      </c>
      <c r="K148" s="215" t="s">
        <v>990</v>
      </c>
      <c r="L148" s="215" t="s">
        <v>522</v>
      </c>
      <c r="M148" s="230"/>
      <c r="N148" s="220" t="s">
        <v>178</v>
      </c>
      <c r="O148" s="214"/>
      <c r="P148" s="222"/>
      <c r="Q148" s="222"/>
      <c r="R148" s="223"/>
      <c r="S148" s="223"/>
      <c r="T148" s="222"/>
      <c r="U148" s="214"/>
      <c r="V148" s="222"/>
      <c r="W148" s="223"/>
      <c r="X148" s="222"/>
      <c r="Y148" s="214"/>
      <c r="Z148" s="222"/>
      <c r="AA148" s="223"/>
      <c r="AB148" s="222"/>
      <c r="AC148" s="214"/>
      <c r="AD148" s="222"/>
      <c r="AE148" s="222"/>
    </row>
    <row r="149" spans="1:31" ht="36">
      <c r="A149" s="23"/>
      <c r="B149" s="215">
        <f>SUBTOTAL(103,$C$11:C149)</f>
        <v>139</v>
      </c>
      <c r="C149" s="215">
        <f>测试大纲!$A$13</f>
        <v>3</v>
      </c>
      <c r="D149" s="216" t="s">
        <v>159</v>
      </c>
      <c r="E149" s="215" t="s">
        <v>557</v>
      </c>
      <c r="F149" s="215" t="s">
        <v>558</v>
      </c>
      <c r="G149" s="218" t="str">
        <f>$D$9 &amp; "-"&amp;测试大纲!I$14&amp;"-"&amp;TEXT(SUBTOTAL(103,$C$131:C149),"000")</f>
        <v>Web-JRBB-019</v>
      </c>
      <c r="H149" s="219" t="s">
        <v>337</v>
      </c>
      <c r="I149" s="219" t="s">
        <v>165</v>
      </c>
      <c r="J149" s="220" t="s">
        <v>591</v>
      </c>
      <c r="K149" s="215" t="s">
        <v>990</v>
      </c>
      <c r="L149" s="230" t="s">
        <v>171</v>
      </c>
      <c r="M149" s="231">
        <v>0</v>
      </c>
      <c r="N149" s="220" t="s">
        <v>471</v>
      </c>
      <c r="O149" s="214"/>
      <c r="P149" s="222"/>
      <c r="Q149" s="222"/>
      <c r="R149" s="223"/>
      <c r="S149" s="223"/>
      <c r="T149" s="222"/>
      <c r="U149" s="214"/>
      <c r="V149" s="222"/>
      <c r="W149" s="223"/>
      <c r="X149" s="222"/>
      <c r="Y149" s="214"/>
      <c r="Z149" s="222"/>
      <c r="AA149" s="223"/>
      <c r="AB149" s="222"/>
      <c r="AC149" s="214"/>
      <c r="AD149" s="222"/>
      <c r="AE149" s="222"/>
    </row>
    <row r="150" spans="1:31" ht="36">
      <c r="A150" s="23"/>
      <c r="B150" s="215">
        <f>SUBTOTAL(103,$C$11:C150)</f>
        <v>140</v>
      </c>
      <c r="C150" s="215">
        <f>测试大纲!$A$13</f>
        <v>3</v>
      </c>
      <c r="D150" s="216" t="s">
        <v>159</v>
      </c>
      <c r="E150" s="215" t="s">
        <v>557</v>
      </c>
      <c r="F150" s="215" t="s">
        <v>558</v>
      </c>
      <c r="G150" s="218" t="str">
        <f>$D$9 &amp; "-"&amp;测试大纲!I$14&amp;"-"&amp;TEXT(SUBTOTAL(103,$C$131:C150),"000")</f>
        <v>Web-JRBB-020</v>
      </c>
      <c r="H150" s="219" t="s">
        <v>337</v>
      </c>
      <c r="I150" s="219" t="s">
        <v>62</v>
      </c>
      <c r="J150" s="220" t="s">
        <v>592</v>
      </c>
      <c r="K150" s="215" t="s">
        <v>990</v>
      </c>
      <c r="L150" s="230"/>
      <c r="M150" s="231"/>
      <c r="N150" s="220" t="s">
        <v>433</v>
      </c>
      <c r="O150" s="214"/>
      <c r="P150" s="222"/>
      <c r="Q150" s="222"/>
      <c r="R150" s="223"/>
      <c r="S150" s="223"/>
      <c r="T150" s="222"/>
      <c r="U150" s="214"/>
      <c r="V150" s="222"/>
      <c r="W150" s="223"/>
      <c r="X150" s="222"/>
      <c r="Y150" s="214"/>
      <c r="Z150" s="222"/>
      <c r="AA150" s="223"/>
      <c r="AB150" s="222"/>
      <c r="AC150" s="214"/>
      <c r="AD150" s="222"/>
      <c r="AE150" s="222"/>
    </row>
    <row r="151" spans="1:31" ht="36">
      <c r="A151" s="23"/>
      <c r="B151" s="215">
        <f>SUBTOTAL(103,$C$11:C151)</f>
        <v>141</v>
      </c>
      <c r="C151" s="215">
        <f>测试大纲!$A$13</f>
        <v>3</v>
      </c>
      <c r="D151" s="216" t="s">
        <v>159</v>
      </c>
      <c r="E151" s="215" t="s">
        <v>557</v>
      </c>
      <c r="F151" s="215" t="s">
        <v>558</v>
      </c>
      <c r="G151" s="218" t="str">
        <f>$D$9 &amp; "-"&amp;测试大纲!I$14&amp;"-"&amp;TEXT(SUBTOTAL(103,$C$131:C151),"000")</f>
        <v>Web-JRBB-021</v>
      </c>
      <c r="H151" s="219" t="s">
        <v>337</v>
      </c>
      <c r="I151" s="219" t="s">
        <v>62</v>
      </c>
      <c r="J151" s="220" t="s">
        <v>593</v>
      </c>
      <c r="K151" s="215" t="s">
        <v>990</v>
      </c>
      <c r="L151" s="225" t="s">
        <v>415</v>
      </c>
      <c r="M151" s="231"/>
      <c r="N151" s="220" t="s">
        <v>433</v>
      </c>
      <c r="O151" s="214"/>
      <c r="P151" s="222"/>
      <c r="Q151" s="222"/>
      <c r="R151" s="223"/>
      <c r="S151" s="223"/>
      <c r="T151" s="222"/>
      <c r="U151" s="214"/>
      <c r="V151" s="222"/>
      <c r="W151" s="223"/>
      <c r="X151" s="222"/>
      <c r="Y151" s="214"/>
      <c r="Z151" s="222"/>
      <c r="AA151" s="223"/>
      <c r="AB151" s="222"/>
      <c r="AC151" s="214"/>
      <c r="AD151" s="222"/>
      <c r="AE151" s="222"/>
    </row>
    <row r="152" spans="1:31" ht="36">
      <c r="A152" s="23"/>
      <c r="B152" s="215">
        <f>SUBTOTAL(103,$C$11:C152)</f>
        <v>142</v>
      </c>
      <c r="C152" s="215">
        <f>测试大纲!$A$13</f>
        <v>3</v>
      </c>
      <c r="D152" s="216" t="s">
        <v>159</v>
      </c>
      <c r="E152" s="215" t="s">
        <v>557</v>
      </c>
      <c r="F152" s="215" t="s">
        <v>558</v>
      </c>
      <c r="G152" s="218" t="str">
        <f>$D$9 &amp; "-"&amp;测试大纲!I$14&amp;"-"&amp;TEXT(SUBTOTAL(103,$C$131:C152),"000")</f>
        <v>Web-JRBB-022</v>
      </c>
      <c r="H152" s="219" t="s">
        <v>337</v>
      </c>
      <c r="I152" s="219" t="s">
        <v>62</v>
      </c>
      <c r="J152" s="220" t="s">
        <v>594</v>
      </c>
      <c r="K152" s="215" t="s">
        <v>990</v>
      </c>
      <c r="L152" s="215" t="s">
        <v>478</v>
      </c>
      <c r="M152" s="225" t="s">
        <v>375</v>
      </c>
      <c r="N152" s="220" t="s">
        <v>438</v>
      </c>
      <c r="O152" s="214"/>
      <c r="P152" s="222"/>
      <c r="Q152" s="222"/>
      <c r="R152" s="223"/>
      <c r="S152" s="223"/>
      <c r="T152" s="222"/>
      <c r="U152" s="214"/>
      <c r="V152" s="222"/>
      <c r="W152" s="223"/>
      <c r="X152" s="222"/>
      <c r="Y152" s="214"/>
      <c r="Z152" s="222"/>
      <c r="AA152" s="223"/>
      <c r="AB152" s="222"/>
      <c r="AC152" s="214"/>
      <c r="AD152" s="222"/>
      <c r="AE152" s="222"/>
    </row>
    <row r="153" spans="1:31" ht="36">
      <c r="A153" s="23"/>
      <c r="B153" s="215">
        <f>SUBTOTAL(103,$C$11:C153)</f>
        <v>143</v>
      </c>
      <c r="C153" s="215">
        <f>测试大纲!$A$13</f>
        <v>3</v>
      </c>
      <c r="D153" s="216" t="s">
        <v>159</v>
      </c>
      <c r="E153" s="215" t="s">
        <v>557</v>
      </c>
      <c r="F153" s="215" t="s">
        <v>558</v>
      </c>
      <c r="G153" s="218" t="str">
        <f>$D$9 &amp; "-"&amp;测试大纲!I$14&amp;"-"&amp;TEXT(SUBTOTAL(103,$C$131:C153),"000")</f>
        <v>Web-JRBB-023</v>
      </c>
      <c r="H153" s="219" t="s">
        <v>337</v>
      </c>
      <c r="I153" s="219" t="s">
        <v>62</v>
      </c>
      <c r="J153" s="220" t="s">
        <v>595</v>
      </c>
      <c r="K153" s="215" t="s">
        <v>990</v>
      </c>
      <c r="L153" s="215" t="s">
        <v>476</v>
      </c>
      <c r="M153" s="215"/>
      <c r="N153" s="220" t="s">
        <v>477</v>
      </c>
      <c r="O153" s="214"/>
      <c r="P153" s="222"/>
      <c r="Q153" s="222"/>
      <c r="R153" s="223"/>
      <c r="S153" s="223"/>
      <c r="T153" s="222"/>
      <c r="U153" s="214"/>
      <c r="V153" s="222"/>
      <c r="W153" s="223"/>
      <c r="X153" s="222"/>
      <c r="Y153" s="214"/>
      <c r="Z153" s="222"/>
      <c r="AA153" s="223"/>
      <c r="AB153" s="222"/>
      <c r="AC153" s="214"/>
      <c r="AD153" s="222"/>
      <c r="AE153" s="222"/>
    </row>
    <row r="154" spans="1:31" ht="48">
      <c r="A154" s="23"/>
      <c r="B154" s="215">
        <f>SUBTOTAL(103,$C$11:C154)</f>
        <v>144</v>
      </c>
      <c r="C154" s="215">
        <f>测试大纲!$A$13</f>
        <v>3</v>
      </c>
      <c r="D154" s="216" t="s">
        <v>159</v>
      </c>
      <c r="E154" s="215" t="s">
        <v>557</v>
      </c>
      <c r="F154" s="215" t="s">
        <v>558</v>
      </c>
      <c r="G154" s="218" t="str">
        <f>$D$9 &amp; "-"&amp;测试大纲!I$14&amp;"-"&amp;TEXT(SUBTOTAL(103,$C$131:C154),"000")</f>
        <v>Web-JRBB-024</v>
      </c>
      <c r="H154" s="219" t="s">
        <v>337</v>
      </c>
      <c r="I154" s="219" t="s">
        <v>165</v>
      </c>
      <c r="J154" s="220" t="s">
        <v>596</v>
      </c>
      <c r="K154" s="215" t="s">
        <v>990</v>
      </c>
      <c r="L154" s="215" t="s">
        <v>930</v>
      </c>
      <c r="M154" s="215" t="s">
        <v>480</v>
      </c>
      <c r="N154" s="220" t="s">
        <v>481</v>
      </c>
      <c r="O154" s="214"/>
      <c r="P154" s="222"/>
      <c r="Q154" s="222"/>
      <c r="R154" s="223"/>
      <c r="S154" s="223"/>
      <c r="T154" s="222"/>
      <c r="U154" s="214"/>
      <c r="V154" s="222"/>
      <c r="W154" s="223"/>
      <c r="X154" s="222"/>
      <c r="Y154" s="214"/>
      <c r="Z154" s="222"/>
      <c r="AA154" s="223"/>
      <c r="AB154" s="222"/>
      <c r="AC154" s="214"/>
      <c r="AD154" s="222"/>
      <c r="AE154" s="222"/>
    </row>
    <row r="155" spans="1:31" ht="48">
      <c r="A155" s="23"/>
      <c r="B155" s="215">
        <f>SUBTOTAL(103,$C$11:C155)</f>
        <v>145</v>
      </c>
      <c r="C155" s="215">
        <f>测试大纲!$A$13</f>
        <v>3</v>
      </c>
      <c r="D155" s="216" t="s">
        <v>159</v>
      </c>
      <c r="E155" s="215" t="s">
        <v>557</v>
      </c>
      <c r="F155" s="215" t="s">
        <v>558</v>
      </c>
      <c r="G155" s="218" t="str">
        <f>$D$9 &amp; "-"&amp;测试大纲!I$14&amp;"-"&amp;TEXT(SUBTOTAL(103,$C$131:C155),"000")</f>
        <v>Web-JRBB-025</v>
      </c>
      <c r="H155" s="219" t="s">
        <v>337</v>
      </c>
      <c r="I155" s="219" t="s">
        <v>62</v>
      </c>
      <c r="J155" s="220" t="s">
        <v>855</v>
      </c>
      <c r="K155" s="215" t="s">
        <v>991</v>
      </c>
      <c r="L155" s="215"/>
      <c r="M155" s="215"/>
      <c r="N155" s="235" t="s">
        <v>734</v>
      </c>
      <c r="O155" s="214"/>
      <c r="P155" s="222"/>
      <c r="Q155" s="222"/>
      <c r="R155" s="223"/>
      <c r="S155" s="223"/>
      <c r="T155" s="222"/>
      <c r="U155" s="214"/>
      <c r="V155" s="222"/>
      <c r="W155" s="223"/>
      <c r="X155" s="222"/>
      <c r="Y155" s="214"/>
      <c r="Z155" s="222"/>
      <c r="AA155" s="223"/>
      <c r="AB155" s="222"/>
      <c r="AC155" s="214"/>
      <c r="AD155" s="222"/>
      <c r="AE155" s="222"/>
    </row>
    <row r="156" spans="1:31" ht="120">
      <c r="A156" s="23"/>
      <c r="B156" s="215">
        <f>SUBTOTAL(103,$C$11:C156)</f>
        <v>146</v>
      </c>
      <c r="C156" s="215">
        <f>测试大纲!$A$13</f>
        <v>3</v>
      </c>
      <c r="D156" s="224" t="s">
        <v>159</v>
      </c>
      <c r="E156" s="215" t="s">
        <v>557</v>
      </c>
      <c r="F156" s="215" t="s">
        <v>556</v>
      </c>
      <c r="G156" s="218" t="str">
        <f>$D$9 &amp; "-"&amp;测试大纲!I$14&amp;"-"&amp;TEXT(SUBTOTAL(103,$C$131:C156),"000")</f>
        <v>Web-JRBB-026</v>
      </c>
      <c r="H156" s="219" t="s">
        <v>337</v>
      </c>
      <c r="I156" s="219" t="s">
        <v>62</v>
      </c>
      <c r="J156" s="220" t="s">
        <v>726</v>
      </c>
      <c r="K156" s="215" t="s">
        <v>992</v>
      </c>
      <c r="L156" s="221"/>
      <c r="M156" s="215"/>
      <c r="N156" s="221" t="s">
        <v>853</v>
      </c>
      <c r="O156" s="214"/>
      <c r="P156" s="222"/>
      <c r="Q156" s="222"/>
      <c r="R156" s="223"/>
      <c r="S156" s="223"/>
      <c r="T156" s="222"/>
      <c r="U156" s="214"/>
      <c r="V156" s="222"/>
      <c r="W156" s="223"/>
      <c r="X156" s="222"/>
      <c r="Y156" s="214"/>
      <c r="Z156" s="222"/>
      <c r="AA156" s="223"/>
      <c r="AB156" s="222"/>
      <c r="AC156" s="214"/>
      <c r="AD156" s="222"/>
      <c r="AE156" s="222"/>
    </row>
    <row r="157" spans="1:31" ht="36">
      <c r="A157" s="23"/>
      <c r="B157" s="215">
        <f>SUBTOTAL(103,$C$11:C157)</f>
        <v>147</v>
      </c>
      <c r="C157" s="215">
        <f>测试大纲!$A$13</f>
        <v>3</v>
      </c>
      <c r="D157" s="224" t="s">
        <v>159</v>
      </c>
      <c r="E157" s="215" t="s">
        <v>557</v>
      </c>
      <c r="F157" s="215" t="s">
        <v>556</v>
      </c>
      <c r="G157" s="218" t="str">
        <f>$D$9 &amp; "-"&amp;测试大纲!I$14&amp;"-"&amp;TEXT(SUBTOTAL(103,$C$131:C157),"000")</f>
        <v>Web-JRBB-027</v>
      </c>
      <c r="H157" s="219" t="s">
        <v>337</v>
      </c>
      <c r="I157" s="219" t="s">
        <v>62</v>
      </c>
      <c r="J157" s="220" t="s">
        <v>727</v>
      </c>
      <c r="K157" s="215" t="s">
        <v>992</v>
      </c>
      <c r="L157" s="215"/>
      <c r="M157" s="215"/>
      <c r="N157" s="220" t="s">
        <v>520</v>
      </c>
      <c r="O157" s="214"/>
      <c r="P157" s="222"/>
      <c r="Q157" s="222"/>
      <c r="R157" s="223"/>
      <c r="S157" s="223"/>
      <c r="T157" s="222"/>
      <c r="U157" s="214"/>
      <c r="V157" s="222"/>
      <c r="W157" s="223"/>
      <c r="X157" s="222"/>
      <c r="Y157" s="214"/>
      <c r="Z157" s="222"/>
      <c r="AA157" s="223"/>
      <c r="AB157" s="222"/>
      <c r="AC157" s="214"/>
      <c r="AD157" s="222"/>
      <c r="AE157" s="222"/>
    </row>
    <row r="158" spans="1:31" ht="48">
      <c r="A158" s="23"/>
      <c r="B158" s="215">
        <f>SUBTOTAL(103,$C$11:C158)</f>
        <v>148</v>
      </c>
      <c r="C158" s="215">
        <f>测试大纲!$A$13</f>
        <v>3</v>
      </c>
      <c r="D158" s="216" t="s">
        <v>159</v>
      </c>
      <c r="E158" s="215" t="s">
        <v>557</v>
      </c>
      <c r="F158" s="215" t="s">
        <v>556</v>
      </c>
      <c r="G158" s="218" t="str">
        <f>$D$9 &amp; "-"&amp;测试大纲!I$14&amp;"-"&amp;TEXT(SUBTOTAL(103,$C$131:C158),"000")</f>
        <v>Web-JRBB-028</v>
      </c>
      <c r="H158" s="219" t="s">
        <v>337</v>
      </c>
      <c r="I158" s="219" t="s">
        <v>62</v>
      </c>
      <c r="J158" s="220" t="s">
        <v>659</v>
      </c>
      <c r="K158" s="215" t="s">
        <v>992</v>
      </c>
      <c r="L158" s="215"/>
      <c r="M158" s="215"/>
      <c r="N158" s="220" t="s">
        <v>559</v>
      </c>
      <c r="O158" s="214"/>
      <c r="P158" s="222"/>
      <c r="Q158" s="222"/>
      <c r="R158" s="223"/>
      <c r="S158" s="223"/>
      <c r="T158" s="222"/>
      <c r="U158" s="214"/>
      <c r="V158" s="222"/>
      <c r="W158" s="223"/>
      <c r="X158" s="222"/>
      <c r="Y158" s="214"/>
      <c r="Z158" s="222"/>
      <c r="AA158" s="223"/>
      <c r="AB158" s="222"/>
      <c r="AC158" s="214"/>
      <c r="AD158" s="222"/>
      <c r="AE158" s="222"/>
    </row>
    <row r="159" spans="1:31" ht="48">
      <c r="A159" s="23"/>
      <c r="B159" s="215">
        <f>SUBTOTAL(103,$C$11:C159)</f>
        <v>149</v>
      </c>
      <c r="C159" s="215">
        <f>测试大纲!$A$13</f>
        <v>3</v>
      </c>
      <c r="D159" s="216" t="s">
        <v>159</v>
      </c>
      <c r="E159" s="215" t="s">
        <v>557</v>
      </c>
      <c r="F159" s="215" t="s">
        <v>556</v>
      </c>
      <c r="G159" s="218" t="str">
        <f>$D$9 &amp; "-"&amp;测试大纲!I$14&amp;"-"&amp;TEXT(SUBTOTAL(103,$C$131:C159),"000")</f>
        <v>Web-JRBB-029</v>
      </c>
      <c r="H159" s="219" t="s">
        <v>337</v>
      </c>
      <c r="I159" s="219" t="s">
        <v>62</v>
      </c>
      <c r="J159" s="220" t="s">
        <v>660</v>
      </c>
      <c r="K159" s="215" t="s">
        <v>992</v>
      </c>
      <c r="L159" s="215" t="s">
        <v>922</v>
      </c>
      <c r="M159" s="215" t="s">
        <v>503</v>
      </c>
      <c r="N159" s="220" t="s">
        <v>560</v>
      </c>
      <c r="O159" s="214"/>
      <c r="P159" s="222"/>
      <c r="Q159" s="222"/>
      <c r="R159" s="223"/>
      <c r="S159" s="223"/>
      <c r="T159" s="222"/>
      <c r="U159" s="214"/>
      <c r="V159" s="222"/>
      <c r="W159" s="223"/>
      <c r="X159" s="222"/>
      <c r="Y159" s="214"/>
      <c r="Z159" s="222"/>
      <c r="AA159" s="223"/>
      <c r="AB159" s="222"/>
      <c r="AC159" s="214"/>
      <c r="AD159" s="222"/>
      <c r="AE159" s="222"/>
    </row>
    <row r="160" spans="1:31" ht="132">
      <c r="A160" s="23"/>
      <c r="B160" s="215">
        <f>SUBTOTAL(103,$C$11:C160)</f>
        <v>150</v>
      </c>
      <c r="C160" s="215">
        <f>测试大纲!$A$13</f>
        <v>3</v>
      </c>
      <c r="D160" s="216" t="s">
        <v>159</v>
      </c>
      <c r="E160" s="215" t="s">
        <v>557</v>
      </c>
      <c r="F160" s="215" t="s">
        <v>556</v>
      </c>
      <c r="G160" s="218" t="str">
        <f>$D$9 &amp; "-"&amp;测试大纲!I$14&amp;"-"&amp;TEXT(SUBTOTAL(103,$C$131:C160),"000")</f>
        <v>Web-JRBB-030</v>
      </c>
      <c r="H160" s="219" t="s">
        <v>337</v>
      </c>
      <c r="I160" s="219" t="s">
        <v>62</v>
      </c>
      <c r="J160" s="220" t="s">
        <v>599</v>
      </c>
      <c r="K160" s="215" t="s">
        <v>992</v>
      </c>
      <c r="L160" s="215" t="s">
        <v>561</v>
      </c>
      <c r="M160" s="215" t="s">
        <v>562</v>
      </c>
      <c r="N160" s="220" t="s">
        <v>185</v>
      </c>
      <c r="O160" s="214"/>
      <c r="P160" s="222"/>
      <c r="Q160" s="222"/>
      <c r="R160" s="223"/>
      <c r="S160" s="223"/>
      <c r="T160" s="222"/>
      <c r="U160" s="214"/>
      <c r="V160" s="222"/>
      <c r="W160" s="223"/>
      <c r="X160" s="222"/>
      <c r="Y160" s="214"/>
      <c r="Z160" s="222"/>
      <c r="AA160" s="223"/>
      <c r="AB160" s="222"/>
      <c r="AC160" s="214"/>
      <c r="AD160" s="222"/>
      <c r="AE160" s="222"/>
    </row>
    <row r="161" spans="1:31" ht="36">
      <c r="A161" s="23"/>
      <c r="B161" s="215">
        <f>SUBTOTAL(103,$C$11:C161)</f>
        <v>151</v>
      </c>
      <c r="C161" s="215">
        <f>测试大纲!$A$13</f>
        <v>3</v>
      </c>
      <c r="D161" s="216" t="s">
        <v>159</v>
      </c>
      <c r="E161" s="215" t="s">
        <v>557</v>
      </c>
      <c r="F161" s="215" t="s">
        <v>556</v>
      </c>
      <c r="G161" s="218" t="str">
        <f>$D$9 &amp; "-"&amp;测试大纲!I$14&amp;"-"&amp;TEXT(SUBTOTAL(103,$C$131:C161),"000")</f>
        <v>Web-JRBB-031</v>
      </c>
      <c r="H161" s="219" t="s">
        <v>337</v>
      </c>
      <c r="I161" s="219" t="s">
        <v>62</v>
      </c>
      <c r="J161" s="220" t="s">
        <v>600</v>
      </c>
      <c r="K161" s="215" t="s">
        <v>992</v>
      </c>
      <c r="L161" s="215" t="s">
        <v>922</v>
      </c>
      <c r="M161" s="215" t="s">
        <v>501</v>
      </c>
      <c r="N161" s="220" t="s">
        <v>502</v>
      </c>
      <c r="O161" s="214"/>
      <c r="P161" s="222"/>
      <c r="Q161" s="222"/>
      <c r="R161" s="223"/>
      <c r="S161" s="223"/>
      <c r="T161" s="222"/>
      <c r="U161" s="214"/>
      <c r="V161" s="222"/>
      <c r="W161" s="223"/>
      <c r="X161" s="222"/>
      <c r="Y161" s="214"/>
      <c r="Z161" s="222"/>
      <c r="AA161" s="223"/>
      <c r="AB161" s="222"/>
      <c r="AC161" s="214"/>
      <c r="AD161" s="222"/>
      <c r="AE161" s="222"/>
    </row>
    <row r="162" spans="1:31" ht="24">
      <c r="A162" s="23"/>
      <c r="B162" s="215">
        <f>SUBTOTAL(103,$C$11:C162)</f>
        <v>152</v>
      </c>
      <c r="C162" s="215">
        <f>测试大纲!$A$13</f>
        <v>3</v>
      </c>
      <c r="D162" s="216" t="s">
        <v>159</v>
      </c>
      <c r="E162" s="215" t="s">
        <v>557</v>
      </c>
      <c r="F162" s="215" t="s">
        <v>556</v>
      </c>
      <c r="G162" s="218" t="str">
        <f>$D$9 &amp; "-"&amp;测试大纲!I$14&amp;"-"&amp;TEXT(SUBTOTAL(103,$C$131:C162),"000")</f>
        <v>Web-JRBB-032</v>
      </c>
      <c r="H162" s="219" t="s">
        <v>337</v>
      </c>
      <c r="I162" s="219" t="s">
        <v>62</v>
      </c>
      <c r="J162" s="220" t="s">
        <v>601</v>
      </c>
      <c r="K162" s="215" t="s">
        <v>992</v>
      </c>
      <c r="L162" s="215" t="s">
        <v>923</v>
      </c>
      <c r="M162" s="215" t="s">
        <v>483</v>
      </c>
      <c r="N162" s="220" t="s">
        <v>482</v>
      </c>
      <c r="O162" s="214"/>
      <c r="P162" s="222"/>
      <c r="Q162" s="222"/>
      <c r="R162" s="223"/>
      <c r="S162" s="223"/>
      <c r="T162" s="222"/>
      <c r="U162" s="214"/>
      <c r="V162" s="222"/>
      <c r="W162" s="223"/>
      <c r="X162" s="222"/>
      <c r="Y162" s="214"/>
      <c r="Z162" s="222"/>
      <c r="AA162" s="223"/>
      <c r="AB162" s="222"/>
      <c r="AC162" s="214"/>
      <c r="AD162" s="222"/>
      <c r="AE162" s="222"/>
    </row>
    <row r="163" spans="1:31" ht="24">
      <c r="A163" s="23"/>
      <c r="B163" s="215">
        <f>SUBTOTAL(103,$C$11:C163)</f>
        <v>153</v>
      </c>
      <c r="C163" s="215">
        <f>测试大纲!$A$13</f>
        <v>3</v>
      </c>
      <c r="D163" s="216" t="s">
        <v>159</v>
      </c>
      <c r="E163" s="215" t="s">
        <v>557</v>
      </c>
      <c r="F163" s="215" t="s">
        <v>556</v>
      </c>
      <c r="G163" s="218" t="str">
        <f>$D$9 &amp; "-"&amp;测试大纲!I$14&amp;"-"&amp;TEXT(SUBTOTAL(103,$C$131:C163),"000")</f>
        <v>Web-JRBB-033</v>
      </c>
      <c r="H163" s="219" t="s">
        <v>337</v>
      </c>
      <c r="I163" s="219" t="s">
        <v>62</v>
      </c>
      <c r="J163" s="220" t="s">
        <v>602</v>
      </c>
      <c r="K163" s="215" t="s">
        <v>992</v>
      </c>
      <c r="L163" s="215" t="s">
        <v>924</v>
      </c>
      <c r="M163" s="215" t="s">
        <v>484</v>
      </c>
      <c r="N163" s="220" t="s">
        <v>482</v>
      </c>
      <c r="O163" s="214"/>
      <c r="P163" s="222"/>
      <c r="Q163" s="222"/>
      <c r="R163" s="223"/>
      <c r="S163" s="223"/>
      <c r="T163" s="222"/>
      <c r="U163" s="214"/>
      <c r="V163" s="222"/>
      <c r="W163" s="223"/>
      <c r="X163" s="222"/>
      <c r="Y163" s="214"/>
      <c r="Z163" s="222"/>
      <c r="AA163" s="223"/>
      <c r="AB163" s="222"/>
      <c r="AC163" s="214"/>
      <c r="AD163" s="222"/>
      <c r="AE163" s="222"/>
    </row>
    <row r="164" spans="1:31" ht="24">
      <c r="A164" s="23"/>
      <c r="B164" s="215">
        <f>SUBTOTAL(103,$C$11:C164)</f>
        <v>154</v>
      </c>
      <c r="C164" s="215">
        <f>测试大纲!$A$13</f>
        <v>3</v>
      </c>
      <c r="D164" s="216" t="s">
        <v>159</v>
      </c>
      <c r="E164" s="215" t="s">
        <v>557</v>
      </c>
      <c r="F164" s="215" t="s">
        <v>556</v>
      </c>
      <c r="G164" s="218" t="str">
        <f>$D$9 &amp; "-"&amp;测试大纲!I$14&amp;"-"&amp;TEXT(SUBTOTAL(103,$C$131:C164),"000")</f>
        <v>Web-JRBB-034</v>
      </c>
      <c r="H164" s="219" t="s">
        <v>337</v>
      </c>
      <c r="I164" s="219" t="s">
        <v>62</v>
      </c>
      <c r="J164" s="220" t="s">
        <v>603</v>
      </c>
      <c r="K164" s="215" t="s">
        <v>992</v>
      </c>
      <c r="L164" s="215" t="s">
        <v>925</v>
      </c>
      <c r="M164" s="215" t="s">
        <v>485</v>
      </c>
      <c r="N164" s="220" t="s">
        <v>482</v>
      </c>
      <c r="O164" s="214"/>
      <c r="P164" s="222"/>
      <c r="Q164" s="222"/>
      <c r="R164" s="223"/>
      <c r="S164" s="223"/>
      <c r="T164" s="222"/>
      <c r="U164" s="214"/>
      <c r="V164" s="222"/>
      <c r="W164" s="223"/>
      <c r="X164" s="222"/>
      <c r="Y164" s="214"/>
      <c r="Z164" s="222"/>
      <c r="AA164" s="223"/>
      <c r="AB164" s="222"/>
      <c r="AC164" s="214"/>
      <c r="AD164" s="222"/>
      <c r="AE164" s="222"/>
    </row>
    <row r="165" spans="1:31" ht="24">
      <c r="A165" s="23"/>
      <c r="B165" s="215">
        <f>SUBTOTAL(103,$C$11:C165)</f>
        <v>155</v>
      </c>
      <c r="C165" s="215">
        <f>测试大纲!$A$13</f>
        <v>3</v>
      </c>
      <c r="D165" s="216" t="s">
        <v>159</v>
      </c>
      <c r="E165" s="215" t="s">
        <v>557</v>
      </c>
      <c r="F165" s="215" t="s">
        <v>556</v>
      </c>
      <c r="G165" s="218" t="str">
        <f>$D$9 &amp; "-"&amp;测试大纲!I$14&amp;"-"&amp;TEXT(SUBTOTAL(103,$C$131:C165),"000")</f>
        <v>Web-JRBB-035</v>
      </c>
      <c r="H165" s="219" t="s">
        <v>337</v>
      </c>
      <c r="I165" s="219" t="s">
        <v>62</v>
      </c>
      <c r="J165" s="220" t="s">
        <v>661</v>
      </c>
      <c r="K165" s="215" t="s">
        <v>992</v>
      </c>
      <c r="L165" s="215" t="s">
        <v>926</v>
      </c>
      <c r="M165" s="215" t="s">
        <v>486</v>
      </c>
      <c r="N165" s="220" t="s">
        <v>482</v>
      </c>
      <c r="O165" s="214"/>
      <c r="P165" s="222"/>
      <c r="Q165" s="222"/>
      <c r="R165" s="223"/>
      <c r="S165" s="223"/>
      <c r="T165" s="222"/>
      <c r="U165" s="214"/>
      <c r="V165" s="222"/>
      <c r="W165" s="223"/>
      <c r="X165" s="222"/>
      <c r="Y165" s="214"/>
      <c r="Z165" s="222"/>
      <c r="AA165" s="223"/>
      <c r="AB165" s="222"/>
      <c r="AC165" s="214"/>
      <c r="AD165" s="222"/>
      <c r="AE165" s="222"/>
    </row>
    <row r="166" spans="1:31" ht="24">
      <c r="A166" s="23"/>
      <c r="B166" s="215">
        <f>SUBTOTAL(103,$C$11:C166)</f>
        <v>156</v>
      </c>
      <c r="C166" s="215">
        <f>测试大纲!$A$13</f>
        <v>3</v>
      </c>
      <c r="D166" s="216" t="s">
        <v>159</v>
      </c>
      <c r="E166" s="215" t="s">
        <v>557</v>
      </c>
      <c r="F166" s="215" t="s">
        <v>556</v>
      </c>
      <c r="G166" s="218" t="str">
        <f>$D$9 &amp; "-"&amp;测试大纲!I$14&amp;"-"&amp;TEXT(SUBTOTAL(103,$C$131:C166),"000")</f>
        <v>Web-JRBB-036</v>
      </c>
      <c r="H166" s="219" t="s">
        <v>337</v>
      </c>
      <c r="I166" s="219" t="s">
        <v>62</v>
      </c>
      <c r="J166" s="220" t="s">
        <v>662</v>
      </c>
      <c r="K166" s="215" t="s">
        <v>992</v>
      </c>
      <c r="L166" s="215" t="s">
        <v>927</v>
      </c>
      <c r="M166" s="232" t="s">
        <v>487</v>
      </c>
      <c r="N166" s="220" t="s">
        <v>482</v>
      </c>
      <c r="O166" s="214"/>
      <c r="P166" s="222"/>
      <c r="Q166" s="222"/>
      <c r="R166" s="223"/>
      <c r="S166" s="223"/>
      <c r="T166" s="222"/>
      <c r="U166" s="214"/>
      <c r="V166" s="222"/>
      <c r="W166" s="223"/>
      <c r="X166" s="222"/>
      <c r="Y166" s="214"/>
      <c r="Z166" s="222"/>
      <c r="AA166" s="223"/>
      <c r="AB166" s="222"/>
      <c r="AC166" s="214"/>
      <c r="AD166" s="222"/>
      <c r="AE166" s="222"/>
    </row>
    <row r="167" spans="1:31" ht="132">
      <c r="A167" s="23"/>
      <c r="B167" s="215">
        <f>SUBTOTAL(103,$C$11:C167)</f>
        <v>157</v>
      </c>
      <c r="C167" s="215">
        <f>测试大纲!$A$13</f>
        <v>3</v>
      </c>
      <c r="D167" s="216" t="s">
        <v>159</v>
      </c>
      <c r="E167" s="215" t="s">
        <v>557</v>
      </c>
      <c r="F167" s="215" t="s">
        <v>556</v>
      </c>
      <c r="G167" s="218" t="str">
        <f>$D$9 &amp; "-"&amp;测试大纲!I$14&amp;"-"&amp;TEXT(SUBTOTAL(103,$C$131:C167),"000")</f>
        <v>Web-JRBB-037</v>
      </c>
      <c r="H167" s="219" t="s">
        <v>337</v>
      </c>
      <c r="I167" s="219" t="s">
        <v>62</v>
      </c>
      <c r="J167" s="220" t="s">
        <v>606</v>
      </c>
      <c r="K167" s="215" t="s">
        <v>992</v>
      </c>
      <c r="L167" s="215" t="s">
        <v>668</v>
      </c>
      <c r="M167" s="215" t="s">
        <v>854</v>
      </c>
      <c r="N167" s="220" t="s">
        <v>185</v>
      </c>
      <c r="O167" s="214"/>
      <c r="P167" s="222"/>
      <c r="Q167" s="222"/>
      <c r="R167" s="223"/>
      <c r="S167" s="223"/>
      <c r="T167" s="222"/>
      <c r="U167" s="214"/>
      <c r="V167" s="222"/>
      <c r="W167" s="223"/>
      <c r="X167" s="222"/>
      <c r="Y167" s="214"/>
      <c r="Z167" s="222"/>
      <c r="AA167" s="223"/>
      <c r="AB167" s="222"/>
      <c r="AC167" s="214"/>
      <c r="AD167" s="222"/>
      <c r="AE167" s="222"/>
    </row>
    <row r="168" spans="1:31" ht="72">
      <c r="A168" s="23"/>
      <c r="B168" s="215">
        <f>SUBTOTAL(103,$C$11:C168)</f>
        <v>158</v>
      </c>
      <c r="C168" s="215">
        <f>测试大纲!$A$13</f>
        <v>3</v>
      </c>
      <c r="D168" s="216" t="s">
        <v>159</v>
      </c>
      <c r="E168" s="215" t="s">
        <v>557</v>
      </c>
      <c r="F168" s="215" t="s">
        <v>556</v>
      </c>
      <c r="G168" s="218" t="str">
        <f>$D$9 &amp; "-"&amp;测试大纲!I$14&amp;"-"&amp;TEXT(SUBTOTAL(103,$C$131:C168),"000")</f>
        <v>Web-JRBB-038</v>
      </c>
      <c r="H168" s="219" t="s">
        <v>337</v>
      </c>
      <c r="I168" s="219" t="s">
        <v>62</v>
      </c>
      <c r="J168" s="220" t="s">
        <v>607</v>
      </c>
      <c r="K168" s="215" t="s">
        <v>992</v>
      </c>
      <c r="L168" s="215" t="s">
        <v>669</v>
      </c>
      <c r="M168" s="215" t="s">
        <v>670</v>
      </c>
      <c r="N168" s="220" t="s">
        <v>185</v>
      </c>
      <c r="O168" s="214"/>
      <c r="P168" s="222"/>
      <c r="Q168" s="222"/>
      <c r="R168" s="223"/>
      <c r="S168" s="223"/>
      <c r="T168" s="222"/>
      <c r="U168" s="214"/>
      <c r="V168" s="222"/>
      <c r="W168" s="223"/>
      <c r="X168" s="222"/>
      <c r="Y168" s="214"/>
      <c r="Z168" s="222"/>
      <c r="AA168" s="223"/>
      <c r="AB168" s="222"/>
      <c r="AC168" s="214"/>
      <c r="AD168" s="222"/>
      <c r="AE168" s="222"/>
    </row>
    <row r="169" spans="1:31" ht="72">
      <c r="A169" s="23"/>
      <c r="B169" s="215">
        <f>SUBTOTAL(103,$C$11:C169)</f>
        <v>159</v>
      </c>
      <c r="C169" s="215">
        <f>测试大纲!$A$13</f>
        <v>3</v>
      </c>
      <c r="D169" s="216" t="s">
        <v>159</v>
      </c>
      <c r="E169" s="215" t="s">
        <v>557</v>
      </c>
      <c r="F169" s="215" t="s">
        <v>556</v>
      </c>
      <c r="G169" s="218" t="str">
        <f>$D$9 &amp; "-"&amp;测试大纲!I$14&amp;"-"&amp;TEXT(SUBTOTAL(103,$C$131:C169),"000")</f>
        <v>Web-JRBB-039</v>
      </c>
      <c r="H169" s="219" t="s">
        <v>337</v>
      </c>
      <c r="I169" s="219" t="s">
        <v>62</v>
      </c>
      <c r="J169" s="220" t="s">
        <v>608</v>
      </c>
      <c r="K169" s="215" t="s">
        <v>992</v>
      </c>
      <c r="L169" s="215" t="s">
        <v>671</v>
      </c>
      <c r="M169" s="215" t="s">
        <v>670</v>
      </c>
      <c r="N169" s="220" t="s">
        <v>185</v>
      </c>
      <c r="O169" s="214"/>
      <c r="P169" s="222"/>
      <c r="Q169" s="222"/>
      <c r="R169" s="223"/>
      <c r="S169" s="223"/>
      <c r="T169" s="222"/>
      <c r="U169" s="214"/>
      <c r="V169" s="222"/>
      <c r="W169" s="223"/>
      <c r="X169" s="222"/>
      <c r="Y169" s="214"/>
      <c r="Z169" s="222"/>
      <c r="AA169" s="223"/>
      <c r="AB169" s="222"/>
      <c r="AC169" s="214"/>
      <c r="AD169" s="222"/>
      <c r="AE169" s="222"/>
    </row>
    <row r="170" spans="1:31" ht="72">
      <c r="A170" s="23"/>
      <c r="B170" s="215">
        <f>SUBTOTAL(103,$C$11:C170)</f>
        <v>160</v>
      </c>
      <c r="C170" s="215">
        <f>测试大纲!$A$13</f>
        <v>3</v>
      </c>
      <c r="D170" s="216" t="s">
        <v>159</v>
      </c>
      <c r="E170" s="215" t="s">
        <v>557</v>
      </c>
      <c r="F170" s="215" t="s">
        <v>556</v>
      </c>
      <c r="G170" s="218" t="str">
        <f>$D$9 &amp; "-"&amp;测试大纲!I$14&amp;"-"&amp;TEXT(SUBTOTAL(103,$C$131:C170),"000")</f>
        <v>Web-JRBB-040</v>
      </c>
      <c r="H170" s="219" t="s">
        <v>337</v>
      </c>
      <c r="I170" s="219" t="s">
        <v>62</v>
      </c>
      <c r="J170" s="220" t="s">
        <v>609</v>
      </c>
      <c r="K170" s="215" t="s">
        <v>992</v>
      </c>
      <c r="L170" s="215" t="s">
        <v>672</v>
      </c>
      <c r="M170" s="215" t="s">
        <v>670</v>
      </c>
      <c r="N170" s="220" t="s">
        <v>185</v>
      </c>
      <c r="O170" s="214"/>
      <c r="P170" s="222"/>
      <c r="Q170" s="222"/>
      <c r="R170" s="223"/>
      <c r="S170" s="223"/>
      <c r="T170" s="222"/>
      <c r="U170" s="214"/>
      <c r="V170" s="222"/>
      <c r="W170" s="223"/>
      <c r="X170" s="222"/>
      <c r="Y170" s="214"/>
      <c r="Z170" s="222"/>
      <c r="AA170" s="223"/>
      <c r="AB170" s="222"/>
      <c r="AC170" s="214"/>
      <c r="AD170" s="222"/>
      <c r="AE170" s="222"/>
    </row>
    <row r="171" spans="1:31" ht="72">
      <c r="A171" s="23"/>
      <c r="B171" s="215">
        <f>SUBTOTAL(103,$C$11:C171)</f>
        <v>161</v>
      </c>
      <c r="C171" s="215">
        <f>测试大纲!$A$13</f>
        <v>3</v>
      </c>
      <c r="D171" s="216" t="s">
        <v>159</v>
      </c>
      <c r="E171" s="215" t="s">
        <v>557</v>
      </c>
      <c r="F171" s="215" t="s">
        <v>556</v>
      </c>
      <c r="G171" s="218" t="str">
        <f>$D$9 &amp; "-"&amp;测试大纲!I$14&amp;"-"&amp;TEXT(SUBTOTAL(103,$C$131:C171),"000")</f>
        <v>Web-JRBB-041</v>
      </c>
      <c r="H171" s="219" t="s">
        <v>337</v>
      </c>
      <c r="I171" s="219" t="s">
        <v>62</v>
      </c>
      <c r="J171" s="220" t="s">
        <v>663</v>
      </c>
      <c r="K171" s="215" t="s">
        <v>992</v>
      </c>
      <c r="L171" s="215" t="s">
        <v>673</v>
      </c>
      <c r="M171" s="215" t="s">
        <v>670</v>
      </c>
      <c r="N171" s="220" t="s">
        <v>185</v>
      </c>
      <c r="O171" s="214"/>
      <c r="P171" s="222"/>
      <c r="Q171" s="222"/>
      <c r="R171" s="223"/>
      <c r="S171" s="223"/>
      <c r="T171" s="222"/>
      <c r="U171" s="214"/>
      <c r="V171" s="222"/>
      <c r="W171" s="223"/>
      <c r="X171" s="222"/>
      <c r="Y171" s="214"/>
      <c r="Z171" s="222"/>
      <c r="AA171" s="223"/>
      <c r="AB171" s="222"/>
      <c r="AC171" s="214"/>
      <c r="AD171" s="222"/>
      <c r="AE171" s="222"/>
    </row>
    <row r="172" spans="1:31" ht="72">
      <c r="A172" s="23"/>
      <c r="B172" s="215">
        <f>SUBTOTAL(103,$C$11:C172)</f>
        <v>162</v>
      </c>
      <c r="C172" s="215">
        <f>测试大纲!$A$13</f>
        <v>3</v>
      </c>
      <c r="D172" s="216" t="s">
        <v>159</v>
      </c>
      <c r="E172" s="215" t="s">
        <v>557</v>
      </c>
      <c r="F172" s="215" t="s">
        <v>556</v>
      </c>
      <c r="G172" s="218" t="str">
        <f>$D$9 &amp; "-"&amp;测试大纲!I$14&amp;"-"&amp;TEXT(SUBTOTAL(103,$C$131:C172),"000")</f>
        <v>Web-JRBB-042</v>
      </c>
      <c r="H172" s="219" t="s">
        <v>337</v>
      </c>
      <c r="I172" s="219" t="s">
        <v>62</v>
      </c>
      <c r="J172" s="220" t="s">
        <v>664</v>
      </c>
      <c r="K172" s="215" t="s">
        <v>992</v>
      </c>
      <c r="L172" s="215" t="s">
        <v>674</v>
      </c>
      <c r="M172" s="215" t="s">
        <v>670</v>
      </c>
      <c r="N172" s="220" t="s">
        <v>185</v>
      </c>
      <c r="O172" s="214"/>
      <c r="P172" s="222"/>
      <c r="Q172" s="222"/>
      <c r="R172" s="223"/>
      <c r="S172" s="223"/>
      <c r="T172" s="222"/>
      <c r="U172" s="214"/>
      <c r="V172" s="222"/>
      <c r="W172" s="223"/>
      <c r="X172" s="222"/>
      <c r="Y172" s="214"/>
      <c r="Z172" s="222"/>
      <c r="AA172" s="223"/>
      <c r="AB172" s="222"/>
      <c r="AC172" s="214"/>
      <c r="AD172" s="222"/>
      <c r="AE172" s="222"/>
    </row>
    <row r="173" spans="1:31" ht="48">
      <c r="A173" s="23"/>
      <c r="B173" s="215">
        <f>SUBTOTAL(103,$C$11:C173)</f>
        <v>163</v>
      </c>
      <c r="C173" s="215">
        <f>测试大纲!$A$13</f>
        <v>3</v>
      </c>
      <c r="D173" s="216" t="s">
        <v>159</v>
      </c>
      <c r="E173" s="215" t="s">
        <v>557</v>
      </c>
      <c r="F173" s="215" t="s">
        <v>556</v>
      </c>
      <c r="G173" s="218" t="str">
        <f>$D$9 &amp; "-"&amp;测试大纲!I$14&amp;"-"&amp;TEXT(SUBTOTAL(103,$C$131:C173),"000")</f>
        <v>Web-JRBB-043</v>
      </c>
      <c r="H173" s="219" t="s">
        <v>337</v>
      </c>
      <c r="I173" s="219" t="s">
        <v>165</v>
      </c>
      <c r="J173" s="220" t="s">
        <v>665</v>
      </c>
      <c r="K173" s="215" t="s">
        <v>992</v>
      </c>
      <c r="L173" s="215" t="s">
        <v>675</v>
      </c>
      <c r="M173" s="215" t="s">
        <v>676</v>
      </c>
      <c r="N173" s="220" t="s">
        <v>185</v>
      </c>
      <c r="O173" s="214"/>
      <c r="P173" s="222"/>
      <c r="Q173" s="222"/>
      <c r="R173" s="223"/>
      <c r="S173" s="223"/>
      <c r="T173" s="222"/>
      <c r="U173" s="214"/>
      <c r="V173" s="222"/>
      <c r="W173" s="223"/>
      <c r="X173" s="222"/>
      <c r="Y173" s="214"/>
      <c r="Z173" s="222"/>
      <c r="AA173" s="223"/>
      <c r="AB173" s="222"/>
      <c r="AC173" s="214"/>
      <c r="AD173" s="222"/>
      <c r="AE173" s="222"/>
    </row>
    <row r="174" spans="1:31" ht="48">
      <c r="A174" s="23"/>
      <c r="B174" s="215">
        <f>SUBTOTAL(103,$C$11:C174)</f>
        <v>164</v>
      </c>
      <c r="C174" s="215">
        <f>测试大纲!$A$13</f>
        <v>3</v>
      </c>
      <c r="D174" s="216" t="s">
        <v>159</v>
      </c>
      <c r="E174" s="215" t="s">
        <v>557</v>
      </c>
      <c r="F174" s="215" t="s">
        <v>556</v>
      </c>
      <c r="G174" s="218" t="str">
        <f>$D$9 &amp; "-"&amp;测试大纲!I$14&amp;"-"&amp;TEXT(SUBTOTAL(103,$C$131:C174),"000")</f>
        <v>Web-JRBB-044</v>
      </c>
      <c r="H174" s="219" t="s">
        <v>337</v>
      </c>
      <c r="I174" s="219" t="s">
        <v>165</v>
      </c>
      <c r="J174" s="220" t="s">
        <v>666</v>
      </c>
      <c r="K174" s="215" t="s">
        <v>992</v>
      </c>
      <c r="L174" s="215" t="s">
        <v>677</v>
      </c>
      <c r="M174" s="215" t="s">
        <v>678</v>
      </c>
      <c r="N174" s="220" t="s">
        <v>185</v>
      </c>
      <c r="O174" s="214"/>
      <c r="P174" s="222"/>
      <c r="Q174" s="222"/>
      <c r="R174" s="223"/>
      <c r="S174" s="223"/>
      <c r="T174" s="222"/>
      <c r="U174" s="214"/>
      <c r="V174" s="222"/>
      <c r="W174" s="223"/>
      <c r="X174" s="222"/>
      <c r="Y174" s="214"/>
      <c r="Z174" s="222"/>
      <c r="AA174" s="223"/>
      <c r="AB174" s="222"/>
      <c r="AC174" s="214"/>
      <c r="AD174" s="222"/>
      <c r="AE174" s="222"/>
    </row>
    <row r="175" spans="1:31" ht="48">
      <c r="A175" s="23"/>
      <c r="B175" s="215">
        <f>SUBTOTAL(103,$C$11:C175)</f>
        <v>165</v>
      </c>
      <c r="C175" s="215">
        <f>测试大纲!$A$13</f>
        <v>3</v>
      </c>
      <c r="D175" s="216" t="s">
        <v>159</v>
      </c>
      <c r="E175" s="215" t="s">
        <v>557</v>
      </c>
      <c r="F175" s="215" t="s">
        <v>556</v>
      </c>
      <c r="G175" s="218" t="str">
        <f>$D$9 &amp; "-"&amp;测试大纲!I$14&amp;"-"&amp;TEXT(SUBTOTAL(103,$C$131:C175),"000")</f>
        <v>Web-JRBB-045</v>
      </c>
      <c r="H175" s="219" t="s">
        <v>337</v>
      </c>
      <c r="I175" s="219" t="s">
        <v>165</v>
      </c>
      <c r="J175" s="220" t="s">
        <v>667</v>
      </c>
      <c r="K175" s="215" t="s">
        <v>992</v>
      </c>
      <c r="L175" s="215" t="s">
        <v>677</v>
      </c>
      <c r="M175" s="215" t="s">
        <v>679</v>
      </c>
      <c r="N175" s="220" t="s">
        <v>185</v>
      </c>
      <c r="O175" s="214"/>
      <c r="P175" s="222"/>
      <c r="Q175" s="222"/>
      <c r="R175" s="223"/>
      <c r="S175" s="223"/>
      <c r="T175" s="222"/>
      <c r="U175" s="214"/>
      <c r="V175" s="222"/>
      <c r="W175" s="223"/>
      <c r="X175" s="222"/>
      <c r="Y175" s="214"/>
      <c r="Z175" s="222"/>
      <c r="AA175" s="223"/>
      <c r="AB175" s="222"/>
      <c r="AC175" s="214"/>
      <c r="AD175" s="222"/>
      <c r="AE175" s="222"/>
    </row>
    <row r="176" spans="1:31" ht="48">
      <c r="A176" s="23"/>
      <c r="B176" s="215">
        <f>SUBTOTAL(103,$C$11:C176)</f>
        <v>166</v>
      </c>
      <c r="C176" s="215">
        <f>测试大纲!$A$13</f>
        <v>3</v>
      </c>
      <c r="D176" s="216" t="s">
        <v>159</v>
      </c>
      <c r="E176" s="215" t="s">
        <v>557</v>
      </c>
      <c r="F176" s="215" t="s">
        <v>556</v>
      </c>
      <c r="G176" s="218" t="str">
        <f>$D$9 &amp; "-"&amp;测试大纲!I$14&amp;"-"&amp;TEXT(SUBTOTAL(103,$C$131:C176),"000")</f>
        <v>Web-JRBB-046</v>
      </c>
      <c r="H176" s="219" t="s">
        <v>337</v>
      </c>
      <c r="I176" s="219" t="s">
        <v>165</v>
      </c>
      <c r="J176" s="220" t="s">
        <v>621</v>
      </c>
      <c r="K176" s="215" t="s">
        <v>992</v>
      </c>
      <c r="L176" s="215" t="s">
        <v>682</v>
      </c>
      <c r="M176" s="215" t="s">
        <v>681</v>
      </c>
      <c r="N176" s="220" t="s">
        <v>185</v>
      </c>
      <c r="O176" s="214"/>
      <c r="P176" s="222"/>
      <c r="Q176" s="222"/>
      <c r="R176" s="223"/>
      <c r="S176" s="223"/>
      <c r="T176" s="222"/>
      <c r="U176" s="214"/>
      <c r="V176" s="222"/>
      <c r="W176" s="223"/>
      <c r="X176" s="222"/>
      <c r="Y176" s="214"/>
      <c r="Z176" s="222"/>
      <c r="AA176" s="223"/>
      <c r="AB176" s="222"/>
      <c r="AC176" s="214"/>
      <c r="AD176" s="222"/>
      <c r="AE176" s="222"/>
    </row>
    <row r="177" spans="1:31" ht="60">
      <c r="A177" s="23"/>
      <c r="B177" s="215">
        <f>SUBTOTAL(103,$C$11:C177)</f>
        <v>167</v>
      </c>
      <c r="C177" s="215">
        <f>测试大纲!$A$13</f>
        <v>3</v>
      </c>
      <c r="D177" s="216" t="s">
        <v>159</v>
      </c>
      <c r="E177" s="215" t="s">
        <v>557</v>
      </c>
      <c r="F177" s="215" t="s">
        <v>556</v>
      </c>
      <c r="G177" s="218" t="str">
        <f>$D$9 &amp; "-"&amp;测试大纲!I$14&amp;"-"&amp;TEXT(SUBTOTAL(103,$C$131:C177),"000")</f>
        <v>Web-JRBB-047</v>
      </c>
      <c r="H177" s="219" t="s">
        <v>337</v>
      </c>
      <c r="I177" s="219" t="s">
        <v>62</v>
      </c>
      <c r="J177" s="220" t="s">
        <v>622</v>
      </c>
      <c r="K177" s="215" t="s">
        <v>992</v>
      </c>
      <c r="L177" s="215" t="s">
        <v>680</v>
      </c>
      <c r="M177" s="215" t="s">
        <v>681</v>
      </c>
      <c r="N177" s="220" t="s">
        <v>856</v>
      </c>
      <c r="O177" s="214"/>
      <c r="P177" s="222"/>
      <c r="Q177" s="222"/>
      <c r="R177" s="223"/>
      <c r="S177" s="223"/>
      <c r="T177" s="222"/>
      <c r="U177" s="214"/>
      <c r="V177" s="222"/>
      <c r="W177" s="223"/>
      <c r="X177" s="222"/>
      <c r="Y177" s="214"/>
      <c r="Z177" s="222"/>
      <c r="AA177" s="223"/>
      <c r="AB177" s="222"/>
      <c r="AC177" s="214"/>
      <c r="AD177" s="222"/>
      <c r="AE177" s="222"/>
    </row>
    <row r="178" spans="1:31" ht="60">
      <c r="A178" s="23"/>
      <c r="B178" s="215">
        <f>SUBTOTAL(103,$C$11:C178)</f>
        <v>168</v>
      </c>
      <c r="C178" s="215">
        <f>测试大纲!$A$13</f>
        <v>3</v>
      </c>
      <c r="D178" s="216" t="s">
        <v>159</v>
      </c>
      <c r="E178" s="215" t="s">
        <v>557</v>
      </c>
      <c r="F178" s="215" t="s">
        <v>556</v>
      </c>
      <c r="G178" s="218" t="str">
        <f>$D$9 &amp; "-"&amp;测试大纲!I$14&amp;"-"&amp;TEXT(SUBTOTAL(103,$C$131:C178),"000")</f>
        <v>Web-JRBB-048</v>
      </c>
      <c r="H178" s="219" t="s">
        <v>337</v>
      </c>
      <c r="I178" s="219" t="s">
        <v>62</v>
      </c>
      <c r="J178" s="220" t="s">
        <v>683</v>
      </c>
      <c r="K178" s="215" t="s">
        <v>993</v>
      </c>
      <c r="L178" s="215" t="s">
        <v>680</v>
      </c>
      <c r="M178" s="215" t="s">
        <v>681</v>
      </c>
      <c r="N178" s="220" t="s">
        <v>183</v>
      </c>
      <c r="O178" s="214"/>
      <c r="P178" s="222"/>
      <c r="Q178" s="222"/>
      <c r="R178" s="223"/>
      <c r="S178" s="223"/>
      <c r="T178" s="222"/>
      <c r="U178" s="214"/>
      <c r="V178" s="222"/>
      <c r="W178" s="223"/>
      <c r="X178" s="222"/>
      <c r="Y178" s="214"/>
      <c r="Z178" s="222"/>
      <c r="AA178" s="223"/>
      <c r="AB178" s="222"/>
      <c r="AC178" s="214"/>
      <c r="AD178" s="222"/>
      <c r="AE178" s="222"/>
    </row>
    <row r="179" spans="1:31" ht="60">
      <c r="A179" s="23"/>
      <c r="B179" s="215">
        <f>SUBTOTAL(103,$C$11:C179)</f>
        <v>169</v>
      </c>
      <c r="C179" s="215">
        <f>测试大纲!$A$13</f>
        <v>3</v>
      </c>
      <c r="D179" s="216" t="s">
        <v>159</v>
      </c>
      <c r="E179" s="215" t="s">
        <v>557</v>
      </c>
      <c r="F179" s="215" t="s">
        <v>556</v>
      </c>
      <c r="G179" s="218" t="str">
        <f>$D$9 &amp; "-"&amp;测试大纲!I$14&amp;"-"&amp;TEXT(SUBTOTAL(103,$C$131:C179),"000")</f>
        <v>Web-JRBB-049</v>
      </c>
      <c r="H179" s="219" t="s">
        <v>337</v>
      </c>
      <c r="I179" s="219" t="s">
        <v>62</v>
      </c>
      <c r="J179" s="220" t="s">
        <v>684</v>
      </c>
      <c r="K179" s="215" t="s">
        <v>994</v>
      </c>
      <c r="L179" s="215" t="s">
        <v>680</v>
      </c>
      <c r="M179" s="215" t="s">
        <v>685</v>
      </c>
      <c r="N179" s="220" t="s">
        <v>183</v>
      </c>
      <c r="O179" s="214"/>
      <c r="P179" s="222"/>
      <c r="Q179" s="222"/>
      <c r="R179" s="223"/>
      <c r="S179" s="223"/>
      <c r="T179" s="222"/>
      <c r="U179" s="214"/>
      <c r="V179" s="222"/>
      <c r="W179" s="223"/>
      <c r="X179" s="222"/>
      <c r="Y179" s="214"/>
      <c r="Z179" s="222"/>
      <c r="AA179" s="223"/>
      <c r="AB179" s="222"/>
      <c r="AC179" s="214"/>
      <c r="AD179" s="222"/>
      <c r="AE179" s="222"/>
    </row>
    <row r="180" spans="1:31" ht="60">
      <c r="A180" s="23"/>
      <c r="B180" s="215">
        <f>SUBTOTAL(103,$C$11:C180)</f>
        <v>170</v>
      </c>
      <c r="C180" s="215">
        <f>测试大纲!$A$13</f>
        <v>3</v>
      </c>
      <c r="D180" s="216" t="s">
        <v>159</v>
      </c>
      <c r="E180" s="215" t="s">
        <v>557</v>
      </c>
      <c r="F180" s="215" t="s">
        <v>556</v>
      </c>
      <c r="G180" s="218" t="str">
        <f>$D$9 &amp; "-"&amp;测试大纲!I$14&amp;"-"&amp;TEXT(SUBTOTAL(103,$C$131:C180),"000")</f>
        <v>Web-JRBB-050</v>
      </c>
      <c r="H180" s="219" t="s">
        <v>338</v>
      </c>
      <c r="I180" s="219" t="s">
        <v>62</v>
      </c>
      <c r="J180" s="220" t="s">
        <v>624</v>
      </c>
      <c r="K180" s="215" t="s">
        <v>992</v>
      </c>
      <c r="L180" s="215" t="s">
        <v>687</v>
      </c>
      <c r="M180" s="215" t="s">
        <v>686</v>
      </c>
      <c r="N180" s="220" t="s">
        <v>186</v>
      </c>
      <c r="O180" s="214"/>
      <c r="P180" s="222"/>
      <c r="Q180" s="222"/>
      <c r="R180" s="223"/>
      <c r="S180" s="223"/>
      <c r="T180" s="222"/>
      <c r="U180" s="214"/>
      <c r="V180" s="222"/>
      <c r="W180" s="223"/>
      <c r="X180" s="222"/>
      <c r="Y180" s="214"/>
      <c r="Z180" s="222"/>
      <c r="AA180" s="223"/>
      <c r="AB180" s="222"/>
      <c r="AC180" s="214"/>
      <c r="AD180" s="222"/>
      <c r="AE180" s="222"/>
    </row>
    <row r="181" spans="1:31" ht="36">
      <c r="A181" s="23"/>
      <c r="B181" s="215">
        <f>SUBTOTAL(103,$C$11:C181)</f>
        <v>171</v>
      </c>
      <c r="C181" s="215">
        <f>测试大纲!$A$13</f>
        <v>3</v>
      </c>
      <c r="D181" s="216" t="s">
        <v>159</v>
      </c>
      <c r="E181" s="215" t="s">
        <v>557</v>
      </c>
      <c r="F181" s="215" t="s">
        <v>556</v>
      </c>
      <c r="G181" s="218" t="str">
        <f>$D$9 &amp; "-"&amp;测试大纲!I$14&amp;"-"&amp;TEXT(SUBTOTAL(103,$C$131:C181),"000")</f>
        <v>Web-JRBB-051</v>
      </c>
      <c r="H181" s="219" t="s">
        <v>337</v>
      </c>
      <c r="I181" s="219" t="s">
        <v>62</v>
      </c>
      <c r="J181" s="220" t="s">
        <v>688</v>
      </c>
      <c r="K181" s="215" t="s">
        <v>995</v>
      </c>
      <c r="L181" s="215" t="s">
        <v>689</v>
      </c>
      <c r="M181" s="215"/>
      <c r="N181" s="220" t="s">
        <v>690</v>
      </c>
      <c r="O181" s="214"/>
      <c r="P181" s="222"/>
      <c r="Q181" s="222"/>
      <c r="R181" s="223"/>
      <c r="S181" s="223"/>
      <c r="T181" s="222"/>
      <c r="U181" s="214"/>
      <c r="V181" s="222"/>
      <c r="W181" s="223"/>
      <c r="X181" s="222"/>
      <c r="Y181" s="214"/>
      <c r="Z181" s="222"/>
      <c r="AA181" s="223"/>
      <c r="AB181" s="222"/>
      <c r="AC181" s="214"/>
      <c r="AD181" s="222"/>
      <c r="AE181" s="222"/>
    </row>
    <row r="182" spans="1:31" ht="36">
      <c r="A182" s="23"/>
      <c r="B182" s="215">
        <f>SUBTOTAL(103,$C$11:C182)</f>
        <v>172</v>
      </c>
      <c r="C182" s="215">
        <f>测试大纲!$A$13</f>
        <v>3</v>
      </c>
      <c r="D182" s="216" t="s">
        <v>159</v>
      </c>
      <c r="E182" s="215" t="s">
        <v>557</v>
      </c>
      <c r="F182" s="215" t="s">
        <v>556</v>
      </c>
      <c r="G182" s="218" t="str">
        <f>$D$9 &amp; "-"&amp;测试大纲!I$14&amp;"-"&amp;TEXT(SUBTOTAL(103,$C$131:C182),"000")</f>
        <v>Web-JRBB-052</v>
      </c>
      <c r="H182" s="219" t="s">
        <v>337</v>
      </c>
      <c r="I182" s="219" t="s">
        <v>165</v>
      </c>
      <c r="J182" s="220" t="s">
        <v>691</v>
      </c>
      <c r="K182" s="215" t="s">
        <v>996</v>
      </c>
      <c r="L182" s="215" t="s">
        <v>689</v>
      </c>
      <c r="M182" s="215"/>
      <c r="N182" s="220" t="s">
        <v>183</v>
      </c>
      <c r="O182" s="214"/>
      <c r="P182" s="222"/>
      <c r="Q182" s="222"/>
      <c r="R182" s="223"/>
      <c r="S182" s="223"/>
      <c r="T182" s="222"/>
      <c r="U182" s="214"/>
      <c r="V182" s="222"/>
      <c r="W182" s="223"/>
      <c r="X182" s="222"/>
      <c r="Y182" s="214"/>
      <c r="Z182" s="222"/>
      <c r="AA182" s="223"/>
      <c r="AB182" s="222"/>
      <c r="AC182" s="214"/>
      <c r="AD182" s="222"/>
      <c r="AE182" s="222"/>
    </row>
    <row r="183" spans="1:31" ht="36">
      <c r="A183" s="23"/>
      <c r="B183" s="215">
        <f>SUBTOTAL(103,$C$11:C183)</f>
        <v>173</v>
      </c>
      <c r="C183" s="215">
        <f>测试大纲!$A$13</f>
        <v>3</v>
      </c>
      <c r="D183" s="216" t="s">
        <v>159</v>
      </c>
      <c r="E183" s="215" t="s">
        <v>557</v>
      </c>
      <c r="F183" s="215" t="s">
        <v>556</v>
      </c>
      <c r="G183" s="218" t="str">
        <f>$D$9 &amp; "-"&amp;测试大纲!I$14&amp;"-"&amp;TEXT(SUBTOTAL(103,$C$131:C183),"000")</f>
        <v>Web-JRBB-053</v>
      </c>
      <c r="H183" s="219" t="s">
        <v>337</v>
      </c>
      <c r="I183" s="219" t="s">
        <v>165</v>
      </c>
      <c r="J183" s="220" t="s">
        <v>692</v>
      </c>
      <c r="K183" s="215" t="s">
        <v>995</v>
      </c>
      <c r="L183" s="215" t="s">
        <v>695</v>
      </c>
      <c r="M183" s="215"/>
      <c r="N183" s="220" t="s">
        <v>182</v>
      </c>
      <c r="O183" s="214"/>
      <c r="P183" s="222"/>
      <c r="Q183" s="222"/>
      <c r="R183" s="223"/>
      <c r="S183" s="223"/>
      <c r="T183" s="222"/>
      <c r="U183" s="214"/>
      <c r="V183" s="222"/>
      <c r="W183" s="223"/>
      <c r="X183" s="222"/>
      <c r="Y183" s="214"/>
      <c r="Z183" s="222"/>
      <c r="AA183" s="223"/>
      <c r="AB183" s="222"/>
      <c r="AC183" s="214"/>
      <c r="AD183" s="222"/>
      <c r="AE183" s="222"/>
    </row>
    <row r="184" spans="1:31" ht="36">
      <c r="A184" s="23"/>
      <c r="B184" s="215">
        <f>SUBTOTAL(103,$C$11:C184)</f>
        <v>174</v>
      </c>
      <c r="C184" s="215">
        <f>测试大纲!$A$13</f>
        <v>3</v>
      </c>
      <c r="D184" s="216" t="s">
        <v>159</v>
      </c>
      <c r="E184" s="215" t="s">
        <v>557</v>
      </c>
      <c r="F184" s="215" t="s">
        <v>556</v>
      </c>
      <c r="G184" s="218" t="str">
        <f>$D$9 &amp; "-"&amp;测试大纲!I$14&amp;"-"&amp;TEXT(SUBTOTAL(103,$C$131:C184),"000")</f>
        <v>Web-JRBB-054</v>
      </c>
      <c r="H184" s="219" t="s">
        <v>337</v>
      </c>
      <c r="I184" s="219" t="s">
        <v>62</v>
      </c>
      <c r="J184" s="220" t="s">
        <v>693</v>
      </c>
      <c r="K184" s="215" t="s">
        <v>996</v>
      </c>
      <c r="L184" s="215" t="s">
        <v>695</v>
      </c>
      <c r="M184" s="215"/>
      <c r="N184" s="220" t="s">
        <v>694</v>
      </c>
      <c r="O184" s="214"/>
      <c r="P184" s="222"/>
      <c r="Q184" s="222"/>
      <c r="R184" s="223"/>
      <c r="S184" s="223"/>
      <c r="T184" s="222"/>
      <c r="U184" s="214"/>
      <c r="V184" s="222"/>
      <c r="W184" s="223"/>
      <c r="X184" s="222"/>
      <c r="Y184" s="214"/>
      <c r="Z184" s="222"/>
      <c r="AA184" s="223"/>
      <c r="AB184" s="222"/>
      <c r="AC184" s="214"/>
      <c r="AD184" s="222"/>
      <c r="AE184" s="222"/>
    </row>
    <row r="185" spans="1:31" ht="60">
      <c r="A185" s="23"/>
      <c r="B185" s="215">
        <f>SUBTOTAL(103,$C$11:C185)</f>
        <v>175</v>
      </c>
      <c r="C185" s="215">
        <f>测试大纲!$A$13</f>
        <v>3</v>
      </c>
      <c r="D185" s="216" t="s">
        <v>159</v>
      </c>
      <c r="E185" s="215" t="s">
        <v>557</v>
      </c>
      <c r="F185" s="215" t="s">
        <v>556</v>
      </c>
      <c r="G185" s="218" t="str">
        <f>$D$9 &amp; "-"&amp;测试大纲!I$14&amp;"-"&amp;TEXT(SUBTOTAL(103,$C$131:C185),"000")</f>
        <v>Web-JRBB-055</v>
      </c>
      <c r="H185" s="219" t="s">
        <v>338</v>
      </c>
      <c r="I185" s="219" t="s">
        <v>165</v>
      </c>
      <c r="J185" s="220" t="s">
        <v>701</v>
      </c>
      <c r="K185" s="215" t="s">
        <v>992</v>
      </c>
      <c r="L185" s="215" t="s">
        <v>680</v>
      </c>
      <c r="M185" s="215" t="s">
        <v>696</v>
      </c>
      <c r="N185" s="220" t="s">
        <v>187</v>
      </c>
      <c r="O185" s="214"/>
      <c r="P185" s="222"/>
      <c r="Q185" s="222"/>
      <c r="R185" s="223"/>
      <c r="S185" s="223"/>
      <c r="T185" s="222"/>
      <c r="U185" s="214"/>
      <c r="V185" s="222"/>
      <c r="W185" s="223"/>
      <c r="X185" s="222"/>
      <c r="Y185" s="214"/>
      <c r="Z185" s="222"/>
      <c r="AA185" s="223"/>
      <c r="AB185" s="222"/>
      <c r="AC185" s="214"/>
      <c r="AD185" s="222"/>
      <c r="AE185" s="222"/>
    </row>
    <row r="186" spans="1:31" ht="60">
      <c r="A186" s="23"/>
      <c r="B186" s="215">
        <f>SUBTOTAL(103,$C$11:C186)</f>
        <v>176</v>
      </c>
      <c r="C186" s="215">
        <f>测试大纲!$A$13</f>
        <v>3</v>
      </c>
      <c r="D186" s="216" t="s">
        <v>159</v>
      </c>
      <c r="E186" s="215" t="s">
        <v>557</v>
      </c>
      <c r="F186" s="215" t="s">
        <v>556</v>
      </c>
      <c r="G186" s="218" t="str">
        <f>$D$9 &amp; "-"&amp;测试大纲!I$14&amp;"-"&amp;TEXT(SUBTOTAL(103,$C$131:C186),"000")</f>
        <v>Web-JRBB-056</v>
      </c>
      <c r="H186" s="219" t="s">
        <v>338</v>
      </c>
      <c r="I186" s="219" t="s">
        <v>165</v>
      </c>
      <c r="J186" s="220" t="s">
        <v>702</v>
      </c>
      <c r="K186" s="215" t="s">
        <v>992</v>
      </c>
      <c r="L186" s="215" t="s">
        <v>680</v>
      </c>
      <c r="M186" s="215" t="s">
        <v>697</v>
      </c>
      <c r="N186" s="220" t="s">
        <v>187</v>
      </c>
      <c r="O186" s="214"/>
      <c r="P186" s="222"/>
      <c r="Q186" s="222"/>
      <c r="R186" s="223"/>
      <c r="S186" s="223"/>
      <c r="T186" s="222"/>
      <c r="U186" s="214"/>
      <c r="V186" s="222"/>
      <c r="W186" s="223"/>
      <c r="X186" s="222"/>
      <c r="Y186" s="214"/>
      <c r="Z186" s="222"/>
      <c r="AA186" s="223"/>
      <c r="AB186" s="222"/>
      <c r="AC186" s="214"/>
      <c r="AD186" s="222"/>
      <c r="AE186" s="222"/>
    </row>
    <row r="187" spans="1:31" ht="60">
      <c r="A187" s="23"/>
      <c r="B187" s="215">
        <f>SUBTOTAL(103,$C$11:C187)</f>
        <v>177</v>
      </c>
      <c r="C187" s="215">
        <f>测试大纲!$A$13</f>
        <v>3</v>
      </c>
      <c r="D187" s="216" t="s">
        <v>159</v>
      </c>
      <c r="E187" s="215" t="s">
        <v>557</v>
      </c>
      <c r="F187" s="215" t="s">
        <v>556</v>
      </c>
      <c r="G187" s="218" t="str">
        <f>$D$9 &amp; "-"&amp;测试大纲!I$14&amp;"-"&amp;TEXT(SUBTOTAL(103,$C$131:C187),"000")</f>
        <v>Web-JRBB-057</v>
      </c>
      <c r="H187" s="219" t="s">
        <v>340</v>
      </c>
      <c r="I187" s="219" t="s">
        <v>165</v>
      </c>
      <c r="J187" s="233" t="s">
        <v>940</v>
      </c>
      <c r="K187" s="215" t="s">
        <v>992</v>
      </c>
      <c r="L187" s="215" t="s">
        <v>680</v>
      </c>
      <c r="M187" s="215" t="s">
        <v>698</v>
      </c>
      <c r="N187" s="220" t="s">
        <v>187</v>
      </c>
      <c r="O187" s="214"/>
      <c r="P187" s="222"/>
      <c r="Q187" s="222"/>
      <c r="R187" s="223"/>
      <c r="S187" s="223"/>
      <c r="T187" s="222"/>
      <c r="U187" s="214"/>
      <c r="V187" s="222"/>
      <c r="W187" s="223"/>
      <c r="X187" s="222"/>
      <c r="Y187" s="214"/>
      <c r="Z187" s="222"/>
      <c r="AA187" s="223"/>
      <c r="AB187" s="222"/>
      <c r="AC187" s="214"/>
      <c r="AD187" s="222"/>
      <c r="AE187" s="222"/>
    </row>
    <row r="188" spans="1:31" ht="72">
      <c r="A188" s="23"/>
      <c r="B188" s="215">
        <f>SUBTOTAL(103,$C$11:C188)</f>
        <v>178</v>
      </c>
      <c r="C188" s="215">
        <f>测试大纲!$A$13</f>
        <v>3</v>
      </c>
      <c r="D188" s="216" t="s">
        <v>159</v>
      </c>
      <c r="E188" s="215" t="s">
        <v>557</v>
      </c>
      <c r="F188" s="215" t="s">
        <v>556</v>
      </c>
      <c r="G188" s="218" t="str">
        <f>$D$9 &amp; "-"&amp;测试大纲!I$14&amp;"-"&amp;TEXT(SUBTOTAL(103,$C$131:C188),"000")</f>
        <v>Web-JRBB-058</v>
      </c>
      <c r="H188" s="219" t="s">
        <v>340</v>
      </c>
      <c r="I188" s="219" t="s">
        <v>165</v>
      </c>
      <c r="J188" s="220" t="s">
        <v>699</v>
      </c>
      <c r="K188" s="215" t="s">
        <v>992</v>
      </c>
      <c r="L188" s="215" t="s">
        <v>703</v>
      </c>
      <c r="M188" s="215" t="s">
        <v>704</v>
      </c>
      <c r="N188" s="220" t="s">
        <v>187</v>
      </c>
      <c r="O188" s="214"/>
      <c r="P188" s="222"/>
      <c r="Q188" s="222"/>
      <c r="R188" s="223"/>
      <c r="S188" s="223"/>
      <c r="T188" s="222"/>
      <c r="U188" s="214"/>
      <c r="V188" s="222"/>
      <c r="W188" s="223"/>
      <c r="X188" s="222"/>
      <c r="Y188" s="214"/>
      <c r="Z188" s="222"/>
      <c r="AA188" s="223"/>
      <c r="AB188" s="222"/>
      <c r="AC188" s="214"/>
      <c r="AD188" s="222"/>
      <c r="AE188" s="222"/>
    </row>
    <row r="189" spans="1:31" ht="72">
      <c r="A189" s="23"/>
      <c r="B189" s="215">
        <f>SUBTOTAL(103,$C$11:C189)</f>
        <v>179</v>
      </c>
      <c r="C189" s="215">
        <f>测试大纲!$A$13</f>
        <v>3</v>
      </c>
      <c r="D189" s="216" t="s">
        <v>159</v>
      </c>
      <c r="E189" s="215" t="s">
        <v>557</v>
      </c>
      <c r="F189" s="215" t="s">
        <v>556</v>
      </c>
      <c r="G189" s="218" t="str">
        <f>$D$9 &amp; "-"&amp;测试大纲!I$14&amp;"-"&amp;TEXT(SUBTOTAL(103,$C$131:C189),"000")</f>
        <v>Web-JRBB-059</v>
      </c>
      <c r="H189" s="219" t="s">
        <v>340</v>
      </c>
      <c r="I189" s="219" t="s">
        <v>165</v>
      </c>
      <c r="J189" s="220" t="s">
        <v>700</v>
      </c>
      <c r="K189" s="215" t="s">
        <v>992</v>
      </c>
      <c r="L189" s="215" t="s">
        <v>703</v>
      </c>
      <c r="M189" s="215" t="s">
        <v>705</v>
      </c>
      <c r="N189" s="220" t="s">
        <v>187</v>
      </c>
      <c r="O189" s="214"/>
      <c r="P189" s="222"/>
      <c r="Q189" s="222"/>
      <c r="R189" s="223"/>
      <c r="S189" s="223"/>
      <c r="T189" s="222"/>
      <c r="U189" s="214"/>
      <c r="V189" s="222"/>
      <c r="W189" s="223"/>
      <c r="X189" s="222"/>
      <c r="Y189" s="214"/>
      <c r="Z189" s="222"/>
      <c r="AA189" s="223"/>
      <c r="AB189" s="222"/>
      <c r="AC189" s="214"/>
      <c r="AD189" s="222"/>
      <c r="AE189" s="222"/>
    </row>
    <row r="190" spans="1:31" ht="72">
      <c r="A190" s="23"/>
      <c r="B190" s="215">
        <f>SUBTOTAL(103,$C$11:C190)</f>
        <v>180</v>
      </c>
      <c r="C190" s="215">
        <f>测试大纲!$A$13</f>
        <v>3</v>
      </c>
      <c r="D190" s="216" t="s">
        <v>159</v>
      </c>
      <c r="E190" s="215" t="s">
        <v>557</v>
      </c>
      <c r="F190" s="215" t="s">
        <v>556</v>
      </c>
      <c r="G190" s="218" t="str">
        <f>$D$9 &amp; "-"&amp;测试大纲!I$14&amp;"-"&amp;TEXT(SUBTOTAL(103,$C$131:C190),"000")</f>
        <v>Web-JRBB-060</v>
      </c>
      <c r="H190" s="219" t="s">
        <v>340</v>
      </c>
      <c r="I190" s="219" t="s">
        <v>165</v>
      </c>
      <c r="J190" s="233" t="s">
        <v>941</v>
      </c>
      <c r="K190" s="215" t="s">
        <v>992</v>
      </c>
      <c r="L190" s="215" t="s">
        <v>703</v>
      </c>
      <c r="M190" s="215" t="s">
        <v>706</v>
      </c>
      <c r="N190" s="220" t="s">
        <v>187</v>
      </c>
      <c r="O190" s="214"/>
      <c r="P190" s="222"/>
      <c r="Q190" s="222"/>
      <c r="R190" s="223"/>
      <c r="S190" s="223"/>
      <c r="T190" s="222"/>
      <c r="U190" s="214"/>
      <c r="V190" s="222"/>
      <c r="W190" s="223"/>
      <c r="X190" s="222"/>
      <c r="Y190" s="214"/>
      <c r="Z190" s="222"/>
      <c r="AA190" s="223"/>
      <c r="AB190" s="222"/>
      <c r="AC190" s="214"/>
      <c r="AD190" s="222"/>
      <c r="AE190" s="222"/>
    </row>
    <row r="191" spans="1:31" ht="132">
      <c r="A191" s="23"/>
      <c r="B191" s="215">
        <f>SUBTOTAL(103,$C$11:C191)</f>
        <v>181</v>
      </c>
      <c r="C191" s="215">
        <f>测试大纲!$A$13</f>
        <v>3</v>
      </c>
      <c r="D191" s="216" t="s">
        <v>159</v>
      </c>
      <c r="E191" s="228" t="s">
        <v>153</v>
      </c>
      <c r="F191" s="236"/>
      <c r="G191" s="218" t="str">
        <f>$D$9 &amp; "-"&amp;测试大纲!I$15&amp;"-"&amp;TEXT(SUBTOTAL(103,$C$191:C191),"000")</f>
        <v>Web-ZGZT-001</v>
      </c>
      <c r="H191" s="219" t="s">
        <v>337</v>
      </c>
      <c r="I191" s="219" t="s">
        <v>62</v>
      </c>
      <c r="J191" s="220" t="s">
        <v>538</v>
      </c>
      <c r="K191" s="217" t="s">
        <v>997</v>
      </c>
      <c r="L191" s="215" t="s">
        <v>540</v>
      </c>
      <c r="M191" s="229"/>
      <c r="N191" s="221" t="s">
        <v>541</v>
      </c>
      <c r="O191" s="214"/>
      <c r="P191" s="222"/>
      <c r="Q191" s="222"/>
      <c r="R191" s="223"/>
      <c r="S191" s="223"/>
      <c r="T191" s="222"/>
      <c r="U191" s="214"/>
      <c r="V191" s="222"/>
      <c r="W191" s="223"/>
      <c r="X191" s="222"/>
      <c r="Y191" s="214"/>
      <c r="Z191" s="222"/>
      <c r="AA191" s="223"/>
      <c r="AB191" s="222"/>
      <c r="AC191" s="214"/>
      <c r="AD191" s="222"/>
      <c r="AE191" s="222"/>
    </row>
    <row r="192" spans="1:31" ht="24">
      <c r="A192" s="23"/>
      <c r="B192" s="215">
        <f>SUBTOTAL(103,$C$11:C192)</f>
        <v>182</v>
      </c>
      <c r="C192" s="215">
        <f>测试大纲!$A$13</f>
        <v>3</v>
      </c>
      <c r="D192" s="216" t="s">
        <v>159</v>
      </c>
      <c r="E192" s="228" t="s">
        <v>153</v>
      </c>
      <c r="F192" s="236"/>
      <c r="G192" s="218" t="str">
        <f>$D$9 &amp; "-"&amp;测试大纲!I$15&amp;"-"&amp;TEXT(SUBTOTAL(103,$C$191:C192),"000")</f>
        <v>Web-ZGZT-002</v>
      </c>
      <c r="H192" s="219" t="s">
        <v>337</v>
      </c>
      <c r="I192" s="219" t="s">
        <v>62</v>
      </c>
      <c r="J192" s="220" t="s">
        <v>717</v>
      </c>
      <c r="K192" s="217" t="s">
        <v>997</v>
      </c>
      <c r="L192" s="215" t="s">
        <v>472</v>
      </c>
      <c r="M192" s="229"/>
      <c r="N192" s="221" t="s">
        <v>718</v>
      </c>
      <c r="O192" s="214"/>
      <c r="P192" s="222"/>
      <c r="Q192" s="222"/>
      <c r="R192" s="223"/>
      <c r="S192" s="223"/>
      <c r="T192" s="222"/>
      <c r="U192" s="214"/>
      <c r="V192" s="222"/>
      <c r="W192" s="223"/>
      <c r="X192" s="222"/>
      <c r="Y192" s="214"/>
      <c r="Z192" s="222"/>
      <c r="AA192" s="223"/>
      <c r="AB192" s="222"/>
      <c r="AC192" s="214"/>
      <c r="AD192" s="222"/>
      <c r="AE192" s="222"/>
    </row>
    <row r="193" spans="1:31" ht="24">
      <c r="A193" s="23"/>
      <c r="B193" s="215">
        <f>SUBTOTAL(103,$C$11:C193)</f>
        <v>183</v>
      </c>
      <c r="C193" s="215">
        <f>测试大纲!$A$13</f>
        <v>3</v>
      </c>
      <c r="D193" s="224" t="s">
        <v>159</v>
      </c>
      <c r="E193" s="228" t="s">
        <v>153</v>
      </c>
      <c r="F193" s="215"/>
      <c r="G193" s="218" t="str">
        <f>$D$9 &amp; "-"&amp;测试大纲!I$15&amp;"-"&amp;TEXT(SUBTOTAL(103,$C$191:C193),"000")</f>
        <v>Web-ZGZT-003</v>
      </c>
      <c r="H193" s="219" t="s">
        <v>340</v>
      </c>
      <c r="I193" s="219" t="s">
        <v>62</v>
      </c>
      <c r="J193" s="220" t="s">
        <v>826</v>
      </c>
      <c r="K193" s="217" t="s">
        <v>997</v>
      </c>
      <c r="L193" s="215" t="s">
        <v>330</v>
      </c>
      <c r="M193" s="215" t="s">
        <v>827</v>
      </c>
      <c r="N193" s="220" t="s">
        <v>828</v>
      </c>
      <c r="O193" s="214"/>
      <c r="P193" s="222"/>
      <c r="Q193" s="222"/>
      <c r="R193" s="223"/>
      <c r="S193" s="223"/>
      <c r="T193" s="222"/>
      <c r="U193" s="214"/>
      <c r="V193" s="222"/>
      <c r="W193" s="223"/>
      <c r="X193" s="222"/>
      <c r="Y193" s="214"/>
      <c r="Z193" s="222"/>
      <c r="AA193" s="223"/>
      <c r="AB193" s="222"/>
      <c r="AC193" s="214"/>
      <c r="AD193" s="222"/>
      <c r="AE193" s="222"/>
    </row>
    <row r="194" spans="1:31" ht="24">
      <c r="A194" s="23"/>
      <c r="B194" s="215">
        <f>SUBTOTAL(103,$C$11:C194)</f>
        <v>184</v>
      </c>
      <c r="C194" s="215">
        <f>测试大纲!$A$13</f>
        <v>3</v>
      </c>
      <c r="D194" s="216" t="s">
        <v>159</v>
      </c>
      <c r="E194" s="228" t="s">
        <v>153</v>
      </c>
      <c r="F194" s="236"/>
      <c r="G194" s="218" t="str">
        <f>$D$9 &amp; "-"&amp;测试大纲!I$15&amp;"-"&amp;TEXT(SUBTOTAL(103,$C$191:C194),"000")</f>
        <v>Web-ZGZT-004</v>
      </c>
      <c r="H194" s="219" t="s">
        <v>337</v>
      </c>
      <c r="I194" s="219" t="s">
        <v>62</v>
      </c>
      <c r="J194" s="220" t="s">
        <v>160</v>
      </c>
      <c r="K194" s="217" t="s">
        <v>997</v>
      </c>
      <c r="L194" s="230" t="s">
        <v>166</v>
      </c>
      <c r="M194" s="229" t="s">
        <v>375</v>
      </c>
      <c r="N194" s="220" t="s">
        <v>188</v>
      </c>
      <c r="O194" s="214"/>
      <c r="P194" s="222"/>
      <c r="Q194" s="222"/>
      <c r="R194" s="223"/>
      <c r="S194" s="223"/>
      <c r="T194" s="222"/>
      <c r="U194" s="214"/>
      <c r="V194" s="222"/>
      <c r="W194" s="223"/>
      <c r="X194" s="222"/>
      <c r="Y194" s="214"/>
      <c r="Z194" s="222"/>
      <c r="AA194" s="223"/>
      <c r="AB194" s="222"/>
      <c r="AC194" s="214"/>
      <c r="AD194" s="222"/>
      <c r="AE194" s="222"/>
    </row>
    <row r="195" spans="1:31" ht="24">
      <c r="A195" s="23"/>
      <c r="B195" s="215">
        <f>SUBTOTAL(103,$C$11:C195)</f>
        <v>185</v>
      </c>
      <c r="C195" s="215">
        <f>测试大纲!$A$13</f>
        <v>3</v>
      </c>
      <c r="D195" s="216" t="s">
        <v>159</v>
      </c>
      <c r="E195" s="228" t="s">
        <v>153</v>
      </c>
      <c r="F195" s="236"/>
      <c r="G195" s="218" t="str">
        <f>$D$9 &amp; "-"&amp;测试大纲!I$15&amp;"-"&amp;TEXT(SUBTOTAL(103,$C$191:C195),"000")</f>
        <v>Web-ZGZT-005</v>
      </c>
      <c r="H195" s="219" t="s">
        <v>337</v>
      </c>
      <c r="I195" s="219" t="s">
        <v>62</v>
      </c>
      <c r="J195" s="220" t="s">
        <v>189</v>
      </c>
      <c r="K195" s="217" t="s">
        <v>997</v>
      </c>
      <c r="L195" s="228" t="s">
        <v>190</v>
      </c>
      <c r="M195" s="229" t="s">
        <v>376</v>
      </c>
      <c r="N195" s="220" t="s">
        <v>191</v>
      </c>
      <c r="O195" s="214"/>
      <c r="P195" s="222"/>
      <c r="Q195" s="222"/>
      <c r="R195" s="223"/>
      <c r="S195" s="223"/>
      <c r="T195" s="222"/>
      <c r="U195" s="214"/>
      <c r="V195" s="222"/>
      <c r="W195" s="223"/>
      <c r="X195" s="222"/>
      <c r="Y195" s="214"/>
      <c r="Z195" s="222"/>
      <c r="AA195" s="223"/>
      <c r="AB195" s="222"/>
      <c r="AC195" s="214"/>
      <c r="AD195" s="222"/>
      <c r="AE195" s="222"/>
    </row>
    <row r="196" spans="1:31" ht="24">
      <c r="A196" s="23"/>
      <c r="B196" s="215">
        <f>SUBTOTAL(103,$C$11:C196)</f>
        <v>186</v>
      </c>
      <c r="C196" s="215">
        <f>测试大纲!$A$13</f>
        <v>3</v>
      </c>
      <c r="D196" s="216" t="s">
        <v>159</v>
      </c>
      <c r="E196" s="228" t="s">
        <v>153</v>
      </c>
      <c r="F196" s="236"/>
      <c r="G196" s="218" t="str">
        <f>$D$9 &amp; "-"&amp;测试大纲!I$15&amp;"-"&amp;TEXT(SUBTOTAL(103,$C$191:C196),"000")</f>
        <v>Web-ZGZT-006</v>
      </c>
      <c r="H196" s="219" t="s">
        <v>337</v>
      </c>
      <c r="I196" s="219" t="s">
        <v>62</v>
      </c>
      <c r="J196" s="220" t="s">
        <v>192</v>
      </c>
      <c r="K196" s="217" t="s">
        <v>997</v>
      </c>
      <c r="L196" s="229" t="s">
        <v>377</v>
      </c>
      <c r="M196" s="229" t="s">
        <v>378</v>
      </c>
      <c r="N196" s="220" t="s">
        <v>193</v>
      </c>
      <c r="O196" s="214"/>
      <c r="P196" s="222"/>
      <c r="Q196" s="222"/>
      <c r="R196" s="223"/>
      <c r="S196" s="223"/>
      <c r="T196" s="222"/>
      <c r="U196" s="214"/>
      <c r="V196" s="222"/>
      <c r="W196" s="223"/>
      <c r="X196" s="222"/>
      <c r="Y196" s="214"/>
      <c r="Z196" s="222"/>
      <c r="AA196" s="223"/>
      <c r="AB196" s="222"/>
      <c r="AC196" s="214"/>
      <c r="AD196" s="222"/>
      <c r="AE196" s="222"/>
    </row>
    <row r="197" spans="1:31" ht="24">
      <c r="A197" s="23"/>
      <c r="B197" s="215">
        <f>SUBTOTAL(103,$C$11:C197)</f>
        <v>187</v>
      </c>
      <c r="C197" s="215">
        <f>测试大纲!$A$13</f>
        <v>3</v>
      </c>
      <c r="D197" s="216" t="s">
        <v>159</v>
      </c>
      <c r="E197" s="228" t="s">
        <v>153</v>
      </c>
      <c r="F197" s="236"/>
      <c r="G197" s="218" t="str">
        <f>$D$9 &amp; "-"&amp;测试大纲!I$15&amp;"-"&amp;TEXT(SUBTOTAL(103,$C$191:C197),"000")</f>
        <v>Web-ZGZT-007</v>
      </c>
      <c r="H197" s="219" t="s">
        <v>337</v>
      </c>
      <c r="I197" s="219" t="s">
        <v>62</v>
      </c>
      <c r="J197" s="220" t="s">
        <v>192</v>
      </c>
      <c r="K197" s="217" t="s">
        <v>997</v>
      </c>
      <c r="L197" s="229" t="s">
        <v>377</v>
      </c>
      <c r="M197" s="215" t="s">
        <v>379</v>
      </c>
      <c r="N197" s="220" t="s">
        <v>193</v>
      </c>
      <c r="O197" s="214"/>
      <c r="P197" s="222"/>
      <c r="Q197" s="222"/>
      <c r="R197" s="223"/>
      <c r="S197" s="223"/>
      <c r="T197" s="222"/>
      <c r="U197" s="214"/>
      <c r="V197" s="222"/>
      <c r="W197" s="223"/>
      <c r="X197" s="222"/>
      <c r="Y197" s="214"/>
      <c r="Z197" s="222"/>
      <c r="AA197" s="223"/>
      <c r="AB197" s="222"/>
      <c r="AC197" s="214"/>
      <c r="AD197" s="222"/>
      <c r="AE197" s="222"/>
    </row>
    <row r="198" spans="1:31" ht="48">
      <c r="A198" s="23"/>
      <c r="B198" s="215">
        <f>SUBTOTAL(103,$C$11:C198)</f>
        <v>188</v>
      </c>
      <c r="C198" s="215">
        <f>测试大纲!$A$13</f>
        <v>3</v>
      </c>
      <c r="D198" s="216" t="s">
        <v>159</v>
      </c>
      <c r="E198" s="228" t="s">
        <v>153</v>
      </c>
      <c r="F198" s="236"/>
      <c r="G198" s="218" t="str">
        <f>$D$9 &amp; "-"&amp;测试大纲!I$15&amp;"-"&amp;TEXT(SUBTOTAL(103,$C$191:C198),"000")</f>
        <v>Web-ZGZT-008</v>
      </c>
      <c r="H198" s="219" t="s">
        <v>337</v>
      </c>
      <c r="I198" s="219" t="s">
        <v>62</v>
      </c>
      <c r="J198" s="237" t="s">
        <v>200</v>
      </c>
      <c r="K198" s="215" t="s">
        <v>998</v>
      </c>
      <c r="L198" s="215" t="s">
        <v>857</v>
      </c>
      <c r="M198" s="229" t="s">
        <v>376</v>
      </c>
      <c r="N198" s="220" t="s">
        <v>858</v>
      </c>
      <c r="O198" s="214"/>
      <c r="P198" s="222"/>
      <c r="Q198" s="222"/>
      <c r="R198" s="223"/>
      <c r="S198" s="223"/>
      <c r="T198" s="222"/>
      <c r="U198" s="214"/>
      <c r="V198" s="222"/>
      <c r="W198" s="223"/>
      <c r="X198" s="222"/>
      <c r="Y198" s="214"/>
      <c r="Z198" s="222"/>
      <c r="AA198" s="223"/>
      <c r="AB198" s="222"/>
      <c r="AC198" s="214"/>
      <c r="AD198" s="222"/>
      <c r="AE198" s="222"/>
    </row>
    <row r="199" spans="1:31" ht="24">
      <c r="A199" s="23"/>
      <c r="B199" s="215">
        <f>SUBTOTAL(103,$C$11:C199)</f>
        <v>189</v>
      </c>
      <c r="C199" s="215">
        <f>测试大纲!$A$13</f>
        <v>3</v>
      </c>
      <c r="D199" s="216" t="s">
        <v>159</v>
      </c>
      <c r="E199" s="228" t="s">
        <v>153</v>
      </c>
      <c r="F199" s="236"/>
      <c r="G199" s="218" t="str">
        <f>$D$9 &amp; "-"&amp;测试大纲!I$15&amp;"-"&amp;TEXT(SUBTOTAL(103,$C$191:C199),"000")</f>
        <v>Web-ZGZT-009</v>
      </c>
      <c r="H199" s="219" t="s">
        <v>338</v>
      </c>
      <c r="I199" s="219" t="s">
        <v>165</v>
      </c>
      <c r="J199" s="220" t="s">
        <v>573</v>
      </c>
      <c r="K199" s="217" t="s">
        <v>997</v>
      </c>
      <c r="L199" s="227" t="s">
        <v>221</v>
      </c>
      <c r="M199" s="229" t="s">
        <v>380</v>
      </c>
      <c r="N199" s="220" t="s">
        <v>716</v>
      </c>
      <c r="O199" s="214"/>
      <c r="P199" s="222"/>
      <c r="Q199" s="222"/>
      <c r="R199" s="223"/>
      <c r="S199" s="223"/>
      <c r="T199" s="222"/>
      <c r="U199" s="214"/>
      <c r="V199" s="222"/>
      <c r="W199" s="223"/>
      <c r="X199" s="222"/>
      <c r="Y199" s="214"/>
      <c r="Z199" s="222"/>
      <c r="AA199" s="223"/>
      <c r="AB199" s="222"/>
      <c r="AC199" s="214"/>
      <c r="AD199" s="222"/>
      <c r="AE199" s="222"/>
    </row>
    <row r="200" spans="1:31" ht="24">
      <c r="A200" s="23"/>
      <c r="B200" s="215">
        <f>SUBTOTAL(103,$C$11:C200)</f>
        <v>190</v>
      </c>
      <c r="C200" s="215">
        <f>测试大纲!$A$13</f>
        <v>3</v>
      </c>
      <c r="D200" s="216" t="s">
        <v>159</v>
      </c>
      <c r="E200" s="228" t="s">
        <v>153</v>
      </c>
      <c r="F200" s="236"/>
      <c r="G200" s="218" t="str">
        <f>$D$9 &amp; "-"&amp;测试大纲!I$15&amp;"-"&amp;TEXT(SUBTOTAL(103,$C$191:C200),"000")</f>
        <v>Web-ZGZT-010</v>
      </c>
      <c r="H200" s="219" t="s">
        <v>338</v>
      </c>
      <c r="I200" s="219" t="s">
        <v>165</v>
      </c>
      <c r="J200" s="220" t="s">
        <v>715</v>
      </c>
      <c r="K200" s="217" t="s">
        <v>997</v>
      </c>
      <c r="L200" s="227" t="s">
        <v>226</v>
      </c>
      <c r="M200" s="229" t="s">
        <v>381</v>
      </c>
      <c r="N200" s="220" t="s">
        <v>198</v>
      </c>
      <c r="O200" s="214"/>
      <c r="P200" s="222"/>
      <c r="Q200" s="222"/>
      <c r="R200" s="223"/>
      <c r="S200" s="223"/>
      <c r="T200" s="222"/>
      <c r="U200" s="214"/>
      <c r="V200" s="222"/>
      <c r="W200" s="223"/>
      <c r="X200" s="222"/>
      <c r="Y200" s="214"/>
      <c r="Z200" s="222"/>
      <c r="AA200" s="223"/>
      <c r="AB200" s="222"/>
      <c r="AC200" s="214"/>
      <c r="AD200" s="222"/>
      <c r="AE200" s="222"/>
    </row>
    <row r="201" spans="1:31" ht="48">
      <c r="A201" s="23"/>
      <c r="B201" s="215">
        <f>SUBTOTAL(103,$C$11:C201)</f>
        <v>191</v>
      </c>
      <c r="C201" s="215">
        <f>测试大纲!$A$13</f>
        <v>3</v>
      </c>
      <c r="D201" s="216" t="s">
        <v>159</v>
      </c>
      <c r="E201" s="228" t="s">
        <v>153</v>
      </c>
      <c r="F201" s="236"/>
      <c r="G201" s="218" t="str">
        <f>$D$9 &amp; "-"&amp;测试大纲!I$15&amp;"-"&amp;TEXT(SUBTOTAL(103,$C$191:C201),"000")</f>
        <v>Web-ZGZT-011</v>
      </c>
      <c r="H201" s="219" t="s">
        <v>337</v>
      </c>
      <c r="I201" s="219" t="s">
        <v>62</v>
      </c>
      <c r="J201" s="220" t="s">
        <v>163</v>
      </c>
      <c r="K201" s="217" t="s">
        <v>997</v>
      </c>
      <c r="L201" s="234" t="s">
        <v>383</v>
      </c>
      <c r="M201" s="215" t="s">
        <v>382</v>
      </c>
      <c r="N201" s="220" t="s">
        <v>199</v>
      </c>
      <c r="O201" s="214"/>
      <c r="P201" s="222"/>
      <c r="Q201" s="222"/>
      <c r="R201" s="223"/>
      <c r="S201" s="223"/>
      <c r="T201" s="222"/>
      <c r="U201" s="214"/>
      <c r="V201" s="222"/>
      <c r="W201" s="223"/>
      <c r="X201" s="222"/>
      <c r="Y201" s="214"/>
      <c r="Z201" s="222"/>
      <c r="AA201" s="223"/>
      <c r="AB201" s="222"/>
      <c r="AC201" s="214"/>
      <c r="AD201" s="222"/>
      <c r="AE201" s="222"/>
    </row>
    <row r="202" spans="1:31" ht="48">
      <c r="A202" s="23"/>
      <c r="B202" s="215">
        <f>SUBTOTAL(103,$C$11:C202)</f>
        <v>192</v>
      </c>
      <c r="C202" s="215">
        <f>测试大纲!$A$13</f>
        <v>3</v>
      </c>
      <c r="D202" s="216" t="s">
        <v>159</v>
      </c>
      <c r="E202" s="228" t="s">
        <v>153</v>
      </c>
      <c r="F202" s="236"/>
      <c r="G202" s="218" t="str">
        <f>$D$9 &amp; "-"&amp;测试大纲!I$15&amp;"-"&amp;TEXT(SUBTOTAL(103,$C$191:C202),"000")</f>
        <v>Web-ZGZT-012</v>
      </c>
      <c r="H202" s="219" t="s">
        <v>337</v>
      </c>
      <c r="I202" s="219" t="s">
        <v>165</v>
      </c>
      <c r="J202" s="220" t="s">
        <v>719</v>
      </c>
      <c r="K202" s="217" t="s">
        <v>997</v>
      </c>
      <c r="L202" s="215" t="s">
        <v>933</v>
      </c>
      <c r="M202" s="215" t="s">
        <v>721</v>
      </c>
      <c r="N202" s="220" t="s">
        <v>716</v>
      </c>
      <c r="O202" s="214"/>
      <c r="P202" s="222"/>
      <c r="Q202" s="222"/>
      <c r="R202" s="223"/>
      <c r="S202" s="223"/>
      <c r="T202" s="222"/>
      <c r="U202" s="214"/>
      <c r="V202" s="222"/>
      <c r="W202" s="223"/>
      <c r="X202" s="222"/>
      <c r="Y202" s="214"/>
      <c r="Z202" s="222"/>
      <c r="AA202" s="223"/>
      <c r="AB202" s="222"/>
      <c r="AC202" s="214"/>
      <c r="AD202" s="222"/>
      <c r="AE202" s="222"/>
    </row>
    <row r="203" spans="1:31" ht="48">
      <c r="A203" s="23"/>
      <c r="B203" s="215">
        <f>SUBTOTAL(103,$C$11:C203)</f>
        <v>193</v>
      </c>
      <c r="C203" s="215">
        <f>测试大纲!$A$13</f>
        <v>3</v>
      </c>
      <c r="D203" s="216" t="s">
        <v>159</v>
      </c>
      <c r="E203" s="228" t="s">
        <v>153</v>
      </c>
      <c r="F203" s="236"/>
      <c r="G203" s="218" t="str">
        <f>$D$9 &amp; "-"&amp;测试大纲!I$15&amp;"-"&amp;TEXT(SUBTOTAL(103,$C$191:C203),"000")</f>
        <v>Web-ZGZT-013</v>
      </c>
      <c r="H203" s="219" t="s">
        <v>337</v>
      </c>
      <c r="I203" s="219" t="s">
        <v>165</v>
      </c>
      <c r="J203" s="220" t="s">
        <v>720</v>
      </c>
      <c r="K203" s="217" t="s">
        <v>997</v>
      </c>
      <c r="L203" s="215" t="s">
        <v>933</v>
      </c>
      <c r="M203" s="215" t="s">
        <v>722</v>
      </c>
      <c r="N203" s="220" t="s">
        <v>716</v>
      </c>
      <c r="O203" s="214"/>
      <c r="P203" s="222"/>
      <c r="Q203" s="222"/>
      <c r="R203" s="223"/>
      <c r="S203" s="223"/>
      <c r="T203" s="222"/>
      <c r="U203" s="214"/>
      <c r="V203" s="222"/>
      <c r="W203" s="223"/>
      <c r="X203" s="222"/>
      <c r="Y203" s="214"/>
      <c r="Z203" s="222"/>
      <c r="AA203" s="223"/>
      <c r="AB203" s="222"/>
      <c r="AC203" s="214"/>
      <c r="AD203" s="222"/>
      <c r="AE203" s="222"/>
    </row>
    <row r="204" spans="1:31" customFormat="1" ht="48">
      <c r="A204" s="23"/>
      <c r="B204" s="215">
        <f>SUBTOTAL(103,$C$11:C204)</f>
        <v>194</v>
      </c>
      <c r="C204" s="215">
        <f>测试大纲!$A$13</f>
        <v>3</v>
      </c>
      <c r="D204" s="216" t="s">
        <v>159</v>
      </c>
      <c r="E204" s="228" t="s">
        <v>153</v>
      </c>
      <c r="F204" s="236"/>
      <c r="G204" s="218" t="str">
        <f>$D$9 &amp; "-"&amp;测试大纲!I$15&amp;"-"&amp;TEXT(SUBTOTAL(103,$C$191:C204),"000")</f>
        <v>Web-ZGZT-014</v>
      </c>
      <c r="H204" s="219" t="s">
        <v>337</v>
      </c>
      <c r="I204" s="219" t="s">
        <v>165</v>
      </c>
      <c r="J204" s="220" t="s">
        <v>724</v>
      </c>
      <c r="K204" s="217" t="s">
        <v>997</v>
      </c>
      <c r="L204" s="215" t="s">
        <v>933</v>
      </c>
      <c r="M204" s="215" t="s">
        <v>723</v>
      </c>
      <c r="N204" s="220" t="s">
        <v>716</v>
      </c>
      <c r="O204" s="214"/>
      <c r="P204" s="222"/>
      <c r="Q204" s="222"/>
      <c r="R204" s="223"/>
      <c r="S204" s="223"/>
      <c r="T204" s="222"/>
      <c r="U204" s="214"/>
      <c r="V204" s="222"/>
      <c r="W204" s="223"/>
      <c r="X204" s="222"/>
      <c r="Y204" s="214"/>
      <c r="Z204" s="222"/>
      <c r="AA204" s="223"/>
      <c r="AB204" s="222"/>
      <c r="AC204" s="214"/>
      <c r="AD204" s="222"/>
      <c r="AE204" s="222"/>
    </row>
    <row r="205" spans="1:31" ht="36">
      <c r="A205" s="23"/>
      <c r="B205" s="215">
        <f>SUBTOTAL(103,$C$11:C205)</f>
        <v>195</v>
      </c>
      <c r="C205" s="215">
        <f>测试大纲!$A$13</f>
        <v>3</v>
      </c>
      <c r="D205" s="216" t="s">
        <v>159</v>
      </c>
      <c r="E205" s="228" t="s">
        <v>153</v>
      </c>
      <c r="F205" s="236"/>
      <c r="G205" s="218" t="str">
        <f>$D$9 &amp; "-"&amp;测试大纲!I$15&amp;"-"&amp;TEXT(SUBTOTAL(103,$C$191:C205),"000")</f>
        <v>Web-ZGZT-015</v>
      </c>
      <c r="H205" s="219" t="s">
        <v>337</v>
      </c>
      <c r="I205" s="219" t="s">
        <v>62</v>
      </c>
      <c r="J205" s="220" t="s">
        <v>170</v>
      </c>
      <c r="K205" s="217" t="s">
        <v>999</v>
      </c>
      <c r="L205" s="230" t="s">
        <v>168</v>
      </c>
      <c r="M205" s="218"/>
      <c r="N205" s="220" t="s">
        <v>176</v>
      </c>
      <c r="O205" s="214"/>
      <c r="P205" s="222"/>
      <c r="Q205" s="222"/>
      <c r="R205" s="223"/>
      <c r="S205" s="223"/>
      <c r="T205" s="222"/>
      <c r="U205" s="214"/>
      <c r="V205" s="222"/>
      <c r="W205" s="223"/>
      <c r="X205" s="222"/>
      <c r="Y205" s="214"/>
      <c r="Z205" s="222"/>
      <c r="AA205" s="223"/>
      <c r="AB205" s="222"/>
      <c r="AC205" s="214"/>
      <c r="AD205" s="222"/>
      <c r="AE205" s="222"/>
    </row>
    <row r="206" spans="1:31" ht="36">
      <c r="A206" s="23"/>
      <c r="B206" s="215">
        <f>SUBTOTAL(103,$C$11:C206)</f>
        <v>196</v>
      </c>
      <c r="C206" s="215">
        <f>测试大纲!$A$13</f>
        <v>3</v>
      </c>
      <c r="D206" s="216" t="s">
        <v>159</v>
      </c>
      <c r="E206" s="228" t="s">
        <v>153</v>
      </c>
      <c r="F206" s="236"/>
      <c r="G206" s="218" t="str">
        <f>$D$9 &amp; "-"&amp;测试大纲!I$15&amp;"-"&amp;TEXT(SUBTOTAL(103,$C$191:C206),"000")</f>
        <v>Web-ZGZT-016</v>
      </c>
      <c r="H206" s="219" t="s">
        <v>337</v>
      </c>
      <c r="I206" s="219" t="s">
        <v>62</v>
      </c>
      <c r="J206" s="220" t="s">
        <v>169</v>
      </c>
      <c r="K206" s="217" t="s">
        <v>999</v>
      </c>
      <c r="L206" s="230" t="s">
        <v>171</v>
      </c>
      <c r="M206" s="234" t="s">
        <v>389</v>
      </c>
      <c r="N206" s="220" t="s">
        <v>176</v>
      </c>
      <c r="O206" s="214"/>
      <c r="P206" s="222"/>
      <c r="Q206" s="222"/>
      <c r="R206" s="223"/>
      <c r="S206" s="223"/>
      <c r="T206" s="222"/>
      <c r="U206" s="214"/>
      <c r="V206" s="222"/>
      <c r="W206" s="223"/>
      <c r="X206" s="222"/>
      <c r="Y206" s="214"/>
      <c r="Z206" s="222"/>
      <c r="AA206" s="223"/>
      <c r="AB206" s="222"/>
      <c r="AC206" s="214"/>
      <c r="AD206" s="222"/>
      <c r="AE206" s="222"/>
    </row>
    <row r="207" spans="1:31" ht="36">
      <c r="A207" s="23"/>
      <c r="B207" s="215">
        <f>SUBTOTAL(103,$C$11:C207)</f>
        <v>197</v>
      </c>
      <c r="C207" s="215">
        <f>测试大纲!$A$13</f>
        <v>3</v>
      </c>
      <c r="D207" s="216" t="s">
        <v>159</v>
      </c>
      <c r="E207" s="228" t="s">
        <v>153</v>
      </c>
      <c r="F207" s="236"/>
      <c r="G207" s="218" t="str">
        <f>$D$9 &amp; "-"&amp;测试大纲!I$15&amp;"-"&amp;TEXT(SUBTOTAL(103,$C$191:C207),"000")</f>
        <v>Web-ZGZT-017</v>
      </c>
      <c r="H207" s="219" t="s">
        <v>337</v>
      </c>
      <c r="I207" s="219" t="s">
        <v>62</v>
      </c>
      <c r="J207" s="220" t="s">
        <v>172</v>
      </c>
      <c r="K207" s="217" t="s">
        <v>999</v>
      </c>
      <c r="L207" s="230" t="s">
        <v>173</v>
      </c>
      <c r="M207" s="230"/>
      <c r="N207" s="220" t="s">
        <v>177</v>
      </c>
      <c r="O207" s="214"/>
      <c r="P207" s="222"/>
      <c r="Q207" s="222"/>
      <c r="R207" s="223"/>
      <c r="S207" s="223"/>
      <c r="T207" s="222"/>
      <c r="U207" s="214"/>
      <c r="V207" s="222"/>
      <c r="W207" s="223"/>
      <c r="X207" s="222"/>
      <c r="Y207" s="214"/>
      <c r="Z207" s="222"/>
      <c r="AA207" s="223"/>
      <c r="AB207" s="222"/>
      <c r="AC207" s="214"/>
      <c r="AD207" s="222"/>
      <c r="AE207" s="222"/>
    </row>
    <row r="208" spans="1:31" ht="36">
      <c r="A208" s="23"/>
      <c r="B208" s="215">
        <f>SUBTOTAL(103,$C$11:C208)</f>
        <v>198</v>
      </c>
      <c r="C208" s="215">
        <f>测试大纲!$A$13</f>
        <v>3</v>
      </c>
      <c r="D208" s="216" t="s">
        <v>159</v>
      </c>
      <c r="E208" s="228" t="s">
        <v>153</v>
      </c>
      <c r="F208" s="236"/>
      <c r="G208" s="218" t="str">
        <f>$D$9 &amp; "-"&amp;测试大纲!I$15&amp;"-"&amp;TEXT(SUBTOTAL(103,$C$191:C208),"000")</f>
        <v>Web-ZGZT-018</v>
      </c>
      <c r="H208" s="219" t="s">
        <v>337</v>
      </c>
      <c r="I208" s="219" t="s">
        <v>62</v>
      </c>
      <c r="J208" s="220" t="s">
        <v>174</v>
      </c>
      <c r="K208" s="217" t="s">
        <v>999</v>
      </c>
      <c r="L208" s="230" t="s">
        <v>175</v>
      </c>
      <c r="M208" s="230"/>
      <c r="N208" s="220" t="s">
        <v>178</v>
      </c>
      <c r="O208" s="214"/>
      <c r="P208" s="222"/>
      <c r="Q208" s="222"/>
      <c r="R208" s="223"/>
      <c r="S208" s="223"/>
      <c r="T208" s="222"/>
      <c r="U208" s="214"/>
      <c r="V208" s="222"/>
      <c r="W208" s="223"/>
      <c r="X208" s="222"/>
      <c r="Y208" s="214"/>
      <c r="Z208" s="222"/>
      <c r="AA208" s="223"/>
      <c r="AB208" s="222"/>
      <c r="AC208" s="214"/>
      <c r="AD208" s="222"/>
      <c r="AE208" s="222"/>
    </row>
    <row r="209" spans="1:31" ht="36">
      <c r="A209" s="23"/>
      <c r="B209" s="215">
        <f>SUBTOTAL(103,$C$11:C209)</f>
        <v>199</v>
      </c>
      <c r="C209" s="215">
        <f>测试大纲!$A$13</f>
        <v>3</v>
      </c>
      <c r="D209" s="216" t="s">
        <v>159</v>
      </c>
      <c r="E209" s="228" t="s">
        <v>153</v>
      </c>
      <c r="F209" s="236"/>
      <c r="G209" s="218" t="str">
        <f>$D$9 &amp; "-"&amp;测试大纲!I$15&amp;"-"&amp;TEXT(SUBTOTAL(103,$C$191:C209),"000")</f>
        <v>Web-ZGZT-019</v>
      </c>
      <c r="H209" s="219" t="s">
        <v>337</v>
      </c>
      <c r="I209" s="219" t="s">
        <v>165</v>
      </c>
      <c r="J209" s="220" t="s">
        <v>591</v>
      </c>
      <c r="K209" s="225" t="s">
        <v>999</v>
      </c>
      <c r="L209" s="215" t="s">
        <v>171</v>
      </c>
      <c r="M209" s="234" t="s">
        <v>388</v>
      </c>
      <c r="N209" s="220" t="s">
        <v>210</v>
      </c>
      <c r="O209" s="214"/>
      <c r="P209" s="222"/>
      <c r="Q209" s="222"/>
      <c r="R209" s="223"/>
      <c r="S209" s="223"/>
      <c r="T209" s="222"/>
      <c r="U209" s="214"/>
      <c r="V209" s="222"/>
      <c r="W209" s="223"/>
      <c r="X209" s="222"/>
      <c r="Y209" s="214"/>
      <c r="Z209" s="222"/>
      <c r="AA209" s="223"/>
      <c r="AB209" s="222"/>
      <c r="AC209" s="214"/>
      <c r="AD209" s="222"/>
      <c r="AE209" s="222"/>
    </row>
    <row r="210" spans="1:31" ht="36">
      <c r="A210" s="23"/>
      <c r="B210" s="215">
        <f>SUBTOTAL(103,$C$11:C210)</f>
        <v>200</v>
      </c>
      <c r="C210" s="215">
        <f>测试大纲!$A$13</f>
        <v>3</v>
      </c>
      <c r="D210" s="216" t="s">
        <v>159</v>
      </c>
      <c r="E210" s="228" t="s">
        <v>153</v>
      </c>
      <c r="F210" s="218"/>
      <c r="G210" s="218" t="str">
        <f>$D$9 &amp; "-"&amp;测试大纲!I$15&amp;"-"&amp;TEXT(SUBTOTAL(103,$C$191:C210),"000")</f>
        <v>Web-ZGZT-020</v>
      </c>
      <c r="H210" s="238" t="s">
        <v>337</v>
      </c>
      <c r="I210" s="219" t="s">
        <v>62</v>
      </c>
      <c r="J210" s="220" t="s">
        <v>432</v>
      </c>
      <c r="K210" s="225" t="s">
        <v>999</v>
      </c>
      <c r="L210" s="230"/>
      <c r="M210" s="231"/>
      <c r="N210" s="220" t="s">
        <v>433</v>
      </c>
      <c r="O210" s="214"/>
      <c r="P210" s="222"/>
      <c r="Q210" s="222"/>
      <c r="R210" s="223"/>
      <c r="S210" s="223"/>
      <c r="T210" s="222"/>
      <c r="U210" s="214"/>
      <c r="V210" s="222"/>
      <c r="W210" s="223"/>
      <c r="X210" s="222"/>
      <c r="Y210" s="214"/>
      <c r="Z210" s="222"/>
      <c r="AA210" s="223"/>
      <c r="AB210" s="222"/>
      <c r="AC210" s="214"/>
      <c r="AD210" s="222"/>
      <c r="AE210" s="222"/>
    </row>
    <row r="211" spans="1:31" ht="36">
      <c r="A211" s="23"/>
      <c r="B211" s="215">
        <f>SUBTOTAL(103,$C$11:C211)</f>
        <v>201</v>
      </c>
      <c r="C211" s="215">
        <f>测试大纲!$A$13</f>
        <v>3</v>
      </c>
      <c r="D211" s="216" t="s">
        <v>159</v>
      </c>
      <c r="E211" s="228" t="s">
        <v>153</v>
      </c>
      <c r="F211" s="218"/>
      <c r="G211" s="218" t="str">
        <f>$D$9 &amp; "-"&amp;测试大纲!I$15&amp;"-"&amp;TEXT(SUBTOTAL(103,$C$191:C211),"000")</f>
        <v>Web-ZGZT-021</v>
      </c>
      <c r="H211" s="219" t="s">
        <v>337</v>
      </c>
      <c r="I211" s="219" t="s">
        <v>62</v>
      </c>
      <c r="J211" s="220" t="s">
        <v>434</v>
      </c>
      <c r="K211" s="225" t="s">
        <v>999</v>
      </c>
      <c r="L211" s="225" t="s">
        <v>415</v>
      </c>
      <c r="M211" s="231"/>
      <c r="N211" s="220" t="s">
        <v>433</v>
      </c>
      <c r="O211" s="214"/>
      <c r="P211" s="222"/>
      <c r="Q211" s="222"/>
      <c r="R211" s="223"/>
      <c r="S211" s="223"/>
      <c r="T211" s="222"/>
      <c r="U211" s="214"/>
      <c r="V211" s="222"/>
      <c r="W211" s="223"/>
      <c r="X211" s="222"/>
      <c r="Y211" s="214"/>
      <c r="Z211" s="222"/>
      <c r="AA211" s="223"/>
      <c r="AB211" s="222"/>
      <c r="AC211" s="214"/>
      <c r="AD211" s="222"/>
      <c r="AE211" s="222"/>
    </row>
    <row r="212" spans="1:31" ht="36">
      <c r="A212" s="23"/>
      <c r="B212" s="215">
        <f>SUBTOTAL(103,$C$11:C212)</f>
        <v>202</v>
      </c>
      <c r="C212" s="215">
        <f>测试大纲!$A$13</f>
        <v>3</v>
      </c>
      <c r="D212" s="216" t="s">
        <v>159</v>
      </c>
      <c r="E212" s="228" t="s">
        <v>153</v>
      </c>
      <c r="F212" s="218"/>
      <c r="G212" s="218" t="str">
        <f>$D$9 &amp; "-"&amp;测试大纲!I$15&amp;"-"&amp;TEXT(SUBTOTAL(103,$C$191:C212),"000")</f>
        <v>Web-ZGZT-022</v>
      </c>
      <c r="H212" s="219" t="s">
        <v>337</v>
      </c>
      <c r="I212" s="219" t="s">
        <v>62</v>
      </c>
      <c r="J212" s="220" t="s">
        <v>435</v>
      </c>
      <c r="K212" s="225" t="s">
        <v>999</v>
      </c>
      <c r="L212" s="225" t="s">
        <v>436</v>
      </c>
      <c r="M212" s="225" t="s">
        <v>437</v>
      </c>
      <c r="N212" s="220" t="s">
        <v>438</v>
      </c>
      <c r="O212" s="214"/>
      <c r="P212" s="222"/>
      <c r="Q212" s="222"/>
      <c r="R212" s="223"/>
      <c r="S212" s="223"/>
      <c r="T212" s="222"/>
      <c r="U212" s="214"/>
      <c r="V212" s="222"/>
      <c r="W212" s="223"/>
      <c r="X212" s="222"/>
      <c r="Y212" s="214"/>
      <c r="Z212" s="222"/>
      <c r="AA212" s="223"/>
      <c r="AB212" s="222"/>
      <c r="AC212" s="214"/>
      <c r="AD212" s="222"/>
      <c r="AE212" s="222"/>
    </row>
    <row r="213" spans="1:31" ht="36">
      <c r="A213" s="23"/>
      <c r="B213" s="215">
        <f>SUBTOTAL(103,$C$11:C213)</f>
        <v>203</v>
      </c>
      <c r="C213" s="215">
        <f>测试大纲!$A$13</f>
        <v>3</v>
      </c>
      <c r="D213" s="224" t="s">
        <v>159</v>
      </c>
      <c r="E213" s="228" t="s">
        <v>153</v>
      </c>
      <c r="F213" s="215"/>
      <c r="G213" s="218" t="str">
        <f>$D$9 &amp; "-"&amp;测试大纲!I$15&amp;"-"&amp;TEXT(SUBTOTAL(103,$C$191:C213),"000")</f>
        <v>Web-ZGZT-023</v>
      </c>
      <c r="H213" s="219" t="s">
        <v>337</v>
      </c>
      <c r="I213" s="219" t="s">
        <v>62</v>
      </c>
      <c r="J213" s="220" t="s">
        <v>595</v>
      </c>
      <c r="K213" s="225" t="s">
        <v>999</v>
      </c>
      <c r="L213" s="215" t="s">
        <v>476</v>
      </c>
      <c r="M213" s="215"/>
      <c r="N213" s="220" t="s">
        <v>477</v>
      </c>
      <c r="O213" s="214"/>
      <c r="P213" s="222"/>
      <c r="Q213" s="222"/>
      <c r="R213" s="223"/>
      <c r="S213" s="223"/>
      <c r="T213" s="222"/>
      <c r="U213" s="214"/>
      <c r="V213" s="222"/>
      <c r="W213" s="223"/>
      <c r="X213" s="222"/>
      <c r="Y213" s="214"/>
      <c r="Z213" s="222"/>
      <c r="AA213" s="223"/>
      <c r="AB213" s="222"/>
      <c r="AC213" s="214"/>
      <c r="AD213" s="222"/>
      <c r="AE213" s="222"/>
    </row>
    <row r="214" spans="1:31" ht="48">
      <c r="A214" s="23"/>
      <c r="B214" s="215">
        <f>SUBTOTAL(103,$C$11:C214)</f>
        <v>204</v>
      </c>
      <c r="C214" s="215">
        <f>测试大纲!$A$13</f>
        <v>3</v>
      </c>
      <c r="D214" s="224" t="s">
        <v>159</v>
      </c>
      <c r="E214" s="228" t="s">
        <v>153</v>
      </c>
      <c r="F214" s="215"/>
      <c r="G214" s="218" t="str">
        <f>$D$9 &amp; "-"&amp;测试大纲!I$15&amp;"-"&amp;TEXT(SUBTOTAL(103,$C$191:C214),"000")</f>
        <v>Web-ZGZT-024</v>
      </c>
      <c r="H214" s="219" t="s">
        <v>337</v>
      </c>
      <c r="I214" s="219" t="s">
        <v>62</v>
      </c>
      <c r="J214" s="220" t="s">
        <v>596</v>
      </c>
      <c r="K214" s="225" t="s">
        <v>999</v>
      </c>
      <c r="L214" s="215" t="s">
        <v>930</v>
      </c>
      <c r="M214" s="215" t="s">
        <v>480</v>
      </c>
      <c r="N214" s="220" t="s">
        <v>481</v>
      </c>
      <c r="O214" s="214"/>
      <c r="P214" s="222"/>
      <c r="Q214" s="222"/>
      <c r="R214" s="223"/>
      <c r="S214" s="223"/>
      <c r="T214" s="222"/>
      <c r="U214" s="214"/>
      <c r="V214" s="222"/>
      <c r="W214" s="223"/>
      <c r="X214" s="222"/>
      <c r="Y214" s="214"/>
      <c r="Z214" s="222"/>
      <c r="AA214" s="223"/>
      <c r="AB214" s="222"/>
      <c r="AC214" s="214"/>
      <c r="AD214" s="222"/>
      <c r="AE214" s="222"/>
    </row>
    <row r="215" spans="1:31" ht="24">
      <c r="A215" s="23"/>
      <c r="B215" s="215">
        <f>SUBTOTAL(103,$C$11:C215)</f>
        <v>205</v>
      </c>
      <c r="C215" s="215">
        <f>测试大纲!$A$13</f>
        <v>3</v>
      </c>
      <c r="D215" s="224" t="s">
        <v>159</v>
      </c>
      <c r="E215" s="228" t="s">
        <v>153</v>
      </c>
      <c r="F215" s="215"/>
      <c r="G215" s="218" t="str">
        <f>$D$9 &amp; "-"&amp;测试大纲!I$15&amp;"-"&amp;TEXT(SUBTOTAL(103,$C$191:C215),"000")</f>
        <v>Web-ZGZT-025</v>
      </c>
      <c r="H215" s="219" t="s">
        <v>340</v>
      </c>
      <c r="I215" s="219" t="s">
        <v>165</v>
      </c>
      <c r="J215" s="220" t="s">
        <v>584</v>
      </c>
      <c r="K215" s="217" t="s">
        <v>997</v>
      </c>
      <c r="L215" s="215" t="s">
        <v>770</v>
      </c>
      <c r="M215" s="215" t="s">
        <v>531</v>
      </c>
      <c r="N215" s="220" t="s">
        <v>461</v>
      </c>
      <c r="O215" s="214"/>
      <c r="P215" s="222"/>
      <c r="Q215" s="222"/>
      <c r="R215" s="223"/>
      <c r="S215" s="223"/>
      <c r="T215" s="222"/>
      <c r="U215" s="214"/>
      <c r="V215" s="222"/>
      <c r="W215" s="223"/>
      <c r="X215" s="222"/>
      <c r="Y215" s="214"/>
      <c r="Z215" s="222"/>
      <c r="AA215" s="223"/>
      <c r="AB215" s="222"/>
      <c r="AC215" s="214"/>
      <c r="AD215" s="222"/>
      <c r="AE215" s="222"/>
    </row>
    <row r="216" spans="1:31" ht="24">
      <c r="A216" s="23"/>
      <c r="B216" s="215">
        <f>SUBTOTAL(103,$C$11:C216)</f>
        <v>206</v>
      </c>
      <c r="C216" s="215">
        <f>测试大纲!$A$13</f>
        <v>3</v>
      </c>
      <c r="D216" s="224" t="s">
        <v>159</v>
      </c>
      <c r="E216" s="228" t="s">
        <v>153</v>
      </c>
      <c r="F216" s="215"/>
      <c r="G216" s="218" t="str">
        <f>$D$9 &amp; "-"&amp;测试大纲!I$15&amp;"-"&amp;TEXT(SUBTOTAL(103,$C$191:C216),"000")</f>
        <v>Web-ZGZT-026</v>
      </c>
      <c r="H216" s="219" t="s">
        <v>340</v>
      </c>
      <c r="I216" s="219" t="s">
        <v>165</v>
      </c>
      <c r="J216" s="220" t="s">
        <v>585</v>
      </c>
      <c r="K216" s="217" t="s">
        <v>997</v>
      </c>
      <c r="L216" s="215" t="s">
        <v>770</v>
      </c>
      <c r="M216" s="215" t="s">
        <v>530</v>
      </c>
      <c r="N216" s="220" t="s">
        <v>461</v>
      </c>
      <c r="O216" s="214"/>
      <c r="P216" s="222"/>
      <c r="Q216" s="222"/>
      <c r="R216" s="223"/>
      <c r="S216" s="223"/>
      <c r="T216" s="222"/>
      <c r="U216" s="214"/>
      <c r="V216" s="222"/>
      <c r="W216" s="223"/>
      <c r="X216" s="222"/>
      <c r="Y216" s="214"/>
      <c r="Z216" s="222"/>
      <c r="AA216" s="223"/>
      <c r="AB216" s="222"/>
      <c r="AC216" s="214"/>
      <c r="AD216" s="222"/>
      <c r="AE216" s="222"/>
    </row>
    <row r="217" spans="1:31" ht="24">
      <c r="A217" s="23"/>
      <c r="B217" s="215">
        <f>SUBTOTAL(103,$C$11:C217)</f>
        <v>207</v>
      </c>
      <c r="C217" s="215">
        <f>测试大纲!$A$13</f>
        <v>3</v>
      </c>
      <c r="D217" s="224" t="s">
        <v>159</v>
      </c>
      <c r="E217" s="228" t="s">
        <v>153</v>
      </c>
      <c r="F217" s="215"/>
      <c r="G217" s="218" t="str">
        <f>$D$9 &amp; "-"&amp;测试大纲!I$15&amp;"-"&amp;TEXT(SUBTOTAL(103,$C$191:C217),"000")</f>
        <v>Web-ZGZT-027</v>
      </c>
      <c r="H217" s="219" t="s">
        <v>340</v>
      </c>
      <c r="I217" s="219" t="s">
        <v>165</v>
      </c>
      <c r="J217" s="220" t="s">
        <v>586</v>
      </c>
      <c r="K217" s="217" t="s">
        <v>997</v>
      </c>
      <c r="L217" s="215" t="s">
        <v>770</v>
      </c>
      <c r="M217" s="215" t="s">
        <v>532</v>
      </c>
      <c r="N217" s="220" t="s">
        <v>461</v>
      </c>
      <c r="O217" s="214"/>
      <c r="P217" s="222"/>
      <c r="Q217" s="222"/>
      <c r="R217" s="223"/>
      <c r="S217" s="223"/>
      <c r="T217" s="222"/>
      <c r="U217" s="214"/>
      <c r="V217" s="222"/>
      <c r="W217" s="223"/>
      <c r="X217" s="222"/>
      <c r="Y217" s="214"/>
      <c r="Z217" s="222"/>
      <c r="AA217" s="223"/>
      <c r="AB217" s="222"/>
      <c r="AC217" s="214"/>
      <c r="AD217" s="222"/>
      <c r="AE217" s="222"/>
    </row>
    <row r="218" spans="1:31" ht="24">
      <c r="A218" s="23"/>
      <c r="B218" s="215">
        <f>SUBTOTAL(103,$C$11:C218)</f>
        <v>208</v>
      </c>
      <c r="C218" s="215">
        <f>测试大纲!$A$13</f>
        <v>3</v>
      </c>
      <c r="D218" s="224" t="s">
        <v>159</v>
      </c>
      <c r="E218" s="228" t="s">
        <v>153</v>
      </c>
      <c r="F218" s="215"/>
      <c r="G218" s="218" t="str">
        <f>$D$9 &amp; "-"&amp;测试大纲!I$15&amp;"-"&amp;TEXT(SUBTOTAL(103,$C$191:C218),"000")</f>
        <v>Web-ZGZT-028</v>
      </c>
      <c r="H218" s="219" t="s">
        <v>337</v>
      </c>
      <c r="I218" s="219" t="s">
        <v>62</v>
      </c>
      <c r="J218" s="220" t="s">
        <v>725</v>
      </c>
      <c r="K218" s="217" t="s">
        <v>997</v>
      </c>
      <c r="L218" s="215" t="s">
        <v>330</v>
      </c>
      <c r="M218" s="215" t="s">
        <v>390</v>
      </c>
      <c r="N218" s="220" t="s">
        <v>475</v>
      </c>
      <c r="O218" s="214"/>
      <c r="P218" s="222"/>
      <c r="Q218" s="222"/>
      <c r="R218" s="223"/>
      <c r="S218" s="223"/>
      <c r="T218" s="222"/>
      <c r="U218" s="214"/>
      <c r="V218" s="222"/>
      <c r="W218" s="223"/>
      <c r="X218" s="222"/>
      <c r="Y218" s="214"/>
      <c r="Z218" s="222"/>
      <c r="AA218" s="223"/>
      <c r="AB218" s="222"/>
      <c r="AC218" s="214"/>
      <c r="AD218" s="222"/>
      <c r="AE218" s="222"/>
    </row>
    <row r="219" spans="1:31" ht="24">
      <c r="A219" s="23"/>
      <c r="B219" s="215">
        <f>SUBTOTAL(103,$C$11:C219)</f>
        <v>209</v>
      </c>
      <c r="C219" s="215">
        <f>测试大纲!$A$13</f>
        <v>3</v>
      </c>
      <c r="D219" s="216" t="s">
        <v>159</v>
      </c>
      <c r="E219" s="228" t="s">
        <v>153</v>
      </c>
      <c r="F219" s="236"/>
      <c r="G219" s="218" t="str">
        <f>$D$9 &amp; "-"&amp;测试大纲!I$15&amp;"-"&amp;TEXT(SUBTOTAL(103,$C$191:C219),"000")</f>
        <v>Web-ZGZT-029</v>
      </c>
      <c r="H219" s="219" t="s">
        <v>337</v>
      </c>
      <c r="I219" s="219" t="s">
        <v>62</v>
      </c>
      <c r="J219" s="220" t="s">
        <v>164</v>
      </c>
      <c r="K219" s="217" t="s">
        <v>997</v>
      </c>
      <c r="L219" s="228" t="s">
        <v>194</v>
      </c>
      <c r="M219" s="234" t="s">
        <v>353</v>
      </c>
      <c r="N219" s="220" t="s">
        <v>196</v>
      </c>
      <c r="O219" s="214"/>
      <c r="P219" s="222"/>
      <c r="Q219" s="222"/>
      <c r="R219" s="223"/>
      <c r="S219" s="223"/>
      <c r="T219" s="222"/>
      <c r="U219" s="214"/>
      <c r="V219" s="222"/>
      <c r="W219" s="223"/>
      <c r="X219" s="222"/>
      <c r="Y219" s="214"/>
      <c r="Z219" s="222"/>
      <c r="AA219" s="223"/>
      <c r="AB219" s="222"/>
      <c r="AC219" s="214"/>
      <c r="AD219" s="222"/>
      <c r="AE219" s="222"/>
    </row>
    <row r="220" spans="1:31" ht="36">
      <c r="A220" s="23"/>
      <c r="B220" s="215">
        <f>SUBTOTAL(103,$C$11:C220)</f>
        <v>210</v>
      </c>
      <c r="C220" s="215">
        <f>测试大纲!$A$13</f>
        <v>3</v>
      </c>
      <c r="D220" s="216" t="s">
        <v>159</v>
      </c>
      <c r="E220" s="228" t="s">
        <v>153</v>
      </c>
      <c r="F220" s="236"/>
      <c r="G220" s="218" t="str">
        <f>$D$9 &amp; "-"&amp;测试大纲!I$15&amp;"-"&amp;TEXT(SUBTOTAL(103,$C$191:C220),"000")</f>
        <v>Web-ZGZT-030</v>
      </c>
      <c r="H220" s="219" t="s">
        <v>337</v>
      </c>
      <c r="I220" s="219" t="s">
        <v>62</v>
      </c>
      <c r="J220" s="220" t="s">
        <v>386</v>
      </c>
      <c r="K220" s="217" t="s">
        <v>997</v>
      </c>
      <c r="L220" s="225" t="s">
        <v>411</v>
      </c>
      <c r="M220" s="225" t="s">
        <v>410</v>
      </c>
      <c r="N220" s="220" t="s">
        <v>384</v>
      </c>
      <c r="O220" s="214"/>
      <c r="P220" s="222"/>
      <c r="Q220" s="222"/>
      <c r="R220" s="223"/>
      <c r="S220" s="223"/>
      <c r="T220" s="222"/>
      <c r="U220" s="214"/>
      <c r="V220" s="222"/>
      <c r="W220" s="223"/>
      <c r="X220" s="222"/>
      <c r="Y220" s="214"/>
      <c r="Z220" s="222"/>
      <c r="AA220" s="223"/>
      <c r="AB220" s="222"/>
      <c r="AC220" s="214"/>
      <c r="AD220" s="222"/>
      <c r="AE220" s="222"/>
    </row>
    <row r="221" spans="1:31" ht="36">
      <c r="A221" s="23"/>
      <c r="B221" s="215">
        <f>SUBTOTAL(103,$C$11:C221)</f>
        <v>211</v>
      </c>
      <c r="C221" s="215">
        <f>测试大纲!$A$13</f>
        <v>3</v>
      </c>
      <c r="D221" s="216" t="s">
        <v>159</v>
      </c>
      <c r="E221" s="228" t="s">
        <v>153</v>
      </c>
      <c r="F221" s="236"/>
      <c r="G221" s="218" t="str">
        <f>$D$9 &amp; "-"&amp;测试大纲!I$15&amp;"-"&amp;TEXT(SUBTOTAL(103,$C$191:C221),"000")</f>
        <v>Web-ZGZT-031</v>
      </c>
      <c r="H221" s="219" t="s">
        <v>337</v>
      </c>
      <c r="I221" s="219" t="s">
        <v>62</v>
      </c>
      <c r="J221" s="220" t="s">
        <v>387</v>
      </c>
      <c r="K221" s="217" t="s">
        <v>997</v>
      </c>
      <c r="L221" s="225" t="s">
        <v>411</v>
      </c>
      <c r="M221" s="225" t="s">
        <v>410</v>
      </c>
      <c r="N221" s="220" t="s">
        <v>385</v>
      </c>
      <c r="O221" s="214"/>
      <c r="P221" s="222"/>
      <c r="Q221" s="222"/>
      <c r="R221" s="223"/>
      <c r="S221" s="223"/>
      <c r="T221" s="222"/>
      <c r="U221" s="214"/>
      <c r="V221" s="222"/>
      <c r="W221" s="223"/>
      <c r="X221" s="222"/>
      <c r="Y221" s="214"/>
      <c r="Z221" s="222"/>
      <c r="AA221" s="223"/>
      <c r="AB221" s="222"/>
      <c r="AC221" s="214"/>
      <c r="AD221" s="222"/>
      <c r="AE221" s="222"/>
    </row>
    <row r="222" spans="1:31" ht="48">
      <c r="A222" s="23"/>
      <c r="B222" s="215">
        <f>SUBTOTAL(103,$C$11:C222)</f>
        <v>212</v>
      </c>
      <c r="C222" s="215">
        <f>测试大纲!$A$13</f>
        <v>3</v>
      </c>
      <c r="D222" s="216" t="s">
        <v>159</v>
      </c>
      <c r="E222" s="228" t="s">
        <v>153</v>
      </c>
      <c r="F222" s="236"/>
      <c r="G222" s="218" t="str">
        <f>$D$9 &amp; "-"&amp;测试大纲!I$15&amp;"-"&amp;TEXT(SUBTOTAL(103,$C$191:C222),"000")</f>
        <v>Web-ZGZT-032</v>
      </c>
      <c r="H222" s="219" t="s">
        <v>337</v>
      </c>
      <c r="I222" s="219" t="s">
        <v>62</v>
      </c>
      <c r="J222" s="220" t="s">
        <v>203</v>
      </c>
      <c r="K222" s="217" t="s">
        <v>997</v>
      </c>
      <c r="L222" s="225" t="s">
        <v>411</v>
      </c>
      <c r="M222" s="225" t="s">
        <v>410</v>
      </c>
      <c r="N222" s="220" t="s">
        <v>201</v>
      </c>
      <c r="O222" s="214"/>
      <c r="P222" s="222"/>
      <c r="Q222" s="222"/>
      <c r="R222" s="223"/>
      <c r="S222" s="223"/>
      <c r="T222" s="222"/>
      <c r="U222" s="214"/>
      <c r="V222" s="222"/>
      <c r="W222" s="223"/>
      <c r="X222" s="222"/>
      <c r="Y222" s="214"/>
      <c r="Z222" s="222"/>
      <c r="AA222" s="223"/>
      <c r="AB222" s="222"/>
      <c r="AC222" s="214"/>
      <c r="AD222" s="222"/>
      <c r="AE222" s="222"/>
    </row>
    <row r="223" spans="1:31" ht="48">
      <c r="A223" s="23"/>
      <c r="B223" s="215">
        <f>SUBTOTAL(103,$C$11:C223)</f>
        <v>213</v>
      </c>
      <c r="C223" s="215">
        <f>测试大纲!$A$13</f>
        <v>3</v>
      </c>
      <c r="D223" s="216" t="s">
        <v>159</v>
      </c>
      <c r="E223" s="228" t="s">
        <v>153</v>
      </c>
      <c r="F223" s="236"/>
      <c r="G223" s="218" t="str">
        <f>$D$9 &amp; "-"&amp;测试大纲!I$15&amp;"-"&amp;TEXT(SUBTOTAL(103,$C$191:C223),"000")</f>
        <v>Web-ZGZT-033</v>
      </c>
      <c r="H223" s="219" t="s">
        <v>337</v>
      </c>
      <c r="I223" s="219" t="s">
        <v>62</v>
      </c>
      <c r="J223" s="220" t="s">
        <v>202</v>
      </c>
      <c r="K223" s="217" t="s">
        <v>997</v>
      </c>
      <c r="L223" s="225" t="s">
        <v>411</v>
      </c>
      <c r="M223" s="225" t="s">
        <v>410</v>
      </c>
      <c r="N223" s="220" t="s">
        <v>204</v>
      </c>
      <c r="O223" s="214"/>
      <c r="P223" s="222"/>
      <c r="Q223" s="222"/>
      <c r="R223" s="223"/>
      <c r="S223" s="223"/>
      <c r="T223" s="222"/>
      <c r="U223" s="214"/>
      <c r="V223" s="222"/>
      <c r="W223" s="223"/>
      <c r="X223" s="222"/>
      <c r="Y223" s="214"/>
      <c r="Z223" s="222"/>
      <c r="AA223" s="223"/>
      <c r="AB223" s="222"/>
      <c r="AC223" s="214"/>
      <c r="AD223" s="222"/>
      <c r="AE223" s="222"/>
    </row>
    <row r="224" spans="1:31" ht="36">
      <c r="A224" s="23"/>
      <c r="B224" s="215">
        <f>SUBTOTAL(103,$C$11:C224)</f>
        <v>214</v>
      </c>
      <c r="C224" s="215">
        <f>测试大纲!$A$13</f>
        <v>3</v>
      </c>
      <c r="D224" s="216" t="s">
        <v>159</v>
      </c>
      <c r="E224" s="228" t="s">
        <v>153</v>
      </c>
      <c r="F224" s="236"/>
      <c r="G224" s="218" t="str">
        <f>$D$9 &amp; "-"&amp;测试大纲!I$15&amp;"-"&amp;TEXT(SUBTOTAL(103,$C$191:C224),"000")</f>
        <v>Web-ZGZT-034</v>
      </c>
      <c r="H224" s="219" t="s">
        <v>337</v>
      </c>
      <c r="I224" s="219" t="s">
        <v>62</v>
      </c>
      <c r="J224" s="220" t="s">
        <v>205</v>
      </c>
      <c r="K224" s="217" t="s">
        <v>997</v>
      </c>
      <c r="L224" s="225" t="s">
        <v>411</v>
      </c>
      <c r="M224" s="225" t="s">
        <v>410</v>
      </c>
      <c r="N224" s="220" t="s">
        <v>206</v>
      </c>
      <c r="O224" s="214"/>
      <c r="P224" s="222"/>
      <c r="Q224" s="222"/>
      <c r="R224" s="223"/>
      <c r="S224" s="223"/>
      <c r="T224" s="222"/>
      <c r="U224" s="214"/>
      <c r="V224" s="222"/>
      <c r="W224" s="223"/>
      <c r="X224" s="222"/>
      <c r="Y224" s="214"/>
      <c r="Z224" s="222"/>
      <c r="AA224" s="223"/>
      <c r="AB224" s="222"/>
      <c r="AC224" s="214"/>
      <c r="AD224" s="222"/>
      <c r="AE224" s="222"/>
    </row>
    <row r="225" spans="1:31" ht="36">
      <c r="A225" s="23"/>
      <c r="B225" s="215">
        <f>SUBTOTAL(103,$C$11:C225)</f>
        <v>215</v>
      </c>
      <c r="C225" s="215">
        <f>测试大纲!$A$13</f>
        <v>3</v>
      </c>
      <c r="D225" s="216" t="s">
        <v>159</v>
      </c>
      <c r="E225" s="228" t="s">
        <v>153</v>
      </c>
      <c r="F225" s="236"/>
      <c r="G225" s="218" t="str">
        <f>$D$9 &amp; "-"&amp;测试大纲!I$15&amp;"-"&amp;TEXT(SUBTOTAL(103,$C$191:C225),"000")</f>
        <v>Web-ZGZT-035</v>
      </c>
      <c r="H225" s="219" t="s">
        <v>337</v>
      </c>
      <c r="I225" s="219" t="s">
        <v>62</v>
      </c>
      <c r="J225" s="220" t="s">
        <v>211</v>
      </c>
      <c r="K225" s="217" t="s">
        <v>997</v>
      </c>
      <c r="L225" s="231" t="s">
        <v>212</v>
      </c>
      <c r="M225" s="228"/>
      <c r="N225" s="220" t="s">
        <v>213</v>
      </c>
      <c r="O225" s="214"/>
      <c r="P225" s="222"/>
      <c r="Q225" s="222"/>
      <c r="R225" s="223"/>
      <c r="S225" s="223"/>
      <c r="T225" s="222"/>
      <c r="U225" s="214"/>
      <c r="V225" s="222"/>
      <c r="W225" s="223"/>
      <c r="X225" s="222"/>
      <c r="Y225" s="214"/>
      <c r="Z225" s="222"/>
      <c r="AA225" s="223"/>
      <c r="AB225" s="222"/>
      <c r="AC225" s="214"/>
      <c r="AD225" s="222"/>
      <c r="AE225" s="222"/>
    </row>
    <row r="226" spans="1:31" ht="24">
      <c r="A226" s="23"/>
      <c r="B226" s="215">
        <f>SUBTOTAL(103,$C$11:C226)</f>
        <v>216</v>
      </c>
      <c r="C226" s="215">
        <f>测试大纲!$A$13</f>
        <v>3</v>
      </c>
      <c r="D226" s="216" t="s">
        <v>159</v>
      </c>
      <c r="E226" s="228" t="s">
        <v>153</v>
      </c>
      <c r="F226" s="236"/>
      <c r="G226" s="218" t="str">
        <f>$D$9 &amp; "-"&amp;测试大纲!I$15&amp;"-"&amp;TEXT(SUBTOTAL(103,$C$191:C226),"000")</f>
        <v>Web-ZGZT-036</v>
      </c>
      <c r="H226" s="219" t="s">
        <v>340</v>
      </c>
      <c r="I226" s="219" t="s">
        <v>165</v>
      </c>
      <c r="J226" s="220" t="s">
        <v>408</v>
      </c>
      <c r="K226" s="217" t="s">
        <v>997</v>
      </c>
      <c r="L226" s="225" t="s">
        <v>409</v>
      </c>
      <c r="M226" s="228"/>
      <c r="N226" s="220" t="s">
        <v>412</v>
      </c>
      <c r="O226" s="214"/>
      <c r="P226" s="222"/>
      <c r="Q226" s="222"/>
      <c r="R226" s="223"/>
      <c r="S226" s="223"/>
      <c r="T226" s="222"/>
      <c r="U226" s="214"/>
      <c r="V226" s="222"/>
      <c r="W226" s="223"/>
      <c r="X226" s="222"/>
      <c r="Y226" s="214"/>
      <c r="Z226" s="222"/>
      <c r="AA226" s="223"/>
      <c r="AB226" s="222"/>
      <c r="AC226" s="214"/>
      <c r="AD226" s="222"/>
      <c r="AE226" s="222"/>
    </row>
    <row r="227" spans="1:31" ht="48">
      <c r="A227" s="23"/>
      <c r="B227" s="215">
        <f>SUBTOTAL(103,$C$11:C227)</f>
        <v>217</v>
      </c>
      <c r="C227" s="215">
        <f>测试大纲!$A$13</f>
        <v>3</v>
      </c>
      <c r="D227" s="216" t="s">
        <v>159</v>
      </c>
      <c r="E227" s="228" t="s">
        <v>153</v>
      </c>
      <c r="F227" s="236"/>
      <c r="G227" s="218" t="str">
        <f>$D$9 &amp; "-"&amp;测试大纲!I$15&amp;"-"&amp;TEXT(SUBTOTAL(103,$C$191:C227),"000")</f>
        <v>Web-ZGZT-037</v>
      </c>
      <c r="H227" s="219" t="s">
        <v>337</v>
      </c>
      <c r="I227" s="219" t="s">
        <v>62</v>
      </c>
      <c r="J227" s="220" t="s">
        <v>236</v>
      </c>
      <c r="K227" s="217" t="s">
        <v>997</v>
      </c>
      <c r="L227" s="227" t="s">
        <v>238</v>
      </c>
      <c r="M227" s="227" t="s">
        <v>237</v>
      </c>
      <c r="N227" s="220" t="s">
        <v>239</v>
      </c>
      <c r="O227" s="214"/>
      <c r="P227" s="222"/>
      <c r="Q227" s="222"/>
      <c r="R227" s="223"/>
      <c r="S227" s="223"/>
      <c r="T227" s="222"/>
      <c r="U227" s="214"/>
      <c r="V227" s="222"/>
      <c r="W227" s="223"/>
      <c r="X227" s="222"/>
      <c r="Y227" s="214"/>
      <c r="Z227" s="222"/>
      <c r="AA227" s="223"/>
      <c r="AB227" s="222"/>
      <c r="AC227" s="214"/>
      <c r="AD227" s="222"/>
      <c r="AE227" s="222"/>
    </row>
    <row r="228" spans="1:31" ht="72">
      <c r="A228" s="23"/>
      <c r="B228" s="215">
        <f>SUBTOTAL(103,$C$11:C228)</f>
        <v>218</v>
      </c>
      <c r="C228" s="215">
        <f>测试大纲!$A$13</f>
        <v>3</v>
      </c>
      <c r="D228" s="224" t="s">
        <v>159</v>
      </c>
      <c r="E228" s="228" t="s">
        <v>207</v>
      </c>
      <c r="F228" s="215"/>
      <c r="G228" s="218" t="str">
        <f>$D$9 &amp; "-"&amp;测试大纲!I$16&amp;"-"&amp;TEXT(SUBTOTAL(103,$C$228:C228),"000")</f>
        <v>Web-FZCX-001</v>
      </c>
      <c r="H228" s="219" t="s">
        <v>337</v>
      </c>
      <c r="I228" s="219" t="s">
        <v>62</v>
      </c>
      <c r="J228" s="220" t="s">
        <v>726</v>
      </c>
      <c r="K228" s="217" t="s">
        <v>1000</v>
      </c>
      <c r="L228" s="221"/>
      <c r="M228" s="215"/>
      <c r="N228" s="221" t="s">
        <v>728</v>
      </c>
      <c r="O228" s="214"/>
      <c r="P228" s="222"/>
      <c r="Q228" s="222"/>
      <c r="R228" s="223"/>
      <c r="S228" s="223"/>
      <c r="T228" s="222"/>
      <c r="U228" s="214"/>
      <c r="V228" s="222"/>
      <c r="W228" s="223"/>
      <c r="X228" s="222"/>
      <c r="Y228" s="214"/>
      <c r="Z228" s="222"/>
      <c r="AA228" s="223"/>
      <c r="AB228" s="222"/>
      <c r="AC228" s="214"/>
      <c r="AD228" s="222"/>
      <c r="AE228" s="222"/>
    </row>
    <row r="229" spans="1:31" ht="36">
      <c r="A229" s="23"/>
      <c r="B229" s="215">
        <f>SUBTOTAL(103,$C$11:C229)</f>
        <v>219</v>
      </c>
      <c r="C229" s="215">
        <f>测试大纲!$A$13</f>
        <v>3</v>
      </c>
      <c r="D229" s="224" t="s">
        <v>159</v>
      </c>
      <c r="E229" s="228" t="s">
        <v>207</v>
      </c>
      <c r="F229" s="215"/>
      <c r="G229" s="218" t="str">
        <f>$D$9 &amp; "-"&amp;测试大纲!I$16&amp;"-"&amp;TEXT(SUBTOTAL(103,$C$228:C229),"000")</f>
        <v>Web-FZCX-002</v>
      </c>
      <c r="H229" s="219" t="s">
        <v>337</v>
      </c>
      <c r="I229" s="219" t="s">
        <v>62</v>
      </c>
      <c r="J229" s="220" t="s">
        <v>727</v>
      </c>
      <c r="K229" s="217" t="s">
        <v>1000</v>
      </c>
      <c r="L229" s="215"/>
      <c r="M229" s="215"/>
      <c r="N229" s="220" t="s">
        <v>520</v>
      </c>
      <c r="O229" s="214"/>
      <c r="P229" s="222"/>
      <c r="Q229" s="222"/>
      <c r="R229" s="223"/>
      <c r="S229" s="223"/>
      <c r="T229" s="222"/>
      <c r="U229" s="214"/>
      <c r="V229" s="222"/>
      <c r="W229" s="223"/>
      <c r="X229" s="222"/>
      <c r="Y229" s="214"/>
      <c r="Z229" s="222"/>
      <c r="AA229" s="223"/>
      <c r="AB229" s="222"/>
      <c r="AC229" s="214"/>
      <c r="AD229" s="222"/>
      <c r="AE229" s="222"/>
    </row>
    <row r="230" spans="1:31" ht="24">
      <c r="A230" s="23"/>
      <c r="B230" s="215">
        <f>SUBTOTAL(103,$C$11:C230)</f>
        <v>220</v>
      </c>
      <c r="C230" s="215">
        <f>测试大纲!$A$13</f>
        <v>3</v>
      </c>
      <c r="D230" s="224" t="s">
        <v>159</v>
      </c>
      <c r="E230" s="228" t="s">
        <v>207</v>
      </c>
      <c r="F230" s="215"/>
      <c r="G230" s="218" t="str">
        <f>$D$9 &amp; "-"&amp;测试大纲!I$16&amp;"-"&amp;TEXT(SUBTOTAL(103,$C$228:C230),"000")</f>
        <v>Web-FZCX-003</v>
      </c>
      <c r="H230" s="219" t="s">
        <v>337</v>
      </c>
      <c r="I230" s="219" t="s">
        <v>62</v>
      </c>
      <c r="J230" s="220" t="s">
        <v>729</v>
      </c>
      <c r="K230" s="217" t="s">
        <v>1000</v>
      </c>
      <c r="L230" s="215" t="s">
        <v>730</v>
      </c>
      <c r="M230" s="215"/>
      <c r="N230" s="220" t="s">
        <v>731</v>
      </c>
      <c r="O230" s="214"/>
      <c r="P230" s="222"/>
      <c r="Q230" s="222"/>
      <c r="R230" s="223"/>
      <c r="S230" s="223"/>
      <c r="T230" s="222"/>
      <c r="U230" s="214"/>
      <c r="V230" s="222"/>
      <c r="W230" s="223"/>
      <c r="X230" s="222"/>
      <c r="Y230" s="214"/>
      <c r="Z230" s="222"/>
      <c r="AA230" s="223"/>
      <c r="AB230" s="222"/>
      <c r="AC230" s="214"/>
      <c r="AD230" s="222"/>
      <c r="AE230" s="222"/>
    </row>
    <row r="231" spans="1:31" ht="24">
      <c r="A231" s="23"/>
      <c r="B231" s="215">
        <f>SUBTOTAL(103,$C$11:C231)</f>
        <v>221</v>
      </c>
      <c r="C231" s="215">
        <f>测试大纲!$A$13</f>
        <v>3</v>
      </c>
      <c r="D231" s="224" t="s">
        <v>159</v>
      </c>
      <c r="E231" s="228" t="s">
        <v>207</v>
      </c>
      <c r="F231" s="215"/>
      <c r="G231" s="218" t="str">
        <f>$D$9 &amp; "-"&amp;测试大纲!I$16&amp;"-"&amp;TEXT(SUBTOTAL(103,$C$228:C231),"000")</f>
        <v>Web-FZCX-004</v>
      </c>
      <c r="H231" s="219" t="s">
        <v>340</v>
      </c>
      <c r="I231" s="219" t="s">
        <v>62</v>
      </c>
      <c r="J231" s="220" t="s">
        <v>826</v>
      </c>
      <c r="K231" s="217" t="s">
        <v>1000</v>
      </c>
      <c r="L231" s="215" t="s">
        <v>330</v>
      </c>
      <c r="M231" s="215" t="s">
        <v>827</v>
      </c>
      <c r="N231" s="220" t="s">
        <v>828</v>
      </c>
      <c r="O231" s="214"/>
      <c r="P231" s="222"/>
      <c r="Q231" s="222"/>
      <c r="R231" s="223"/>
      <c r="S231" s="223"/>
      <c r="T231" s="222"/>
      <c r="U231" s="214"/>
      <c r="V231" s="222"/>
      <c r="W231" s="223"/>
      <c r="X231" s="222"/>
      <c r="Y231" s="214"/>
      <c r="Z231" s="222"/>
      <c r="AA231" s="223"/>
      <c r="AB231" s="222"/>
      <c r="AC231" s="214"/>
      <c r="AD231" s="222"/>
      <c r="AE231" s="222"/>
    </row>
    <row r="232" spans="1:31" ht="24">
      <c r="A232" s="23"/>
      <c r="B232" s="215">
        <f>SUBTOTAL(103,$C$11:C232)</f>
        <v>222</v>
      </c>
      <c r="C232" s="215">
        <f>测试大纲!$A$13</f>
        <v>3</v>
      </c>
      <c r="D232" s="216" t="s">
        <v>159</v>
      </c>
      <c r="E232" s="228" t="s">
        <v>207</v>
      </c>
      <c r="F232" s="236"/>
      <c r="G232" s="218" t="str">
        <f>$D$9 &amp; "-"&amp;测试大纲!I$16&amp;"-"&amp;TEXT(SUBTOTAL(103,$C$228:C232),"000")</f>
        <v>Web-FZCX-005</v>
      </c>
      <c r="H232" s="219" t="s">
        <v>337</v>
      </c>
      <c r="I232" s="219" t="s">
        <v>62</v>
      </c>
      <c r="J232" s="220" t="s">
        <v>164</v>
      </c>
      <c r="K232" s="217" t="s">
        <v>1000</v>
      </c>
      <c r="L232" s="228" t="s">
        <v>194</v>
      </c>
      <c r="M232" s="234" t="s">
        <v>353</v>
      </c>
      <c r="N232" s="220" t="s">
        <v>196</v>
      </c>
      <c r="O232" s="214"/>
      <c r="P232" s="222"/>
      <c r="Q232" s="222"/>
      <c r="R232" s="223"/>
      <c r="S232" s="223"/>
      <c r="T232" s="222"/>
      <c r="U232" s="214"/>
      <c r="V232" s="222"/>
      <c r="W232" s="223"/>
      <c r="X232" s="222"/>
      <c r="Y232" s="214"/>
      <c r="Z232" s="222"/>
      <c r="AA232" s="223"/>
      <c r="AB232" s="222"/>
      <c r="AC232" s="214"/>
      <c r="AD232" s="222"/>
      <c r="AE232" s="222"/>
    </row>
    <row r="233" spans="1:31" ht="24">
      <c r="A233" s="23"/>
      <c r="B233" s="215">
        <f>SUBTOTAL(103,$C$11:C233)</f>
        <v>223</v>
      </c>
      <c r="C233" s="215">
        <f>测试大纲!$A$13</f>
        <v>3</v>
      </c>
      <c r="D233" s="224" t="s">
        <v>159</v>
      </c>
      <c r="E233" s="228" t="s">
        <v>207</v>
      </c>
      <c r="F233" s="215"/>
      <c r="G233" s="218" t="str">
        <f>$D$9 &amp; "-"&amp;测试大纲!I$16&amp;"-"&amp;TEXT(SUBTOTAL(103,$C$228:C233),"000")</f>
        <v>Web-FZCX-006</v>
      </c>
      <c r="H233" s="219" t="s">
        <v>340</v>
      </c>
      <c r="I233" s="219" t="s">
        <v>165</v>
      </c>
      <c r="J233" s="220" t="s">
        <v>584</v>
      </c>
      <c r="K233" s="217" t="s">
        <v>1000</v>
      </c>
      <c r="L233" s="215" t="s">
        <v>770</v>
      </c>
      <c r="M233" s="215" t="s">
        <v>531</v>
      </c>
      <c r="N233" s="220" t="s">
        <v>461</v>
      </c>
      <c r="O233" s="214"/>
      <c r="P233" s="222"/>
      <c r="Q233" s="222"/>
      <c r="R233" s="223"/>
      <c r="S233" s="223"/>
      <c r="T233" s="222"/>
      <c r="U233" s="214"/>
      <c r="V233" s="222"/>
      <c r="W233" s="223"/>
      <c r="X233" s="222"/>
      <c r="Y233" s="214"/>
      <c r="Z233" s="222"/>
      <c r="AA233" s="223"/>
      <c r="AB233" s="222"/>
      <c r="AC233" s="214"/>
      <c r="AD233" s="222"/>
      <c r="AE233" s="222"/>
    </row>
    <row r="234" spans="1:31" ht="24">
      <c r="A234" s="23"/>
      <c r="B234" s="215">
        <f>SUBTOTAL(103,$C$11:C234)</f>
        <v>224</v>
      </c>
      <c r="C234" s="215">
        <f>测试大纲!$A$13</f>
        <v>3</v>
      </c>
      <c r="D234" s="224" t="s">
        <v>159</v>
      </c>
      <c r="E234" s="228" t="s">
        <v>207</v>
      </c>
      <c r="F234" s="215"/>
      <c r="G234" s="218" t="str">
        <f>$D$9 &amp; "-"&amp;测试大纲!I$16&amp;"-"&amp;TEXT(SUBTOTAL(103,$C$228:C234),"000")</f>
        <v>Web-FZCX-007</v>
      </c>
      <c r="H234" s="219" t="s">
        <v>340</v>
      </c>
      <c r="I234" s="219" t="s">
        <v>165</v>
      </c>
      <c r="J234" s="220" t="s">
        <v>585</v>
      </c>
      <c r="K234" s="217" t="s">
        <v>1000</v>
      </c>
      <c r="L234" s="215" t="s">
        <v>770</v>
      </c>
      <c r="M234" s="215" t="s">
        <v>530</v>
      </c>
      <c r="N234" s="220" t="s">
        <v>461</v>
      </c>
      <c r="O234" s="214"/>
      <c r="P234" s="222"/>
      <c r="Q234" s="222"/>
      <c r="R234" s="223"/>
      <c r="S234" s="223"/>
      <c r="T234" s="222"/>
      <c r="U234" s="214"/>
      <c r="V234" s="222"/>
      <c r="W234" s="223"/>
      <c r="X234" s="222"/>
      <c r="Y234" s="214"/>
      <c r="Z234" s="222"/>
      <c r="AA234" s="223"/>
      <c r="AB234" s="222"/>
      <c r="AC234" s="214"/>
      <c r="AD234" s="222"/>
      <c r="AE234" s="222"/>
    </row>
    <row r="235" spans="1:31" ht="24">
      <c r="A235" s="23"/>
      <c r="B235" s="215">
        <f>SUBTOTAL(103,$C$11:C235)</f>
        <v>225</v>
      </c>
      <c r="C235" s="215">
        <f>测试大纲!$A$13</f>
        <v>3</v>
      </c>
      <c r="D235" s="224" t="s">
        <v>159</v>
      </c>
      <c r="E235" s="228" t="s">
        <v>207</v>
      </c>
      <c r="F235" s="215"/>
      <c r="G235" s="218" t="str">
        <f>$D$9 &amp; "-"&amp;测试大纲!I$16&amp;"-"&amp;TEXT(SUBTOTAL(103,$C$228:C235),"000")</f>
        <v>Web-FZCX-008</v>
      </c>
      <c r="H235" s="219" t="s">
        <v>340</v>
      </c>
      <c r="I235" s="219" t="s">
        <v>165</v>
      </c>
      <c r="J235" s="220" t="s">
        <v>586</v>
      </c>
      <c r="K235" s="217" t="s">
        <v>1000</v>
      </c>
      <c r="L235" s="215" t="s">
        <v>770</v>
      </c>
      <c r="M235" s="215" t="s">
        <v>532</v>
      </c>
      <c r="N235" s="220" t="s">
        <v>461</v>
      </c>
      <c r="O235" s="214"/>
      <c r="P235" s="222"/>
      <c r="Q235" s="222"/>
      <c r="R235" s="223"/>
      <c r="S235" s="223"/>
      <c r="T235" s="222"/>
      <c r="U235" s="214"/>
      <c r="V235" s="222"/>
      <c r="W235" s="223"/>
      <c r="X235" s="222"/>
      <c r="Y235" s="214"/>
      <c r="Z235" s="222"/>
      <c r="AA235" s="223"/>
      <c r="AB235" s="222"/>
      <c r="AC235" s="214"/>
      <c r="AD235" s="222"/>
      <c r="AE235" s="222"/>
    </row>
    <row r="236" spans="1:31" ht="24">
      <c r="A236" s="23"/>
      <c r="B236" s="215">
        <f>SUBTOTAL(103,$C$11:C236)</f>
        <v>226</v>
      </c>
      <c r="C236" s="215">
        <f>测试大纲!$A$13</f>
        <v>3</v>
      </c>
      <c r="D236" s="216" t="s">
        <v>159</v>
      </c>
      <c r="E236" s="228" t="s">
        <v>207</v>
      </c>
      <c r="F236" s="236"/>
      <c r="G236" s="218" t="str">
        <f>$D$9 &amp; "-"&amp;测试大纲!I$16&amp;"-"&amp;TEXT(SUBTOTAL(103,$C$228:C236),"000")</f>
        <v>Web-FZCX-009</v>
      </c>
      <c r="H236" s="219" t="s">
        <v>338</v>
      </c>
      <c r="I236" s="219" t="s">
        <v>62</v>
      </c>
      <c r="J236" s="220" t="s">
        <v>209</v>
      </c>
      <c r="K236" s="217" t="s">
        <v>1000</v>
      </c>
      <c r="L236" s="215" t="s">
        <v>771</v>
      </c>
      <c r="M236" s="234" t="s">
        <v>390</v>
      </c>
      <c r="N236" s="220" t="s">
        <v>772</v>
      </c>
      <c r="O236" s="214"/>
      <c r="P236" s="222"/>
      <c r="Q236" s="222"/>
      <c r="R236" s="223"/>
      <c r="S236" s="223"/>
      <c r="T236" s="222"/>
      <c r="U236" s="214"/>
      <c r="V236" s="222"/>
      <c r="W236" s="223"/>
      <c r="X236" s="222"/>
      <c r="Y236" s="214"/>
      <c r="Z236" s="222"/>
      <c r="AA236" s="223"/>
      <c r="AB236" s="222"/>
      <c r="AC236" s="214"/>
      <c r="AD236" s="222"/>
      <c r="AE236" s="222"/>
    </row>
    <row r="237" spans="1:31" ht="36">
      <c r="A237" s="23"/>
      <c r="B237" s="215">
        <f>SUBTOTAL(103,$C$11:C237)</f>
        <v>227</v>
      </c>
      <c r="C237" s="215">
        <f>测试大纲!$A$13</f>
        <v>3</v>
      </c>
      <c r="D237" s="216" t="s">
        <v>159</v>
      </c>
      <c r="E237" s="228" t="s">
        <v>207</v>
      </c>
      <c r="F237" s="236"/>
      <c r="G237" s="218" t="str">
        <f>$D$9 &amp; "-"&amp;测试大纲!I$16&amp;"-"&amp;TEXT(SUBTOTAL(103,$C$228:C237),"000")</f>
        <v>Web-FZCX-010</v>
      </c>
      <c r="H237" s="219" t="s">
        <v>337</v>
      </c>
      <c r="I237" s="219" t="s">
        <v>62</v>
      </c>
      <c r="J237" s="220" t="s">
        <v>170</v>
      </c>
      <c r="K237" s="217" t="s">
        <v>1001</v>
      </c>
      <c r="L237" s="230" t="s">
        <v>168</v>
      </c>
      <c r="M237" s="218"/>
      <c r="N237" s="220" t="s">
        <v>176</v>
      </c>
      <c r="O237" s="214"/>
      <c r="P237" s="222"/>
      <c r="Q237" s="222"/>
      <c r="R237" s="223"/>
      <c r="S237" s="223"/>
      <c r="T237" s="222"/>
      <c r="U237" s="214"/>
      <c r="V237" s="222"/>
      <c r="W237" s="223"/>
      <c r="X237" s="222"/>
      <c r="Y237" s="214"/>
      <c r="Z237" s="222"/>
      <c r="AA237" s="223"/>
      <c r="AB237" s="222"/>
      <c r="AC237" s="214"/>
      <c r="AD237" s="222"/>
      <c r="AE237" s="222"/>
    </row>
    <row r="238" spans="1:31" ht="36">
      <c r="A238" s="23"/>
      <c r="B238" s="215">
        <f>SUBTOTAL(103,$C$11:C238)</f>
        <v>228</v>
      </c>
      <c r="C238" s="215">
        <f>测试大纲!$A$13</f>
        <v>3</v>
      </c>
      <c r="D238" s="216" t="s">
        <v>159</v>
      </c>
      <c r="E238" s="228" t="s">
        <v>207</v>
      </c>
      <c r="F238" s="236"/>
      <c r="G238" s="218" t="str">
        <f>$D$9 &amp; "-"&amp;测试大纲!I$16&amp;"-"&amp;TEXT(SUBTOTAL(103,$C$228:C238),"000")</f>
        <v>Web-FZCX-011</v>
      </c>
      <c r="H238" s="219" t="s">
        <v>337</v>
      </c>
      <c r="I238" s="219" t="s">
        <v>62</v>
      </c>
      <c r="J238" s="220" t="s">
        <v>169</v>
      </c>
      <c r="K238" s="217" t="s">
        <v>1001</v>
      </c>
      <c r="L238" s="230" t="s">
        <v>171</v>
      </c>
      <c r="M238" s="234" t="s">
        <v>389</v>
      </c>
      <c r="N238" s="220" t="s">
        <v>176</v>
      </c>
      <c r="O238" s="214"/>
      <c r="P238" s="222"/>
      <c r="Q238" s="222"/>
      <c r="R238" s="223"/>
      <c r="S238" s="223"/>
      <c r="T238" s="222"/>
      <c r="U238" s="214"/>
      <c r="V238" s="222"/>
      <c r="W238" s="223"/>
      <c r="X238" s="222"/>
      <c r="Y238" s="214"/>
      <c r="Z238" s="222"/>
      <c r="AA238" s="223"/>
      <c r="AB238" s="222"/>
      <c r="AC238" s="214"/>
      <c r="AD238" s="222"/>
      <c r="AE238" s="222"/>
    </row>
    <row r="239" spans="1:31" ht="36">
      <c r="A239" s="23"/>
      <c r="B239" s="215">
        <f>SUBTOTAL(103,$C$11:C239)</f>
        <v>229</v>
      </c>
      <c r="C239" s="215">
        <f>测试大纲!$A$13</f>
        <v>3</v>
      </c>
      <c r="D239" s="216" t="s">
        <v>159</v>
      </c>
      <c r="E239" s="228" t="s">
        <v>207</v>
      </c>
      <c r="F239" s="236"/>
      <c r="G239" s="218" t="str">
        <f>$D$9 &amp; "-"&amp;测试大纲!I$16&amp;"-"&amp;TEXT(SUBTOTAL(103,$C$228:C239),"000")</f>
        <v>Web-FZCX-012</v>
      </c>
      <c r="H239" s="219" t="s">
        <v>337</v>
      </c>
      <c r="I239" s="219" t="s">
        <v>62</v>
      </c>
      <c r="J239" s="220" t="s">
        <v>172</v>
      </c>
      <c r="K239" s="217" t="s">
        <v>1001</v>
      </c>
      <c r="L239" s="230" t="s">
        <v>173</v>
      </c>
      <c r="M239" s="230"/>
      <c r="N239" s="220" t="s">
        <v>177</v>
      </c>
      <c r="O239" s="214"/>
      <c r="P239" s="222"/>
      <c r="Q239" s="222"/>
      <c r="R239" s="223"/>
      <c r="S239" s="223"/>
      <c r="T239" s="222"/>
      <c r="U239" s="214"/>
      <c r="V239" s="222"/>
      <c r="W239" s="223"/>
      <c r="X239" s="222"/>
      <c r="Y239" s="214"/>
      <c r="Z239" s="222"/>
      <c r="AA239" s="223"/>
      <c r="AB239" s="222"/>
      <c r="AC239" s="214"/>
      <c r="AD239" s="222"/>
      <c r="AE239" s="222"/>
    </row>
    <row r="240" spans="1:31" ht="36">
      <c r="A240" s="23"/>
      <c r="B240" s="215">
        <f>SUBTOTAL(103,$C$11:C240)</f>
        <v>230</v>
      </c>
      <c r="C240" s="215">
        <f>测试大纲!$A$13</f>
        <v>3</v>
      </c>
      <c r="D240" s="216" t="s">
        <v>159</v>
      </c>
      <c r="E240" s="228" t="s">
        <v>207</v>
      </c>
      <c r="F240" s="236"/>
      <c r="G240" s="218" t="str">
        <f>$D$9 &amp; "-"&amp;测试大纲!I$16&amp;"-"&amp;TEXT(SUBTOTAL(103,$C$228:C240),"000")</f>
        <v>Web-FZCX-013</v>
      </c>
      <c r="H240" s="219" t="s">
        <v>337</v>
      </c>
      <c r="I240" s="219" t="s">
        <v>62</v>
      </c>
      <c r="J240" s="220" t="s">
        <v>174</v>
      </c>
      <c r="K240" s="217" t="s">
        <v>1001</v>
      </c>
      <c r="L240" s="230" t="s">
        <v>175</v>
      </c>
      <c r="M240" s="230"/>
      <c r="N240" s="220" t="s">
        <v>178</v>
      </c>
      <c r="O240" s="214"/>
      <c r="P240" s="222"/>
      <c r="Q240" s="222"/>
      <c r="R240" s="223"/>
      <c r="S240" s="223"/>
      <c r="T240" s="222"/>
      <c r="U240" s="214"/>
      <c r="V240" s="222"/>
      <c r="W240" s="223"/>
      <c r="X240" s="222"/>
      <c r="Y240" s="214"/>
      <c r="Z240" s="222"/>
      <c r="AA240" s="223"/>
      <c r="AB240" s="222"/>
      <c r="AC240" s="214"/>
      <c r="AD240" s="222"/>
      <c r="AE240" s="222"/>
    </row>
    <row r="241" spans="1:31" ht="36">
      <c r="A241" s="23"/>
      <c r="B241" s="215">
        <f>SUBTOTAL(103,$C$11:C241)</f>
        <v>231</v>
      </c>
      <c r="C241" s="215">
        <f>测试大纲!$A$13</f>
        <v>3</v>
      </c>
      <c r="D241" s="216" t="s">
        <v>159</v>
      </c>
      <c r="E241" s="228" t="s">
        <v>207</v>
      </c>
      <c r="F241" s="236"/>
      <c r="G241" s="218" t="str">
        <f>$D$9 &amp; "-"&amp;测试大纲!I$16&amp;"-"&amp;TEXT(SUBTOTAL(103,$C$228:C241),"000")</f>
        <v>Web-FZCX-014</v>
      </c>
      <c r="H241" s="219" t="s">
        <v>337</v>
      </c>
      <c r="I241" s="219" t="s">
        <v>165</v>
      </c>
      <c r="J241" s="220" t="s">
        <v>591</v>
      </c>
      <c r="K241" s="217" t="s">
        <v>1001</v>
      </c>
      <c r="L241" s="215" t="s">
        <v>171</v>
      </c>
      <c r="M241" s="234" t="s">
        <v>388</v>
      </c>
      <c r="N241" s="220" t="s">
        <v>210</v>
      </c>
      <c r="O241" s="214"/>
      <c r="P241" s="222"/>
      <c r="Q241" s="222"/>
      <c r="R241" s="223"/>
      <c r="S241" s="223"/>
      <c r="T241" s="222"/>
      <c r="U241" s="214"/>
      <c r="V241" s="222"/>
      <c r="W241" s="223"/>
      <c r="X241" s="222"/>
      <c r="Y241" s="214"/>
      <c r="Z241" s="222"/>
      <c r="AA241" s="223"/>
      <c r="AB241" s="222"/>
      <c r="AC241" s="214"/>
      <c r="AD241" s="222"/>
      <c r="AE241" s="222"/>
    </row>
    <row r="242" spans="1:31" ht="36">
      <c r="A242" s="23"/>
      <c r="B242" s="215">
        <f>SUBTOTAL(103,$C$11:C242)</f>
        <v>232</v>
      </c>
      <c r="C242" s="215">
        <f>测试大纲!$A$13</f>
        <v>3</v>
      </c>
      <c r="D242" s="216" t="s">
        <v>159</v>
      </c>
      <c r="E242" s="228" t="s">
        <v>207</v>
      </c>
      <c r="F242" s="218"/>
      <c r="G242" s="218" t="str">
        <f>$D$9 &amp; "-"&amp;测试大纲!I$16&amp;"-"&amp;TEXT(SUBTOTAL(103,$C$228:C242),"000")</f>
        <v>Web-FZCX-015</v>
      </c>
      <c r="H242" s="219" t="s">
        <v>337</v>
      </c>
      <c r="I242" s="219" t="s">
        <v>62</v>
      </c>
      <c r="J242" s="220" t="s">
        <v>432</v>
      </c>
      <c r="K242" s="217" t="s">
        <v>1001</v>
      </c>
      <c r="L242" s="230"/>
      <c r="M242" s="231"/>
      <c r="N242" s="220" t="s">
        <v>433</v>
      </c>
      <c r="O242" s="214"/>
      <c r="P242" s="222"/>
      <c r="Q242" s="222"/>
      <c r="R242" s="223"/>
      <c r="S242" s="223"/>
      <c r="T242" s="222"/>
      <c r="U242" s="214"/>
      <c r="V242" s="222"/>
      <c r="W242" s="223"/>
      <c r="X242" s="222"/>
      <c r="Y242" s="214"/>
      <c r="Z242" s="222"/>
      <c r="AA242" s="223"/>
      <c r="AB242" s="222"/>
      <c r="AC242" s="214"/>
      <c r="AD242" s="222"/>
      <c r="AE242" s="222"/>
    </row>
    <row r="243" spans="1:31" ht="36">
      <c r="A243" s="23"/>
      <c r="B243" s="215">
        <f>SUBTOTAL(103,$C$11:C243)</f>
        <v>233</v>
      </c>
      <c r="C243" s="215">
        <f>测试大纲!$A$13</f>
        <v>3</v>
      </c>
      <c r="D243" s="216" t="s">
        <v>159</v>
      </c>
      <c r="E243" s="228" t="s">
        <v>207</v>
      </c>
      <c r="F243" s="218"/>
      <c r="G243" s="218" t="str">
        <f>$D$9 &amp; "-"&amp;测试大纲!I$16&amp;"-"&amp;TEXT(SUBTOTAL(103,$C$228:C243),"000")</f>
        <v>Web-FZCX-016</v>
      </c>
      <c r="H243" s="219" t="s">
        <v>337</v>
      </c>
      <c r="I243" s="219" t="s">
        <v>62</v>
      </c>
      <c r="J243" s="220" t="s">
        <v>434</v>
      </c>
      <c r="K243" s="217" t="s">
        <v>1001</v>
      </c>
      <c r="L243" s="225" t="s">
        <v>415</v>
      </c>
      <c r="M243" s="231"/>
      <c r="N243" s="220" t="s">
        <v>433</v>
      </c>
      <c r="O243" s="214"/>
      <c r="P243" s="222"/>
      <c r="Q243" s="222"/>
      <c r="R243" s="223"/>
      <c r="S243" s="223"/>
      <c r="T243" s="222"/>
      <c r="U243" s="214"/>
      <c r="V243" s="222"/>
      <c r="W243" s="223"/>
      <c r="X243" s="222"/>
      <c r="Y243" s="214"/>
      <c r="Z243" s="222"/>
      <c r="AA243" s="223"/>
      <c r="AB243" s="222"/>
      <c r="AC243" s="214"/>
      <c r="AD243" s="222"/>
      <c r="AE243" s="222"/>
    </row>
    <row r="244" spans="1:31" ht="36">
      <c r="A244" s="23"/>
      <c r="B244" s="215">
        <f>SUBTOTAL(103,$C$11:C244)</f>
        <v>234</v>
      </c>
      <c r="C244" s="215">
        <f>测试大纲!$A$13</f>
        <v>3</v>
      </c>
      <c r="D244" s="216" t="s">
        <v>159</v>
      </c>
      <c r="E244" s="228" t="s">
        <v>207</v>
      </c>
      <c r="F244" s="218"/>
      <c r="G244" s="218" t="str">
        <f>$D$9 &amp; "-"&amp;测试大纲!I$16&amp;"-"&amp;TEXT(SUBTOTAL(103,$C$228:C244),"000")</f>
        <v>Web-FZCX-017</v>
      </c>
      <c r="H244" s="219" t="s">
        <v>337</v>
      </c>
      <c r="I244" s="219" t="s">
        <v>62</v>
      </c>
      <c r="J244" s="220" t="s">
        <v>435</v>
      </c>
      <c r="K244" s="217" t="s">
        <v>1001</v>
      </c>
      <c r="L244" s="225" t="s">
        <v>436</v>
      </c>
      <c r="M244" s="225" t="s">
        <v>437</v>
      </c>
      <c r="N244" s="220" t="s">
        <v>438</v>
      </c>
      <c r="O244" s="214"/>
      <c r="P244" s="222"/>
      <c r="Q244" s="222"/>
      <c r="R244" s="223"/>
      <c r="S244" s="223"/>
      <c r="T244" s="222"/>
      <c r="U244" s="214"/>
      <c r="V244" s="222"/>
      <c r="W244" s="223"/>
      <c r="X244" s="222"/>
      <c r="Y244" s="214"/>
      <c r="Z244" s="222"/>
      <c r="AA244" s="223"/>
      <c r="AB244" s="222"/>
      <c r="AC244" s="214"/>
      <c r="AD244" s="222"/>
      <c r="AE244" s="222"/>
    </row>
    <row r="245" spans="1:31" ht="36">
      <c r="A245" s="23"/>
      <c r="B245" s="215">
        <f>SUBTOTAL(103,$C$11:C245)</f>
        <v>235</v>
      </c>
      <c r="C245" s="215">
        <f>测试大纲!$A$13</f>
        <v>3</v>
      </c>
      <c r="D245" s="224" t="s">
        <v>159</v>
      </c>
      <c r="E245" s="228" t="s">
        <v>207</v>
      </c>
      <c r="F245" s="215"/>
      <c r="G245" s="218" t="str">
        <f>$D$9 &amp; "-"&amp;测试大纲!I$16&amp;"-"&amp;TEXT(SUBTOTAL(103,$C$228:C245),"000")</f>
        <v>Web-FZCX-018</v>
      </c>
      <c r="H245" s="219" t="s">
        <v>337</v>
      </c>
      <c r="I245" s="219" t="s">
        <v>62</v>
      </c>
      <c r="J245" s="220" t="s">
        <v>595</v>
      </c>
      <c r="K245" s="217" t="s">
        <v>1001</v>
      </c>
      <c r="L245" s="215" t="s">
        <v>476</v>
      </c>
      <c r="M245" s="215"/>
      <c r="N245" s="220" t="s">
        <v>477</v>
      </c>
      <c r="O245" s="214"/>
      <c r="P245" s="222"/>
      <c r="Q245" s="222"/>
      <c r="R245" s="223"/>
      <c r="S245" s="223"/>
      <c r="T245" s="222"/>
      <c r="U245" s="214"/>
      <c r="V245" s="222"/>
      <c r="W245" s="223"/>
      <c r="X245" s="222"/>
      <c r="Y245" s="214"/>
      <c r="Z245" s="222"/>
      <c r="AA245" s="223"/>
      <c r="AB245" s="222"/>
      <c r="AC245" s="214"/>
      <c r="AD245" s="222"/>
      <c r="AE245" s="222"/>
    </row>
    <row r="246" spans="1:31" ht="48">
      <c r="A246" s="23"/>
      <c r="B246" s="215">
        <f>SUBTOTAL(103,$C$11:C246)</f>
        <v>236</v>
      </c>
      <c r="C246" s="215">
        <f>测试大纲!$A$13</f>
        <v>3</v>
      </c>
      <c r="D246" s="224" t="s">
        <v>159</v>
      </c>
      <c r="E246" s="228" t="s">
        <v>207</v>
      </c>
      <c r="F246" s="215"/>
      <c r="G246" s="218" t="str">
        <f>$D$9 &amp; "-"&amp;测试大纲!I$16&amp;"-"&amp;TEXT(SUBTOTAL(103,$C$228:C246),"000")</f>
        <v>Web-FZCX-019</v>
      </c>
      <c r="H246" s="219" t="s">
        <v>337</v>
      </c>
      <c r="I246" s="219" t="s">
        <v>62</v>
      </c>
      <c r="J246" s="220" t="s">
        <v>596</v>
      </c>
      <c r="K246" s="217" t="s">
        <v>1001</v>
      </c>
      <c r="L246" s="215" t="s">
        <v>930</v>
      </c>
      <c r="M246" s="215" t="s">
        <v>480</v>
      </c>
      <c r="N246" s="220" t="s">
        <v>481</v>
      </c>
      <c r="O246" s="214"/>
      <c r="P246" s="222"/>
      <c r="Q246" s="222"/>
      <c r="R246" s="223"/>
      <c r="S246" s="223"/>
      <c r="T246" s="222"/>
      <c r="U246" s="214"/>
      <c r="V246" s="222"/>
      <c r="W246" s="223"/>
      <c r="X246" s="222"/>
      <c r="Y246" s="214"/>
      <c r="Z246" s="222"/>
      <c r="AA246" s="223"/>
      <c r="AB246" s="222"/>
      <c r="AC246" s="214"/>
      <c r="AD246" s="222"/>
      <c r="AE246" s="222"/>
    </row>
    <row r="247" spans="1:31" ht="36">
      <c r="A247" s="23"/>
      <c r="B247" s="215">
        <f>SUBTOTAL(103,$C$11:C247)</f>
        <v>237</v>
      </c>
      <c r="C247" s="215">
        <f>测试大纲!$A$13</f>
        <v>3</v>
      </c>
      <c r="D247" s="216" t="s">
        <v>159</v>
      </c>
      <c r="E247" s="228" t="s">
        <v>207</v>
      </c>
      <c r="F247" s="236"/>
      <c r="G247" s="218" t="str">
        <f>$D$9 &amp; "-"&amp;测试大纲!I$16&amp;"-"&amp;TEXT(SUBTOTAL(103,$C$228:C247),"000")</f>
        <v>Web-FZCX-020</v>
      </c>
      <c r="H247" s="219" t="s">
        <v>337</v>
      </c>
      <c r="I247" s="219" t="s">
        <v>62</v>
      </c>
      <c r="J247" s="220" t="s">
        <v>214</v>
      </c>
      <c r="K247" s="217" t="s">
        <v>1002</v>
      </c>
      <c r="L247" s="215"/>
      <c r="M247" s="215"/>
      <c r="N247" s="231" t="s">
        <v>215</v>
      </c>
      <c r="O247" s="214"/>
      <c r="P247" s="222"/>
      <c r="Q247" s="222"/>
      <c r="R247" s="223"/>
      <c r="S247" s="223"/>
      <c r="T247" s="222"/>
      <c r="U247" s="214"/>
      <c r="V247" s="222"/>
      <c r="W247" s="223"/>
      <c r="X247" s="222"/>
      <c r="Y247" s="214"/>
      <c r="Z247" s="222"/>
      <c r="AA247" s="223"/>
      <c r="AB247" s="222"/>
      <c r="AC247" s="214"/>
      <c r="AD247" s="222"/>
      <c r="AE247" s="222"/>
    </row>
    <row r="248" spans="1:31" ht="36">
      <c r="A248" s="23"/>
      <c r="B248" s="215">
        <f>SUBTOTAL(103,$C$11:C248)</f>
        <v>238</v>
      </c>
      <c r="C248" s="215">
        <f>测试大纲!$A$13</f>
        <v>3</v>
      </c>
      <c r="D248" s="216" t="s">
        <v>159</v>
      </c>
      <c r="E248" s="228" t="s">
        <v>207</v>
      </c>
      <c r="F248" s="236"/>
      <c r="G248" s="218" t="str">
        <f>$D$9 &amp; "-"&amp;测试大纲!I$16&amp;"-"&amp;TEXT(SUBTOTAL(103,$C$228:C248),"000")</f>
        <v>Web-FZCX-021</v>
      </c>
      <c r="H248" s="219" t="s">
        <v>337</v>
      </c>
      <c r="I248" s="219" t="s">
        <v>62</v>
      </c>
      <c r="J248" s="220" t="s">
        <v>214</v>
      </c>
      <c r="K248" s="217" t="s">
        <v>1003</v>
      </c>
      <c r="L248" s="215"/>
      <c r="M248" s="215"/>
      <c r="N248" s="231" t="s">
        <v>216</v>
      </c>
      <c r="O248" s="214"/>
      <c r="P248" s="222"/>
      <c r="Q248" s="222"/>
      <c r="R248" s="223"/>
      <c r="S248" s="223"/>
      <c r="T248" s="222"/>
      <c r="U248" s="214"/>
      <c r="V248" s="222"/>
      <c r="W248" s="223"/>
      <c r="X248" s="222"/>
      <c r="Y248" s="214"/>
      <c r="Z248" s="222"/>
      <c r="AA248" s="223"/>
      <c r="AB248" s="222"/>
      <c r="AC248" s="214"/>
      <c r="AD248" s="222"/>
      <c r="AE248" s="222"/>
    </row>
    <row r="249" spans="1:31" ht="24">
      <c r="A249" s="23"/>
      <c r="B249" s="215">
        <f>SUBTOTAL(103,$C$11:C249)</f>
        <v>239</v>
      </c>
      <c r="C249" s="215">
        <f>测试大纲!$A$13</f>
        <v>3</v>
      </c>
      <c r="D249" s="216" t="s">
        <v>159</v>
      </c>
      <c r="E249" s="228" t="s">
        <v>207</v>
      </c>
      <c r="F249" s="236"/>
      <c r="G249" s="218" t="str">
        <f>$D$9 &amp; "-"&amp;测试大纲!I$16&amp;"-"&amp;TEXT(SUBTOTAL(103,$C$228:C249),"000")</f>
        <v>Web-FZCX-022</v>
      </c>
      <c r="H249" s="219" t="s">
        <v>337</v>
      </c>
      <c r="I249" s="219" t="s">
        <v>62</v>
      </c>
      <c r="J249" s="220" t="s">
        <v>214</v>
      </c>
      <c r="K249" s="215" t="s">
        <v>1000</v>
      </c>
      <c r="L249" s="215"/>
      <c r="M249" s="215"/>
      <c r="N249" s="231" t="s">
        <v>217</v>
      </c>
      <c r="O249" s="214"/>
      <c r="P249" s="222"/>
      <c r="Q249" s="222"/>
      <c r="R249" s="223"/>
      <c r="S249" s="223"/>
      <c r="T249" s="222"/>
      <c r="U249" s="214"/>
      <c r="V249" s="222"/>
      <c r="W249" s="223"/>
      <c r="X249" s="222"/>
      <c r="Y249" s="214"/>
      <c r="Z249" s="222"/>
      <c r="AA249" s="223"/>
      <c r="AB249" s="222"/>
      <c r="AC249" s="214"/>
      <c r="AD249" s="222"/>
      <c r="AE249" s="222"/>
    </row>
    <row r="250" spans="1:31" ht="84">
      <c r="A250" s="23"/>
      <c r="B250" s="215">
        <f>SUBTOTAL(103,$C$11:C250)</f>
        <v>240</v>
      </c>
      <c r="C250" s="215">
        <f>测试大纲!$A$13</f>
        <v>3</v>
      </c>
      <c r="D250" s="216" t="s">
        <v>159</v>
      </c>
      <c r="E250" s="228" t="s">
        <v>207</v>
      </c>
      <c r="F250" s="236"/>
      <c r="G250" s="218" t="str">
        <f>$D$9 &amp; "-"&amp;测试大纲!I$16&amp;"-"&amp;TEXT(SUBTOTAL(103,$C$228:C250),"000")</f>
        <v>Web-FZCX-023</v>
      </c>
      <c r="H250" s="219" t="s">
        <v>337</v>
      </c>
      <c r="I250" s="219" t="s">
        <v>165</v>
      </c>
      <c r="J250" s="220" t="s">
        <v>864</v>
      </c>
      <c r="K250" s="215" t="s">
        <v>1004</v>
      </c>
      <c r="L250" s="215" t="s">
        <v>735</v>
      </c>
      <c r="M250" s="215"/>
      <c r="N250" s="215" t="s">
        <v>737</v>
      </c>
      <c r="O250" s="214"/>
      <c r="P250" s="222"/>
      <c r="Q250" s="222"/>
      <c r="R250" s="223"/>
      <c r="S250" s="223"/>
      <c r="T250" s="222"/>
      <c r="U250" s="214"/>
      <c r="V250" s="222"/>
      <c r="W250" s="223"/>
      <c r="X250" s="222"/>
      <c r="Y250" s="214"/>
      <c r="Z250" s="222"/>
      <c r="AA250" s="223"/>
      <c r="AB250" s="222"/>
      <c r="AC250" s="214"/>
      <c r="AD250" s="222"/>
      <c r="AE250" s="222"/>
    </row>
    <row r="251" spans="1:31" ht="84">
      <c r="A251" s="23"/>
      <c r="B251" s="215">
        <f>SUBTOTAL(103,$C$11:C251)</f>
        <v>241</v>
      </c>
      <c r="C251" s="215">
        <f>测试大纲!$A$13</f>
        <v>3</v>
      </c>
      <c r="D251" s="216" t="s">
        <v>159</v>
      </c>
      <c r="E251" s="228" t="s">
        <v>207</v>
      </c>
      <c r="F251" s="236"/>
      <c r="G251" s="218" t="str">
        <f>$D$9 &amp; "-"&amp;测试大纲!I$16&amp;"-"&amp;TEXT(SUBTOTAL(103,$C$228:C251),"000")</f>
        <v>Web-FZCX-024</v>
      </c>
      <c r="H251" s="219" t="s">
        <v>337</v>
      </c>
      <c r="I251" s="219" t="s">
        <v>62</v>
      </c>
      <c r="J251" s="220" t="s">
        <v>863</v>
      </c>
      <c r="K251" s="215" t="s">
        <v>859</v>
      </c>
      <c r="L251" s="215" t="s">
        <v>735</v>
      </c>
      <c r="M251" s="215"/>
      <c r="N251" s="215" t="s">
        <v>736</v>
      </c>
      <c r="O251" s="214"/>
      <c r="P251" s="222"/>
      <c r="Q251" s="222"/>
      <c r="R251" s="223"/>
      <c r="S251" s="223"/>
      <c r="T251" s="222"/>
      <c r="U251" s="214"/>
      <c r="V251" s="222"/>
      <c r="W251" s="223"/>
      <c r="X251" s="222"/>
      <c r="Y251" s="214"/>
      <c r="Z251" s="222"/>
      <c r="AA251" s="223"/>
      <c r="AB251" s="222"/>
      <c r="AC251" s="214"/>
      <c r="AD251" s="222"/>
      <c r="AE251" s="222"/>
    </row>
    <row r="252" spans="1:31" ht="84">
      <c r="A252" s="23"/>
      <c r="B252" s="215">
        <f>SUBTOTAL(103,$C$11:C252)</f>
        <v>242</v>
      </c>
      <c r="C252" s="215">
        <f>测试大纲!$A$13</f>
        <v>3</v>
      </c>
      <c r="D252" s="216" t="s">
        <v>159</v>
      </c>
      <c r="E252" s="228" t="s">
        <v>207</v>
      </c>
      <c r="F252" s="236"/>
      <c r="G252" s="218" t="str">
        <f>$D$9 &amp; "-"&amp;测试大纲!I$16&amp;"-"&amp;TEXT(SUBTOTAL(103,$C$228:C252),"000")</f>
        <v>Web-FZCX-025</v>
      </c>
      <c r="H252" s="219" t="s">
        <v>337</v>
      </c>
      <c r="I252" s="219" t="s">
        <v>62</v>
      </c>
      <c r="J252" s="220" t="s">
        <v>862</v>
      </c>
      <c r="K252" s="215" t="s">
        <v>860</v>
      </c>
      <c r="L252" s="215" t="s">
        <v>735</v>
      </c>
      <c r="M252" s="215"/>
      <c r="N252" s="215" t="s">
        <v>736</v>
      </c>
      <c r="O252" s="214"/>
      <c r="P252" s="222"/>
      <c r="Q252" s="222"/>
      <c r="R252" s="223"/>
      <c r="S252" s="223"/>
      <c r="T252" s="222"/>
      <c r="U252" s="214"/>
      <c r="V252" s="222"/>
      <c r="W252" s="223"/>
      <c r="X252" s="222"/>
      <c r="Y252" s="214"/>
      <c r="Z252" s="222"/>
      <c r="AA252" s="223"/>
      <c r="AB252" s="222"/>
      <c r="AC252" s="214"/>
      <c r="AD252" s="222"/>
      <c r="AE252" s="222"/>
    </row>
    <row r="253" spans="1:31" ht="84">
      <c r="A253" s="23"/>
      <c r="B253" s="215">
        <f>SUBTOTAL(103,$C$11:C253)</f>
        <v>243</v>
      </c>
      <c r="C253" s="215">
        <f>测试大纲!$A$13</f>
        <v>3</v>
      </c>
      <c r="D253" s="216" t="s">
        <v>159</v>
      </c>
      <c r="E253" s="228" t="s">
        <v>207</v>
      </c>
      <c r="F253" s="236"/>
      <c r="G253" s="218" t="str">
        <f>$D$9 &amp; "-"&amp;测试大纲!I$16&amp;"-"&amp;TEXT(SUBTOTAL(103,$C$228:C253),"000")</f>
        <v>Web-FZCX-026</v>
      </c>
      <c r="H253" s="219" t="s">
        <v>337</v>
      </c>
      <c r="I253" s="219" t="s">
        <v>165</v>
      </c>
      <c r="J253" s="220" t="s">
        <v>861</v>
      </c>
      <c r="K253" s="215" t="s">
        <v>1005</v>
      </c>
      <c r="L253" s="215" t="s">
        <v>735</v>
      </c>
      <c r="M253" s="215"/>
      <c r="N253" s="215" t="s">
        <v>737</v>
      </c>
      <c r="O253" s="214"/>
      <c r="P253" s="222"/>
      <c r="Q253" s="222"/>
      <c r="R253" s="223"/>
      <c r="S253" s="223"/>
      <c r="T253" s="222"/>
      <c r="U253" s="214"/>
      <c r="V253" s="222"/>
      <c r="W253" s="223"/>
      <c r="X253" s="222"/>
      <c r="Y253" s="214"/>
      <c r="Z253" s="222"/>
      <c r="AA253" s="223"/>
      <c r="AB253" s="222"/>
      <c r="AC253" s="214"/>
      <c r="AD253" s="222"/>
      <c r="AE253" s="222"/>
    </row>
    <row r="254" spans="1:31" ht="84">
      <c r="A254" s="23"/>
      <c r="B254" s="215">
        <f>SUBTOTAL(103,$C$11:C254)</f>
        <v>244</v>
      </c>
      <c r="C254" s="215">
        <f>测试大纲!$A$13</f>
        <v>3</v>
      </c>
      <c r="D254" s="224" t="s">
        <v>159</v>
      </c>
      <c r="E254" s="231" t="s">
        <v>150</v>
      </c>
      <c r="F254" s="215"/>
      <c r="G254" s="218" t="str">
        <f>$D$9 &amp; "-"&amp;测试大纲!I$17&amp;"-"&amp;TEXT(SUBTOTAL(103,$C$254:C254),"000")</f>
        <v>Web-JJZB-001</v>
      </c>
      <c r="H254" s="219" t="s">
        <v>337</v>
      </c>
      <c r="I254" s="219" t="s">
        <v>62</v>
      </c>
      <c r="J254" s="220" t="s">
        <v>726</v>
      </c>
      <c r="K254" s="215" t="s">
        <v>1006</v>
      </c>
      <c r="L254" s="221"/>
      <c r="M254" s="215"/>
      <c r="N254" s="221" t="s">
        <v>742</v>
      </c>
      <c r="O254" s="214"/>
      <c r="P254" s="222"/>
      <c r="Q254" s="222"/>
      <c r="R254" s="223"/>
      <c r="S254" s="223"/>
      <c r="T254" s="222"/>
      <c r="U254" s="214"/>
      <c r="V254" s="222"/>
      <c r="W254" s="223"/>
      <c r="X254" s="222"/>
      <c r="Y254" s="214"/>
      <c r="Z254" s="222"/>
      <c r="AA254" s="223"/>
      <c r="AB254" s="222"/>
      <c r="AC254" s="214"/>
      <c r="AD254" s="222"/>
      <c r="AE254" s="222"/>
    </row>
    <row r="255" spans="1:31" ht="36">
      <c r="A255" s="23"/>
      <c r="B255" s="215">
        <f>SUBTOTAL(103,$C$11:C255)</f>
        <v>245</v>
      </c>
      <c r="C255" s="215">
        <f>测试大纲!$A$13</f>
        <v>3</v>
      </c>
      <c r="D255" s="224" t="s">
        <v>159</v>
      </c>
      <c r="E255" s="231" t="s">
        <v>150</v>
      </c>
      <c r="F255" s="215"/>
      <c r="G255" s="218" t="str">
        <f>$D$9 &amp; "-"&amp;测试大纲!I$17&amp;"-"&amp;TEXT(SUBTOTAL(103,$C$254:C255),"000")</f>
        <v>Web-JJZB-002</v>
      </c>
      <c r="H255" s="219" t="s">
        <v>337</v>
      </c>
      <c r="I255" s="219" t="s">
        <v>62</v>
      </c>
      <c r="J255" s="220" t="s">
        <v>727</v>
      </c>
      <c r="K255" s="215" t="s">
        <v>1006</v>
      </c>
      <c r="L255" s="215"/>
      <c r="M255" s="215"/>
      <c r="N255" s="220" t="s">
        <v>520</v>
      </c>
      <c r="O255" s="214"/>
      <c r="P255" s="222"/>
      <c r="Q255" s="222"/>
      <c r="R255" s="223"/>
      <c r="S255" s="223"/>
      <c r="T255" s="222"/>
      <c r="U255" s="214"/>
      <c r="V255" s="222"/>
      <c r="W255" s="223"/>
      <c r="X255" s="222"/>
      <c r="Y255" s="214"/>
      <c r="Z255" s="222"/>
      <c r="AA255" s="223"/>
      <c r="AB255" s="222"/>
      <c r="AC255" s="214"/>
      <c r="AD255" s="222"/>
      <c r="AE255" s="222"/>
    </row>
    <row r="256" spans="1:31" ht="24">
      <c r="A256" s="23"/>
      <c r="B256" s="215">
        <f>SUBTOTAL(103,$C$11:C256)</f>
        <v>246</v>
      </c>
      <c r="C256" s="215">
        <f>测试大纲!$A$13</f>
        <v>3</v>
      </c>
      <c r="D256" s="224" t="s">
        <v>159</v>
      </c>
      <c r="E256" s="231" t="s">
        <v>150</v>
      </c>
      <c r="F256" s="215"/>
      <c r="G256" s="218" t="str">
        <f>$D$9 &amp; "-"&amp;测试大纲!I$17&amp;"-"&amp;TEXT(SUBTOTAL(103,$C$254:C256),"000")</f>
        <v>Web-JJZB-003</v>
      </c>
      <c r="H256" s="219" t="s">
        <v>337</v>
      </c>
      <c r="I256" s="219" t="s">
        <v>62</v>
      </c>
      <c r="J256" s="220" t="s">
        <v>741</v>
      </c>
      <c r="K256" s="215" t="s">
        <v>1006</v>
      </c>
      <c r="L256" s="215" t="s">
        <v>472</v>
      </c>
      <c r="M256" s="215"/>
      <c r="N256" s="220" t="s">
        <v>743</v>
      </c>
      <c r="O256" s="214"/>
      <c r="P256" s="222"/>
      <c r="Q256" s="222"/>
      <c r="R256" s="223"/>
      <c r="S256" s="223"/>
      <c r="T256" s="222"/>
      <c r="U256" s="214"/>
      <c r="V256" s="222"/>
      <c r="W256" s="223"/>
      <c r="X256" s="222"/>
      <c r="Y256" s="214"/>
      <c r="Z256" s="222"/>
      <c r="AA256" s="223"/>
      <c r="AB256" s="222"/>
      <c r="AC256" s="214"/>
      <c r="AD256" s="222"/>
      <c r="AE256" s="222"/>
    </row>
    <row r="257" spans="1:31" ht="24">
      <c r="A257" s="23"/>
      <c r="B257" s="215">
        <f>SUBTOTAL(103,$C$11:C257)</f>
        <v>247</v>
      </c>
      <c r="C257" s="215">
        <f>测试大纲!$A$13</f>
        <v>3</v>
      </c>
      <c r="D257" s="224" t="s">
        <v>159</v>
      </c>
      <c r="E257" s="231" t="s">
        <v>150</v>
      </c>
      <c r="F257" s="215"/>
      <c r="G257" s="218" t="str">
        <f>$D$9 &amp; "-"&amp;测试大纲!I$17&amp;"-"&amp;TEXT(SUBTOTAL(103,$C$254:C257),"000")</f>
        <v>Web-JJZB-004</v>
      </c>
      <c r="H257" s="219" t="s">
        <v>337</v>
      </c>
      <c r="I257" s="219" t="s">
        <v>62</v>
      </c>
      <c r="J257" s="220" t="s">
        <v>738</v>
      </c>
      <c r="K257" s="215" t="s">
        <v>1006</v>
      </c>
      <c r="L257" s="215" t="s">
        <v>330</v>
      </c>
      <c r="M257" s="215" t="s">
        <v>375</v>
      </c>
      <c r="N257" s="220" t="s">
        <v>456</v>
      </c>
      <c r="O257" s="214"/>
      <c r="P257" s="222"/>
      <c r="Q257" s="222"/>
      <c r="R257" s="223"/>
      <c r="S257" s="223"/>
      <c r="T257" s="222"/>
      <c r="U257" s="214"/>
      <c r="V257" s="222"/>
      <c r="W257" s="223"/>
      <c r="X257" s="222"/>
      <c r="Y257" s="214"/>
      <c r="Z257" s="222"/>
      <c r="AA257" s="223"/>
      <c r="AB257" s="222"/>
      <c r="AC257" s="214"/>
      <c r="AD257" s="222"/>
      <c r="AE257" s="222"/>
    </row>
    <row r="258" spans="1:31" ht="24">
      <c r="A258" s="23"/>
      <c r="B258" s="215">
        <f>SUBTOTAL(103,$C$11:C258)</f>
        <v>248</v>
      </c>
      <c r="C258" s="215">
        <f>测试大纲!$A$13</f>
        <v>3</v>
      </c>
      <c r="D258" s="224" t="s">
        <v>159</v>
      </c>
      <c r="E258" s="231" t="s">
        <v>150</v>
      </c>
      <c r="F258" s="215"/>
      <c r="G258" s="218" t="str">
        <f>$D$9 &amp; "-"&amp;测试大纲!I$17&amp;"-"&amp;TEXT(SUBTOTAL(103,$C$254:C258),"000")</f>
        <v>Web-JJZB-005</v>
      </c>
      <c r="H258" s="219" t="s">
        <v>337</v>
      </c>
      <c r="I258" s="219" t="s">
        <v>62</v>
      </c>
      <c r="J258" s="220" t="s">
        <v>739</v>
      </c>
      <c r="K258" s="215" t="s">
        <v>1006</v>
      </c>
      <c r="L258" s="215" t="s">
        <v>740</v>
      </c>
      <c r="M258" s="215" t="s">
        <v>963</v>
      </c>
      <c r="N258" s="220" t="s">
        <v>457</v>
      </c>
      <c r="O258" s="214"/>
      <c r="P258" s="222"/>
      <c r="Q258" s="222"/>
      <c r="R258" s="223"/>
      <c r="S258" s="223"/>
      <c r="T258" s="222"/>
      <c r="U258" s="214"/>
      <c r="V258" s="222"/>
      <c r="W258" s="223"/>
      <c r="X258" s="222"/>
      <c r="Y258" s="214"/>
      <c r="Z258" s="222"/>
      <c r="AA258" s="223"/>
      <c r="AB258" s="222"/>
      <c r="AC258" s="214"/>
      <c r="AD258" s="222"/>
      <c r="AE258" s="222"/>
    </row>
    <row r="259" spans="1:31" ht="24">
      <c r="A259" s="23"/>
      <c r="B259" s="215">
        <f>SUBTOTAL(103,$C$11:C259)</f>
        <v>249</v>
      </c>
      <c r="C259" s="215">
        <f>测试大纲!$A$13</f>
        <v>3</v>
      </c>
      <c r="D259" s="224" t="s">
        <v>159</v>
      </c>
      <c r="E259" s="231" t="s">
        <v>150</v>
      </c>
      <c r="F259" s="215"/>
      <c r="G259" s="218" t="str">
        <f>$D$9 &amp; "-"&amp;测试大纲!I$17&amp;"-"&amp;TEXT(SUBTOTAL(103,$C$254:C259),"000")</f>
        <v>Web-JJZB-006</v>
      </c>
      <c r="H259" s="219" t="s">
        <v>337</v>
      </c>
      <c r="I259" s="219" t="s">
        <v>165</v>
      </c>
      <c r="J259" s="220" t="s">
        <v>744</v>
      </c>
      <c r="K259" s="215" t="s">
        <v>1006</v>
      </c>
      <c r="L259" s="215" t="s">
        <v>330</v>
      </c>
      <c r="M259" s="215" t="s">
        <v>419</v>
      </c>
      <c r="N259" s="220" t="s">
        <v>463</v>
      </c>
      <c r="O259" s="214"/>
      <c r="P259" s="222"/>
      <c r="Q259" s="222"/>
      <c r="R259" s="223"/>
      <c r="S259" s="223"/>
      <c r="T259" s="222"/>
      <c r="U259" s="214"/>
      <c r="V259" s="222"/>
      <c r="W259" s="223"/>
      <c r="X259" s="222"/>
      <c r="Y259" s="214"/>
      <c r="Z259" s="222"/>
      <c r="AA259" s="223"/>
      <c r="AB259" s="222"/>
      <c r="AC259" s="214"/>
      <c r="AD259" s="222"/>
      <c r="AE259" s="222"/>
    </row>
    <row r="260" spans="1:31" ht="24">
      <c r="A260" s="23"/>
      <c r="B260" s="215">
        <f>SUBTOTAL(103,$C$11:C260)</f>
        <v>250</v>
      </c>
      <c r="C260" s="215">
        <f>测试大纲!$A$13</f>
        <v>3</v>
      </c>
      <c r="D260" s="224" t="s">
        <v>159</v>
      </c>
      <c r="E260" s="231" t="s">
        <v>150</v>
      </c>
      <c r="F260" s="215"/>
      <c r="G260" s="218" t="str">
        <f>$D$9 &amp; "-"&amp;测试大纲!I$17&amp;"-"&amp;TEXT(SUBTOTAL(103,$C$254:C260),"000")</f>
        <v>Web-JJZB-007</v>
      </c>
      <c r="H260" s="219" t="s">
        <v>337</v>
      </c>
      <c r="I260" s="219" t="s">
        <v>62</v>
      </c>
      <c r="J260" s="220" t="s">
        <v>725</v>
      </c>
      <c r="K260" s="215" t="s">
        <v>1006</v>
      </c>
      <c r="L260" s="215" t="s">
        <v>330</v>
      </c>
      <c r="M260" s="215" t="s">
        <v>390</v>
      </c>
      <c r="N260" s="220" t="s">
        <v>475</v>
      </c>
      <c r="O260" s="214"/>
      <c r="P260" s="222"/>
      <c r="Q260" s="222"/>
      <c r="R260" s="223"/>
      <c r="S260" s="223"/>
      <c r="T260" s="222"/>
      <c r="U260" s="214"/>
      <c r="V260" s="222"/>
      <c r="W260" s="223"/>
      <c r="X260" s="222"/>
      <c r="Y260" s="214"/>
      <c r="Z260" s="222"/>
      <c r="AA260" s="223"/>
      <c r="AB260" s="222"/>
      <c r="AC260" s="214"/>
      <c r="AD260" s="222"/>
      <c r="AE260" s="222"/>
    </row>
    <row r="261" spans="1:31" ht="24">
      <c r="A261" s="23"/>
      <c r="B261" s="215">
        <f>SUBTOTAL(103,$C$11:C261)</f>
        <v>251</v>
      </c>
      <c r="C261" s="215">
        <f>测试大纲!$A$13</f>
        <v>3</v>
      </c>
      <c r="D261" s="224" t="s">
        <v>159</v>
      </c>
      <c r="E261" s="231" t="s">
        <v>150</v>
      </c>
      <c r="F261" s="215"/>
      <c r="G261" s="218" t="str">
        <f>$D$9 &amp; "-"&amp;测试大纲!I$17&amp;"-"&amp;TEXT(SUBTOTAL(103,$C$254:C261),"000")</f>
        <v>Web-JJZB-008</v>
      </c>
      <c r="H261" s="219" t="s">
        <v>338</v>
      </c>
      <c r="I261" s="219" t="s">
        <v>62</v>
      </c>
      <c r="J261" s="220" t="s">
        <v>745</v>
      </c>
      <c r="K261" s="215" t="s">
        <v>1006</v>
      </c>
      <c r="L261" s="215" t="s">
        <v>194</v>
      </c>
      <c r="M261" s="215" t="s">
        <v>356</v>
      </c>
      <c r="N261" s="220" t="s">
        <v>357</v>
      </c>
      <c r="O261" s="214"/>
      <c r="P261" s="222"/>
      <c r="Q261" s="222"/>
      <c r="R261" s="223"/>
      <c r="S261" s="223"/>
      <c r="T261" s="222"/>
      <c r="U261" s="214"/>
      <c r="V261" s="222"/>
      <c r="W261" s="223"/>
      <c r="X261" s="222"/>
      <c r="Y261" s="214"/>
      <c r="Z261" s="222"/>
      <c r="AA261" s="223"/>
      <c r="AB261" s="222"/>
      <c r="AC261" s="214"/>
      <c r="AD261" s="222"/>
      <c r="AE261" s="222"/>
    </row>
    <row r="262" spans="1:31" ht="24">
      <c r="A262" s="23"/>
      <c r="B262" s="215">
        <f>SUBTOTAL(103,$C$11:C262)</f>
        <v>252</v>
      </c>
      <c r="C262" s="215">
        <f>测试大纲!$A$13</f>
        <v>3</v>
      </c>
      <c r="D262" s="224" t="s">
        <v>159</v>
      </c>
      <c r="E262" s="231" t="s">
        <v>150</v>
      </c>
      <c r="F262" s="215"/>
      <c r="G262" s="218" t="str">
        <f>$D$9 &amp; "-"&amp;测试大纲!I$17&amp;"-"&amp;TEXT(SUBTOTAL(103,$C$254:C262),"000")</f>
        <v>Web-JJZB-009</v>
      </c>
      <c r="H262" s="219" t="s">
        <v>340</v>
      </c>
      <c r="I262" s="219" t="s">
        <v>62</v>
      </c>
      <c r="J262" s="220" t="s">
        <v>584</v>
      </c>
      <c r="K262" s="215" t="s">
        <v>1006</v>
      </c>
      <c r="L262" s="215" t="s">
        <v>770</v>
      </c>
      <c r="M262" s="215" t="s">
        <v>531</v>
      </c>
      <c r="N262" s="220" t="s">
        <v>461</v>
      </c>
      <c r="O262" s="214"/>
      <c r="P262" s="222"/>
      <c r="Q262" s="222"/>
      <c r="R262" s="223"/>
      <c r="S262" s="223"/>
      <c r="T262" s="222"/>
      <c r="U262" s="214"/>
      <c r="V262" s="222"/>
      <c r="W262" s="223"/>
      <c r="X262" s="222"/>
      <c r="Y262" s="214"/>
      <c r="Z262" s="222"/>
      <c r="AA262" s="223"/>
      <c r="AB262" s="222"/>
      <c r="AC262" s="214"/>
      <c r="AD262" s="222"/>
      <c r="AE262" s="222"/>
    </row>
    <row r="263" spans="1:31" ht="24">
      <c r="A263" s="23"/>
      <c r="B263" s="215">
        <f>SUBTOTAL(103,$C$11:C263)</f>
        <v>253</v>
      </c>
      <c r="C263" s="215">
        <f>测试大纲!$A$13</f>
        <v>3</v>
      </c>
      <c r="D263" s="224" t="s">
        <v>159</v>
      </c>
      <c r="E263" s="231" t="s">
        <v>150</v>
      </c>
      <c r="F263" s="215"/>
      <c r="G263" s="218" t="str">
        <f>$D$9 &amp; "-"&amp;测试大纲!I$17&amp;"-"&amp;TEXT(SUBTOTAL(103,$C$254:C263),"000")</f>
        <v>Web-JJZB-010</v>
      </c>
      <c r="H263" s="219" t="s">
        <v>340</v>
      </c>
      <c r="I263" s="219" t="s">
        <v>62</v>
      </c>
      <c r="J263" s="220" t="s">
        <v>585</v>
      </c>
      <c r="K263" s="215" t="s">
        <v>1006</v>
      </c>
      <c r="L263" s="215" t="s">
        <v>770</v>
      </c>
      <c r="M263" s="215" t="s">
        <v>530</v>
      </c>
      <c r="N263" s="220" t="s">
        <v>461</v>
      </c>
      <c r="O263" s="214"/>
      <c r="P263" s="222"/>
      <c r="Q263" s="222"/>
      <c r="R263" s="223"/>
      <c r="S263" s="223"/>
      <c r="T263" s="222"/>
      <c r="U263" s="214"/>
      <c r="V263" s="222"/>
      <c r="W263" s="223"/>
      <c r="X263" s="222"/>
      <c r="Y263" s="214"/>
      <c r="Z263" s="222"/>
      <c r="AA263" s="223"/>
      <c r="AB263" s="222"/>
      <c r="AC263" s="214"/>
      <c r="AD263" s="222"/>
      <c r="AE263" s="222"/>
    </row>
    <row r="264" spans="1:31" ht="24">
      <c r="A264" s="23"/>
      <c r="B264" s="215">
        <f>SUBTOTAL(103,$C$11:C264)</f>
        <v>254</v>
      </c>
      <c r="C264" s="215">
        <f>测试大纲!$A$13</f>
        <v>3</v>
      </c>
      <c r="D264" s="224" t="s">
        <v>159</v>
      </c>
      <c r="E264" s="231" t="s">
        <v>150</v>
      </c>
      <c r="F264" s="215"/>
      <c r="G264" s="218" t="str">
        <f>$D$9 &amp; "-"&amp;测试大纲!I$17&amp;"-"&amp;TEXT(SUBTOTAL(103,$C$254:C264),"000")</f>
        <v>Web-JJZB-011</v>
      </c>
      <c r="H264" s="219" t="s">
        <v>340</v>
      </c>
      <c r="I264" s="219" t="s">
        <v>62</v>
      </c>
      <c r="J264" s="220" t="s">
        <v>586</v>
      </c>
      <c r="K264" s="215" t="s">
        <v>1006</v>
      </c>
      <c r="L264" s="215" t="s">
        <v>770</v>
      </c>
      <c r="M264" s="215" t="s">
        <v>532</v>
      </c>
      <c r="N264" s="220" t="s">
        <v>461</v>
      </c>
      <c r="O264" s="214"/>
      <c r="P264" s="222"/>
      <c r="Q264" s="222"/>
      <c r="R264" s="223"/>
      <c r="S264" s="223"/>
      <c r="T264" s="222"/>
      <c r="U264" s="214"/>
      <c r="V264" s="222"/>
      <c r="W264" s="223"/>
      <c r="X264" s="222"/>
      <c r="Y264" s="214"/>
      <c r="Z264" s="222"/>
      <c r="AA264" s="223"/>
      <c r="AB264" s="222"/>
      <c r="AC264" s="214"/>
      <c r="AD264" s="222"/>
      <c r="AE264" s="222"/>
    </row>
    <row r="265" spans="1:31" ht="24">
      <c r="A265" s="23"/>
      <c r="B265" s="215">
        <f>SUBTOTAL(103,$C$11:C265)</f>
        <v>255</v>
      </c>
      <c r="C265" s="215">
        <f>测试大纲!$A$13</f>
        <v>3</v>
      </c>
      <c r="D265" s="216" t="s">
        <v>159</v>
      </c>
      <c r="E265" s="231" t="s">
        <v>150</v>
      </c>
      <c r="F265" s="236"/>
      <c r="G265" s="218" t="str">
        <f>$D$9 &amp; "-"&amp;测试大纲!I$17&amp;"-"&amp;TEXT(SUBTOTAL(103,$C$254:C265),"000")</f>
        <v>Web-JJZB-012</v>
      </c>
      <c r="H265" s="219" t="s">
        <v>340</v>
      </c>
      <c r="I265" s="219" t="s">
        <v>165</v>
      </c>
      <c r="J265" s="220" t="s">
        <v>408</v>
      </c>
      <c r="K265" s="215" t="s">
        <v>1006</v>
      </c>
      <c r="L265" s="225" t="s">
        <v>409</v>
      </c>
      <c r="M265" s="228"/>
      <c r="N265" s="220" t="s">
        <v>412</v>
      </c>
      <c r="O265" s="214"/>
      <c r="P265" s="222"/>
      <c r="Q265" s="222"/>
      <c r="R265" s="223"/>
      <c r="S265" s="223"/>
      <c r="T265" s="222"/>
      <c r="U265" s="214"/>
      <c r="V265" s="222"/>
      <c r="W265" s="223"/>
      <c r="X265" s="222"/>
      <c r="Y265" s="214"/>
      <c r="Z265" s="222"/>
      <c r="AA265" s="223"/>
      <c r="AB265" s="222"/>
      <c r="AC265" s="214"/>
      <c r="AD265" s="222"/>
      <c r="AE265" s="222"/>
    </row>
    <row r="266" spans="1:31" ht="48">
      <c r="A266" s="23"/>
      <c r="B266" s="215">
        <f>SUBTOTAL(103,$C$11:C266)</f>
        <v>256</v>
      </c>
      <c r="C266" s="215">
        <f>测试大纲!$A$13</f>
        <v>3</v>
      </c>
      <c r="D266" s="216" t="s">
        <v>159</v>
      </c>
      <c r="E266" s="231" t="s">
        <v>150</v>
      </c>
      <c r="F266" s="236"/>
      <c r="G266" s="218" t="str">
        <f>$D$9 &amp; "-"&amp;测试大纲!I$17&amp;"-"&amp;TEXT(SUBTOTAL(103,$C$254:C266),"000")</f>
        <v>Web-JJZB-013</v>
      </c>
      <c r="H266" s="219" t="s">
        <v>337</v>
      </c>
      <c r="I266" s="219" t="s">
        <v>62</v>
      </c>
      <c r="J266" s="220" t="s">
        <v>236</v>
      </c>
      <c r="K266" s="215" t="s">
        <v>1006</v>
      </c>
      <c r="L266" s="227" t="s">
        <v>238</v>
      </c>
      <c r="M266" s="227" t="s">
        <v>237</v>
      </c>
      <c r="N266" s="220" t="s">
        <v>239</v>
      </c>
      <c r="O266" s="214"/>
      <c r="P266" s="222"/>
      <c r="Q266" s="222"/>
      <c r="R266" s="223"/>
      <c r="S266" s="223"/>
      <c r="T266" s="222"/>
      <c r="U266" s="214"/>
      <c r="V266" s="222"/>
      <c r="W266" s="223"/>
      <c r="X266" s="222"/>
      <c r="Y266" s="214"/>
      <c r="Z266" s="222"/>
      <c r="AA266" s="223"/>
      <c r="AB266" s="222"/>
      <c r="AC266" s="214"/>
      <c r="AD266" s="222"/>
      <c r="AE266" s="222"/>
    </row>
    <row r="267" spans="1:31" ht="36">
      <c r="A267" s="23"/>
      <c r="B267" s="215">
        <f>SUBTOTAL(103,$C$11:C267)</f>
        <v>257</v>
      </c>
      <c r="C267" s="215">
        <f>测试大纲!$A$13</f>
        <v>3</v>
      </c>
      <c r="D267" s="224" t="s">
        <v>159</v>
      </c>
      <c r="E267" s="231" t="s">
        <v>150</v>
      </c>
      <c r="F267" s="236"/>
      <c r="G267" s="218" t="str">
        <f>$D$9 &amp; "-"&amp;测试大纲!I$17&amp;"-"&amp;TEXT(SUBTOTAL(103,$C$254:C267),"000")</f>
        <v>Web-JJZB-014</v>
      </c>
      <c r="H267" s="219" t="s">
        <v>337</v>
      </c>
      <c r="I267" s="219" t="s">
        <v>62</v>
      </c>
      <c r="J267" s="220" t="s">
        <v>746</v>
      </c>
      <c r="K267" s="215" t="s">
        <v>1007</v>
      </c>
      <c r="L267" s="215" t="s">
        <v>168</v>
      </c>
      <c r="M267" s="215"/>
      <c r="N267" s="220" t="s">
        <v>176</v>
      </c>
      <c r="O267" s="214"/>
      <c r="P267" s="222"/>
      <c r="Q267" s="222"/>
      <c r="R267" s="223"/>
      <c r="S267" s="223"/>
      <c r="T267" s="222"/>
      <c r="U267" s="214"/>
      <c r="V267" s="222"/>
      <c r="W267" s="223"/>
      <c r="X267" s="222"/>
      <c r="Y267" s="214"/>
      <c r="Z267" s="222"/>
      <c r="AA267" s="223"/>
      <c r="AB267" s="222"/>
      <c r="AC267" s="214"/>
      <c r="AD267" s="222"/>
      <c r="AE267" s="222"/>
    </row>
    <row r="268" spans="1:31" ht="36">
      <c r="A268" s="23"/>
      <c r="B268" s="215">
        <f>SUBTOTAL(103,$C$11:C268)</f>
        <v>258</v>
      </c>
      <c r="C268" s="215">
        <f>测试大纲!$A$13</f>
        <v>3</v>
      </c>
      <c r="D268" s="224" t="s">
        <v>159</v>
      </c>
      <c r="E268" s="231" t="s">
        <v>150</v>
      </c>
      <c r="F268" s="236"/>
      <c r="G268" s="218" t="str">
        <f>$D$9 &amp; "-"&amp;测试大纲!I$17&amp;"-"&amp;TEXT(SUBTOTAL(103,$C$254:C268),"000")</f>
        <v>Web-JJZB-015</v>
      </c>
      <c r="H268" s="219" t="s">
        <v>337</v>
      </c>
      <c r="I268" s="219" t="s">
        <v>62</v>
      </c>
      <c r="J268" s="220" t="s">
        <v>747</v>
      </c>
      <c r="K268" s="215" t="s">
        <v>1007</v>
      </c>
      <c r="L268" s="215" t="s">
        <v>171</v>
      </c>
      <c r="M268" s="215" t="s">
        <v>389</v>
      </c>
      <c r="N268" s="220" t="s">
        <v>176</v>
      </c>
      <c r="O268" s="214"/>
      <c r="P268" s="222"/>
      <c r="Q268" s="222"/>
      <c r="R268" s="223"/>
      <c r="S268" s="223"/>
      <c r="T268" s="222"/>
      <c r="U268" s="214"/>
      <c r="V268" s="222"/>
      <c r="W268" s="223"/>
      <c r="X268" s="222"/>
      <c r="Y268" s="214"/>
      <c r="Z268" s="222"/>
      <c r="AA268" s="223"/>
      <c r="AB268" s="222"/>
      <c r="AC268" s="214"/>
      <c r="AD268" s="222"/>
      <c r="AE268" s="222"/>
    </row>
    <row r="269" spans="1:31" ht="36">
      <c r="A269" s="23"/>
      <c r="B269" s="215">
        <f>SUBTOTAL(103,$C$11:C269)</f>
        <v>259</v>
      </c>
      <c r="C269" s="215">
        <f>测试大纲!$A$13</f>
        <v>3</v>
      </c>
      <c r="D269" s="224" t="s">
        <v>159</v>
      </c>
      <c r="E269" s="231" t="s">
        <v>150</v>
      </c>
      <c r="F269" s="236"/>
      <c r="G269" s="218" t="str">
        <f>$D$9 &amp; "-"&amp;测试大纲!I$17&amp;"-"&amp;TEXT(SUBTOTAL(103,$C$254:C269),"000")</f>
        <v>Web-JJZB-016</v>
      </c>
      <c r="H269" s="219" t="s">
        <v>337</v>
      </c>
      <c r="I269" s="219" t="s">
        <v>62</v>
      </c>
      <c r="J269" s="220" t="s">
        <v>748</v>
      </c>
      <c r="K269" s="215" t="s">
        <v>1007</v>
      </c>
      <c r="L269" s="215" t="s">
        <v>173</v>
      </c>
      <c r="M269" s="215"/>
      <c r="N269" s="220" t="s">
        <v>177</v>
      </c>
      <c r="O269" s="214"/>
      <c r="P269" s="222"/>
      <c r="Q269" s="222"/>
      <c r="R269" s="223"/>
      <c r="S269" s="223"/>
      <c r="T269" s="222"/>
      <c r="U269" s="214"/>
      <c r="V269" s="222"/>
      <c r="W269" s="223"/>
      <c r="X269" s="222"/>
      <c r="Y269" s="214"/>
      <c r="Z269" s="222"/>
      <c r="AA269" s="223"/>
      <c r="AB269" s="222"/>
      <c r="AC269" s="214"/>
      <c r="AD269" s="222"/>
      <c r="AE269" s="222"/>
    </row>
    <row r="270" spans="1:31" ht="36">
      <c r="A270" s="23"/>
      <c r="B270" s="215">
        <f>SUBTOTAL(103,$C$11:C270)</f>
        <v>260</v>
      </c>
      <c r="C270" s="215">
        <f>测试大纲!$A$13</f>
        <v>3</v>
      </c>
      <c r="D270" s="224" t="s">
        <v>159</v>
      </c>
      <c r="E270" s="231" t="s">
        <v>150</v>
      </c>
      <c r="F270" s="236"/>
      <c r="G270" s="218" t="str">
        <f>$D$9 &amp; "-"&amp;测试大纲!I$17&amp;"-"&amp;TEXT(SUBTOTAL(103,$C$254:C270),"000")</f>
        <v>Web-JJZB-017</v>
      </c>
      <c r="H270" s="219" t="s">
        <v>337</v>
      </c>
      <c r="I270" s="219" t="s">
        <v>62</v>
      </c>
      <c r="J270" s="220" t="s">
        <v>749</v>
      </c>
      <c r="K270" s="215" t="s">
        <v>1007</v>
      </c>
      <c r="L270" s="215" t="s">
        <v>175</v>
      </c>
      <c r="M270" s="215"/>
      <c r="N270" s="220" t="s">
        <v>178</v>
      </c>
      <c r="O270" s="214"/>
      <c r="P270" s="222"/>
      <c r="Q270" s="222"/>
      <c r="R270" s="223"/>
      <c r="S270" s="223"/>
      <c r="T270" s="222"/>
      <c r="U270" s="214"/>
      <c r="V270" s="222"/>
      <c r="W270" s="223"/>
      <c r="X270" s="222"/>
      <c r="Y270" s="214"/>
      <c r="Z270" s="222"/>
      <c r="AA270" s="223"/>
      <c r="AB270" s="222"/>
      <c r="AC270" s="214"/>
      <c r="AD270" s="222"/>
      <c r="AE270" s="222"/>
    </row>
    <row r="271" spans="1:31" ht="36">
      <c r="A271" s="23"/>
      <c r="B271" s="215">
        <f>SUBTOTAL(103,$C$11:C271)</f>
        <v>261</v>
      </c>
      <c r="C271" s="215">
        <f>测试大纲!$A$13</f>
        <v>3</v>
      </c>
      <c r="D271" s="224" t="s">
        <v>159</v>
      </c>
      <c r="E271" s="231" t="s">
        <v>150</v>
      </c>
      <c r="F271" s="236"/>
      <c r="G271" s="218" t="str">
        <f>$D$9 &amp; "-"&amp;测试大纲!I$17&amp;"-"&amp;TEXT(SUBTOTAL(103,$C$254:C271),"000")</f>
        <v>Web-JJZB-018</v>
      </c>
      <c r="H271" s="219" t="s">
        <v>337</v>
      </c>
      <c r="I271" s="219" t="s">
        <v>165</v>
      </c>
      <c r="J271" s="220" t="s">
        <v>881</v>
      </c>
      <c r="K271" s="215" t="s">
        <v>1007</v>
      </c>
      <c r="L271" s="215" t="s">
        <v>171</v>
      </c>
      <c r="M271" s="215" t="s">
        <v>388</v>
      </c>
      <c r="N271" s="220" t="s">
        <v>210</v>
      </c>
      <c r="O271" s="214"/>
      <c r="P271" s="222"/>
      <c r="Q271" s="222"/>
      <c r="R271" s="223"/>
      <c r="S271" s="223"/>
      <c r="T271" s="222"/>
      <c r="U271" s="214"/>
      <c r="V271" s="222"/>
      <c r="W271" s="223"/>
      <c r="X271" s="222"/>
      <c r="Y271" s="214"/>
      <c r="Z271" s="222"/>
      <c r="AA271" s="223"/>
      <c r="AB271" s="222"/>
      <c r="AC271" s="214"/>
      <c r="AD271" s="222"/>
      <c r="AE271" s="222"/>
    </row>
    <row r="272" spans="1:31" ht="36">
      <c r="A272" s="23"/>
      <c r="B272" s="215">
        <f>SUBTOTAL(103,$C$11:C272)</f>
        <v>262</v>
      </c>
      <c r="C272" s="215">
        <f>测试大纲!$A$13</f>
        <v>3</v>
      </c>
      <c r="D272" s="224" t="s">
        <v>159</v>
      </c>
      <c r="E272" s="231" t="s">
        <v>150</v>
      </c>
      <c r="F272" s="215"/>
      <c r="G272" s="218" t="str">
        <f>$D$9 &amp; "-"&amp;测试大纲!I$17&amp;"-"&amp;TEXT(SUBTOTAL(103,$C$254:C272),"000")</f>
        <v>Web-JJZB-019</v>
      </c>
      <c r="H272" s="219" t="s">
        <v>337</v>
      </c>
      <c r="I272" s="219" t="s">
        <v>62</v>
      </c>
      <c r="J272" s="220" t="s">
        <v>750</v>
      </c>
      <c r="K272" s="215" t="s">
        <v>1007</v>
      </c>
      <c r="L272" s="215"/>
      <c r="M272" s="215"/>
      <c r="N272" s="220" t="s">
        <v>433</v>
      </c>
      <c r="O272" s="214"/>
      <c r="P272" s="222"/>
      <c r="Q272" s="222"/>
      <c r="R272" s="223"/>
      <c r="S272" s="223"/>
      <c r="T272" s="222"/>
      <c r="U272" s="214"/>
      <c r="V272" s="222"/>
      <c r="W272" s="223"/>
      <c r="X272" s="222"/>
      <c r="Y272" s="214"/>
      <c r="Z272" s="222"/>
      <c r="AA272" s="223"/>
      <c r="AB272" s="222"/>
      <c r="AC272" s="214"/>
      <c r="AD272" s="222"/>
      <c r="AE272" s="222"/>
    </row>
    <row r="273" spans="1:31" ht="36">
      <c r="A273" s="23"/>
      <c r="B273" s="215">
        <f>SUBTOTAL(103,$C$11:C273)</f>
        <v>263</v>
      </c>
      <c r="C273" s="215">
        <f>测试大纲!$A$13</f>
        <v>3</v>
      </c>
      <c r="D273" s="224" t="s">
        <v>159</v>
      </c>
      <c r="E273" s="231" t="s">
        <v>150</v>
      </c>
      <c r="F273" s="215"/>
      <c r="G273" s="218" t="str">
        <f>$D$9 &amp; "-"&amp;测试大纲!I$17&amp;"-"&amp;TEXT(SUBTOTAL(103,$C$254:C273),"000")</f>
        <v>Web-JJZB-020</v>
      </c>
      <c r="H273" s="219" t="s">
        <v>337</v>
      </c>
      <c r="I273" s="219" t="s">
        <v>62</v>
      </c>
      <c r="J273" s="220" t="s">
        <v>751</v>
      </c>
      <c r="K273" s="215" t="s">
        <v>1007</v>
      </c>
      <c r="L273" s="215" t="s">
        <v>415</v>
      </c>
      <c r="M273" s="215"/>
      <c r="N273" s="220" t="s">
        <v>433</v>
      </c>
      <c r="O273" s="214"/>
      <c r="P273" s="222"/>
      <c r="Q273" s="222"/>
      <c r="R273" s="223"/>
      <c r="S273" s="223"/>
      <c r="T273" s="222"/>
      <c r="U273" s="214"/>
      <c r="V273" s="222"/>
      <c r="W273" s="223"/>
      <c r="X273" s="222"/>
      <c r="Y273" s="214"/>
      <c r="Z273" s="222"/>
      <c r="AA273" s="223"/>
      <c r="AB273" s="222"/>
      <c r="AC273" s="214"/>
      <c r="AD273" s="222"/>
      <c r="AE273" s="222"/>
    </row>
    <row r="274" spans="1:31" ht="36">
      <c r="A274" s="23"/>
      <c r="B274" s="215">
        <f>SUBTOTAL(103,$C$11:C274)</f>
        <v>264</v>
      </c>
      <c r="C274" s="215">
        <f>测试大纲!$A$13</f>
        <v>3</v>
      </c>
      <c r="D274" s="224" t="s">
        <v>159</v>
      </c>
      <c r="E274" s="231" t="s">
        <v>150</v>
      </c>
      <c r="F274" s="215"/>
      <c r="G274" s="218" t="str">
        <f>$D$9 &amp; "-"&amp;测试大纲!I$17&amp;"-"&amp;TEXT(SUBTOTAL(103,$C$254:C274),"000")</f>
        <v>Web-JJZB-021</v>
      </c>
      <c r="H274" s="219" t="s">
        <v>337</v>
      </c>
      <c r="I274" s="219" t="s">
        <v>62</v>
      </c>
      <c r="J274" s="220" t="s">
        <v>752</v>
      </c>
      <c r="K274" s="215" t="s">
        <v>1007</v>
      </c>
      <c r="L274" s="215" t="s">
        <v>436</v>
      </c>
      <c r="M274" s="215" t="s">
        <v>375</v>
      </c>
      <c r="N274" s="220" t="s">
        <v>438</v>
      </c>
      <c r="O274" s="214"/>
      <c r="P274" s="222"/>
      <c r="Q274" s="222"/>
      <c r="R274" s="223"/>
      <c r="S274" s="223"/>
      <c r="T274" s="222"/>
      <c r="U274" s="214"/>
      <c r="V274" s="222"/>
      <c r="W274" s="223"/>
      <c r="X274" s="222"/>
      <c r="Y274" s="214"/>
      <c r="Z274" s="222"/>
      <c r="AA274" s="223"/>
      <c r="AB274" s="222"/>
      <c r="AC274" s="214"/>
      <c r="AD274" s="222"/>
      <c r="AE274" s="222"/>
    </row>
    <row r="275" spans="1:31" ht="108">
      <c r="A275" s="23"/>
      <c r="B275" s="215">
        <f>SUBTOTAL(103,$C$11:C275)</f>
        <v>265</v>
      </c>
      <c r="C275" s="215">
        <f>测试大纲!$A$13</f>
        <v>3</v>
      </c>
      <c r="D275" s="224" t="s">
        <v>159</v>
      </c>
      <c r="E275" s="227" t="s">
        <v>149</v>
      </c>
      <c r="F275" s="215"/>
      <c r="G275" s="218" t="str">
        <f>$D$9 &amp; "-"&amp;测试大纲!I$18&amp;"-"&amp;TEXT(SUBTOTAL(103,$C$275:C275),"000")</f>
        <v>Web-BBTJ-001</v>
      </c>
      <c r="H275" s="219" t="s">
        <v>337</v>
      </c>
      <c r="I275" s="219" t="s">
        <v>62</v>
      </c>
      <c r="J275" s="220" t="s">
        <v>726</v>
      </c>
      <c r="K275" s="226" t="s">
        <v>1008</v>
      </c>
      <c r="L275" s="221"/>
      <c r="M275" s="215"/>
      <c r="N275" s="221" t="s">
        <v>753</v>
      </c>
      <c r="O275" s="214"/>
      <c r="P275" s="222"/>
      <c r="Q275" s="222"/>
      <c r="R275" s="223"/>
      <c r="S275" s="223"/>
      <c r="T275" s="222"/>
      <c r="U275" s="214"/>
      <c r="V275" s="222"/>
      <c r="W275" s="223"/>
      <c r="X275" s="222"/>
      <c r="Y275" s="214"/>
      <c r="Z275" s="222"/>
      <c r="AA275" s="223"/>
      <c r="AB275" s="222"/>
      <c r="AC275" s="214"/>
      <c r="AD275" s="222"/>
      <c r="AE275" s="222"/>
    </row>
    <row r="276" spans="1:31" ht="36">
      <c r="A276" s="23"/>
      <c r="B276" s="215">
        <f>SUBTOTAL(103,$C$11:C276)</f>
        <v>266</v>
      </c>
      <c r="C276" s="215">
        <f>测试大纲!$A$13</f>
        <v>3</v>
      </c>
      <c r="D276" s="224" t="s">
        <v>159</v>
      </c>
      <c r="E276" s="227" t="s">
        <v>149</v>
      </c>
      <c r="F276" s="215"/>
      <c r="G276" s="218" t="str">
        <f>$D$9 &amp; "-"&amp;测试大纲!I$18&amp;"-"&amp;TEXT(SUBTOTAL(103,$C$275:C276),"000")</f>
        <v>Web-BBTJ-002</v>
      </c>
      <c r="H276" s="219" t="s">
        <v>337</v>
      </c>
      <c r="I276" s="219" t="s">
        <v>62</v>
      </c>
      <c r="J276" s="220" t="s">
        <v>727</v>
      </c>
      <c r="K276" s="226" t="s">
        <v>1008</v>
      </c>
      <c r="L276" s="215"/>
      <c r="M276" s="215"/>
      <c r="N276" s="220" t="s">
        <v>520</v>
      </c>
      <c r="O276" s="214"/>
      <c r="P276" s="222"/>
      <c r="Q276" s="222"/>
      <c r="R276" s="223"/>
      <c r="S276" s="223"/>
      <c r="T276" s="222"/>
      <c r="U276" s="214"/>
      <c r="V276" s="222"/>
      <c r="W276" s="223"/>
      <c r="X276" s="222"/>
      <c r="Y276" s="214"/>
      <c r="Z276" s="222"/>
      <c r="AA276" s="223"/>
      <c r="AB276" s="222"/>
      <c r="AC276" s="214"/>
      <c r="AD276" s="222"/>
      <c r="AE276" s="222"/>
    </row>
    <row r="277" spans="1:31" ht="24">
      <c r="A277" s="23"/>
      <c r="B277" s="215">
        <f>SUBTOTAL(103,$C$11:C277)</f>
        <v>267</v>
      </c>
      <c r="C277" s="215">
        <f>测试大纲!$A$13</f>
        <v>3</v>
      </c>
      <c r="D277" s="224" t="s">
        <v>159</v>
      </c>
      <c r="E277" s="227" t="s">
        <v>149</v>
      </c>
      <c r="F277" s="215"/>
      <c r="G277" s="218" t="str">
        <f>$D$9 &amp; "-"&amp;测试大纲!I$18&amp;"-"&amp;TEXT(SUBTOTAL(103,$C$275:C277),"000")</f>
        <v>Web-BBTJ-003</v>
      </c>
      <c r="H277" s="219" t="s">
        <v>337</v>
      </c>
      <c r="I277" s="219" t="s">
        <v>62</v>
      </c>
      <c r="J277" s="220" t="s">
        <v>741</v>
      </c>
      <c r="K277" s="226" t="s">
        <v>1008</v>
      </c>
      <c r="L277" s="215" t="s">
        <v>472</v>
      </c>
      <c r="M277" s="215"/>
      <c r="N277" s="220" t="s">
        <v>473</v>
      </c>
      <c r="O277" s="214"/>
      <c r="P277" s="222"/>
      <c r="Q277" s="222"/>
      <c r="R277" s="223"/>
      <c r="S277" s="223"/>
      <c r="T277" s="222"/>
      <c r="U277" s="214"/>
      <c r="V277" s="222"/>
      <c r="W277" s="223"/>
      <c r="X277" s="222"/>
      <c r="Y277" s="214"/>
      <c r="Z277" s="222"/>
      <c r="AA277" s="223"/>
      <c r="AB277" s="222"/>
      <c r="AC277" s="214"/>
      <c r="AD277" s="222"/>
      <c r="AE277" s="222"/>
    </row>
    <row r="278" spans="1:31" ht="24">
      <c r="A278" s="23"/>
      <c r="B278" s="215">
        <f>SUBTOTAL(103,$C$11:C278)</f>
        <v>268</v>
      </c>
      <c r="C278" s="215">
        <f>测试大纲!$A$13</f>
        <v>3</v>
      </c>
      <c r="D278" s="224" t="s">
        <v>159</v>
      </c>
      <c r="E278" s="227" t="s">
        <v>149</v>
      </c>
      <c r="F278" s="215"/>
      <c r="G278" s="218" t="str">
        <f>$D$9 &amp; "-"&amp;测试大纲!I$18&amp;"-"&amp;TEXT(SUBTOTAL(103,$C$275:C278),"000")</f>
        <v>Web-BBTJ-004</v>
      </c>
      <c r="H278" s="219" t="s">
        <v>340</v>
      </c>
      <c r="I278" s="219" t="s">
        <v>62</v>
      </c>
      <c r="J278" s="220" t="s">
        <v>826</v>
      </c>
      <c r="K278" s="226" t="s">
        <v>1008</v>
      </c>
      <c r="L278" s="215" t="s">
        <v>330</v>
      </c>
      <c r="M278" s="215" t="s">
        <v>827</v>
      </c>
      <c r="N278" s="220" t="s">
        <v>828</v>
      </c>
      <c r="O278" s="214"/>
      <c r="P278" s="222"/>
      <c r="Q278" s="222"/>
      <c r="R278" s="223"/>
      <c r="S278" s="223"/>
      <c r="T278" s="222"/>
      <c r="U278" s="214"/>
      <c r="V278" s="222"/>
      <c r="W278" s="223"/>
      <c r="X278" s="222"/>
      <c r="Y278" s="214"/>
      <c r="Z278" s="222"/>
      <c r="AA278" s="223"/>
      <c r="AB278" s="222"/>
      <c r="AC278" s="214"/>
      <c r="AD278" s="222"/>
      <c r="AE278" s="222"/>
    </row>
    <row r="279" spans="1:31" ht="24">
      <c r="A279" s="23"/>
      <c r="B279" s="215">
        <f>SUBTOTAL(103,$C$11:C279)</f>
        <v>269</v>
      </c>
      <c r="C279" s="215">
        <f>测试大纲!$A$13</f>
        <v>3</v>
      </c>
      <c r="D279" s="216" t="s">
        <v>159</v>
      </c>
      <c r="E279" s="227" t="s">
        <v>149</v>
      </c>
      <c r="F279" s="236"/>
      <c r="G279" s="218" t="str">
        <f>$D$9 &amp; "-"&amp;测试大纲!I$18&amp;"-"&amp;TEXT(SUBTOTAL(103,$C$275:C279),"000")</f>
        <v>Web-BBTJ-005</v>
      </c>
      <c r="H279" s="219" t="s">
        <v>337</v>
      </c>
      <c r="I279" s="219" t="s">
        <v>62</v>
      </c>
      <c r="J279" s="220" t="s">
        <v>160</v>
      </c>
      <c r="K279" s="226" t="s">
        <v>1008</v>
      </c>
      <c r="L279" s="230" t="s">
        <v>166</v>
      </c>
      <c r="M279" s="234" t="s">
        <v>392</v>
      </c>
      <c r="N279" s="220" t="s">
        <v>161</v>
      </c>
      <c r="O279" s="214"/>
      <c r="P279" s="222"/>
      <c r="Q279" s="222"/>
      <c r="R279" s="223"/>
      <c r="S279" s="223"/>
      <c r="T279" s="222"/>
      <c r="U279" s="214"/>
      <c r="V279" s="222"/>
      <c r="W279" s="223"/>
      <c r="X279" s="222"/>
      <c r="Y279" s="214"/>
      <c r="Z279" s="222"/>
      <c r="AA279" s="223"/>
      <c r="AB279" s="222"/>
      <c r="AC279" s="214"/>
      <c r="AD279" s="222"/>
      <c r="AE279" s="222"/>
    </row>
    <row r="280" spans="1:31" ht="24">
      <c r="A280" s="23"/>
      <c r="B280" s="215">
        <f>SUBTOTAL(103,$C$11:C280)</f>
        <v>270</v>
      </c>
      <c r="C280" s="215">
        <f>测试大纲!$A$13</f>
        <v>3</v>
      </c>
      <c r="D280" s="216" t="s">
        <v>159</v>
      </c>
      <c r="E280" s="227" t="s">
        <v>149</v>
      </c>
      <c r="F280" s="236"/>
      <c r="G280" s="218" t="str">
        <f>$D$9 &amp; "-"&amp;测试大纲!I$18&amp;"-"&amp;TEXT(SUBTOTAL(103,$C$275:C280),"000")</f>
        <v>Web-BBTJ-006</v>
      </c>
      <c r="H280" s="219" t="s">
        <v>337</v>
      </c>
      <c r="I280" s="219" t="s">
        <v>62</v>
      </c>
      <c r="J280" s="220" t="s">
        <v>228</v>
      </c>
      <c r="K280" s="226" t="s">
        <v>1008</v>
      </c>
      <c r="L280" s="227" t="s">
        <v>231</v>
      </c>
      <c r="M280" s="234" t="s">
        <v>394</v>
      </c>
      <c r="N280" s="220" t="s">
        <v>756</v>
      </c>
      <c r="O280" s="214"/>
      <c r="P280" s="222"/>
      <c r="Q280" s="222"/>
      <c r="R280" s="223"/>
      <c r="S280" s="223"/>
      <c r="T280" s="222"/>
      <c r="U280" s="214"/>
      <c r="V280" s="222"/>
      <c r="W280" s="223"/>
      <c r="X280" s="222"/>
      <c r="Y280" s="214"/>
      <c r="Z280" s="222"/>
      <c r="AA280" s="223"/>
      <c r="AB280" s="222"/>
      <c r="AC280" s="214"/>
      <c r="AD280" s="222"/>
      <c r="AE280" s="222"/>
    </row>
    <row r="281" spans="1:31" ht="24">
      <c r="A281" s="23"/>
      <c r="B281" s="215">
        <f>SUBTOTAL(103,$C$11:C281)</f>
        <v>271</v>
      </c>
      <c r="C281" s="215">
        <f>测试大纲!$A$13</f>
        <v>3</v>
      </c>
      <c r="D281" s="216" t="s">
        <v>159</v>
      </c>
      <c r="E281" s="227" t="s">
        <v>149</v>
      </c>
      <c r="F281" s="236"/>
      <c r="G281" s="218" t="str">
        <f>$D$9 &amp; "-"&amp;测试大纲!I$18&amp;"-"&amp;TEXT(SUBTOTAL(103,$C$275:C281),"000")</f>
        <v>Web-BBTJ-007</v>
      </c>
      <c r="H281" s="219" t="s">
        <v>337</v>
      </c>
      <c r="I281" s="219" t="s">
        <v>62</v>
      </c>
      <c r="J281" s="220" t="s">
        <v>189</v>
      </c>
      <c r="K281" s="226" t="s">
        <v>1008</v>
      </c>
      <c r="L281" s="227" t="s">
        <v>232</v>
      </c>
      <c r="M281" s="234" t="s">
        <v>391</v>
      </c>
      <c r="N281" s="220" t="s">
        <v>755</v>
      </c>
      <c r="O281" s="214"/>
      <c r="P281" s="222"/>
      <c r="Q281" s="222"/>
      <c r="R281" s="223"/>
      <c r="S281" s="223"/>
      <c r="T281" s="222"/>
      <c r="U281" s="214"/>
      <c r="V281" s="222"/>
      <c r="W281" s="223"/>
      <c r="X281" s="222"/>
      <c r="Y281" s="214"/>
      <c r="Z281" s="222"/>
      <c r="AA281" s="223"/>
      <c r="AB281" s="222"/>
      <c r="AC281" s="214"/>
      <c r="AD281" s="222"/>
      <c r="AE281" s="222"/>
    </row>
    <row r="282" spans="1:31" ht="24">
      <c r="A282" s="23"/>
      <c r="B282" s="215">
        <f>SUBTOTAL(103,$C$11:C282)</f>
        <v>272</v>
      </c>
      <c r="C282" s="215">
        <f>测试大纲!$A$13</f>
        <v>3</v>
      </c>
      <c r="D282" s="216" t="s">
        <v>159</v>
      </c>
      <c r="E282" s="227" t="s">
        <v>149</v>
      </c>
      <c r="F282" s="236"/>
      <c r="G282" s="218" t="str">
        <f>$D$9 &amp; "-"&amp;测试大纲!I$18&amp;"-"&amp;TEXT(SUBTOTAL(103,$C$275:C282),"000")</f>
        <v>Web-BBTJ-008</v>
      </c>
      <c r="H282" s="219" t="s">
        <v>337</v>
      </c>
      <c r="I282" s="219" t="s">
        <v>165</v>
      </c>
      <c r="J282" s="220" t="s">
        <v>573</v>
      </c>
      <c r="K282" s="226" t="s">
        <v>1008</v>
      </c>
      <c r="L282" s="227" t="s">
        <v>166</v>
      </c>
      <c r="M282" s="234" t="s">
        <v>395</v>
      </c>
      <c r="N282" s="220" t="s">
        <v>197</v>
      </c>
      <c r="O282" s="214"/>
      <c r="P282" s="222"/>
      <c r="Q282" s="222"/>
      <c r="R282" s="223"/>
      <c r="S282" s="223"/>
      <c r="T282" s="222"/>
      <c r="U282" s="214"/>
      <c r="V282" s="222"/>
      <c r="W282" s="223"/>
      <c r="X282" s="222"/>
      <c r="Y282" s="214"/>
      <c r="Z282" s="222"/>
      <c r="AA282" s="223"/>
      <c r="AB282" s="222"/>
      <c r="AC282" s="214"/>
      <c r="AD282" s="222"/>
      <c r="AE282" s="222"/>
    </row>
    <row r="283" spans="1:31" ht="24">
      <c r="A283" s="23"/>
      <c r="B283" s="215">
        <f>SUBTOTAL(103,$C$11:C283)</f>
        <v>273</v>
      </c>
      <c r="C283" s="215">
        <f>测试大纲!$A$13</f>
        <v>3</v>
      </c>
      <c r="D283" s="216" t="s">
        <v>159</v>
      </c>
      <c r="E283" s="227" t="s">
        <v>149</v>
      </c>
      <c r="F283" s="236"/>
      <c r="G283" s="218" t="str">
        <f>$D$9 &amp; "-"&amp;测试大纲!I$18&amp;"-"&amp;TEXT(SUBTOTAL(103,$C$275:C283),"000")</f>
        <v>Web-BBTJ-009</v>
      </c>
      <c r="H283" s="219" t="s">
        <v>337</v>
      </c>
      <c r="I283" s="219" t="s">
        <v>165</v>
      </c>
      <c r="J283" s="220" t="s">
        <v>225</v>
      </c>
      <c r="K283" s="226" t="s">
        <v>1008</v>
      </c>
      <c r="L283" s="227" t="s">
        <v>223</v>
      </c>
      <c r="M283" s="234" t="s">
        <v>393</v>
      </c>
      <c r="N283" s="220" t="s">
        <v>224</v>
      </c>
      <c r="O283" s="214"/>
      <c r="P283" s="222"/>
      <c r="Q283" s="222"/>
      <c r="R283" s="223"/>
      <c r="S283" s="223"/>
      <c r="T283" s="222"/>
      <c r="U283" s="214"/>
      <c r="V283" s="222"/>
      <c r="W283" s="223"/>
      <c r="X283" s="222"/>
      <c r="Y283" s="214"/>
      <c r="Z283" s="222"/>
      <c r="AA283" s="223"/>
      <c r="AB283" s="222"/>
      <c r="AC283" s="214"/>
      <c r="AD283" s="222"/>
      <c r="AE283" s="222"/>
    </row>
    <row r="284" spans="1:31" ht="48">
      <c r="A284" s="23"/>
      <c r="B284" s="215">
        <f>SUBTOTAL(103,$C$11:C284)</f>
        <v>274</v>
      </c>
      <c r="C284" s="215">
        <f>测试大纲!$A$13</f>
        <v>3</v>
      </c>
      <c r="D284" s="224" t="s">
        <v>159</v>
      </c>
      <c r="E284" s="227" t="s">
        <v>149</v>
      </c>
      <c r="F284" s="215"/>
      <c r="G284" s="218" t="str">
        <f>$D$9 &amp; "-"&amp;测试大纲!I$18&amp;"-"&amp;TEXT(SUBTOTAL(103,$C$275:C284),"000")</f>
        <v>Web-BBTJ-010</v>
      </c>
      <c r="H284" s="219" t="s">
        <v>337</v>
      </c>
      <c r="I284" s="219" t="s">
        <v>165</v>
      </c>
      <c r="J284" s="220" t="s">
        <v>614</v>
      </c>
      <c r="K284" s="226" t="s">
        <v>1008</v>
      </c>
      <c r="L284" s="215" t="s">
        <v>757</v>
      </c>
      <c r="M284" s="215" t="s">
        <v>758</v>
      </c>
      <c r="N284" s="220" t="s">
        <v>463</v>
      </c>
      <c r="O284" s="214"/>
      <c r="P284" s="222"/>
      <c r="Q284" s="222"/>
      <c r="R284" s="223"/>
      <c r="S284" s="223"/>
      <c r="T284" s="222"/>
      <c r="U284" s="214"/>
      <c r="V284" s="222"/>
      <c r="W284" s="223"/>
      <c r="X284" s="222"/>
      <c r="Y284" s="214"/>
      <c r="Z284" s="222"/>
      <c r="AA284" s="223"/>
      <c r="AB284" s="222"/>
      <c r="AC284" s="214"/>
      <c r="AD284" s="222"/>
      <c r="AE284" s="222"/>
    </row>
    <row r="285" spans="1:31" ht="48">
      <c r="A285" s="23"/>
      <c r="B285" s="215">
        <f>SUBTOTAL(103,$C$11:C285)</f>
        <v>275</v>
      </c>
      <c r="C285" s="215">
        <f>测试大纲!$A$13</f>
        <v>3</v>
      </c>
      <c r="D285" s="224" t="s">
        <v>159</v>
      </c>
      <c r="E285" s="227" t="s">
        <v>149</v>
      </c>
      <c r="F285" s="215"/>
      <c r="G285" s="218" t="str">
        <f>$D$9 &amp; "-"&amp;测试大纲!I$18&amp;"-"&amp;TEXT(SUBTOTAL(103,$C$275:C285),"000")</f>
        <v>Web-BBTJ-011</v>
      </c>
      <c r="H285" s="219" t="s">
        <v>337</v>
      </c>
      <c r="I285" s="219" t="s">
        <v>165</v>
      </c>
      <c r="J285" s="220" t="s">
        <v>759</v>
      </c>
      <c r="K285" s="226" t="s">
        <v>1008</v>
      </c>
      <c r="L285" s="215" t="s">
        <v>757</v>
      </c>
      <c r="M285" s="215" t="s">
        <v>761</v>
      </c>
      <c r="N285" s="220" t="s">
        <v>463</v>
      </c>
      <c r="O285" s="214"/>
      <c r="P285" s="222"/>
      <c r="Q285" s="222"/>
      <c r="R285" s="223"/>
      <c r="S285" s="223"/>
      <c r="T285" s="222"/>
      <c r="U285" s="214"/>
      <c r="V285" s="222"/>
      <c r="W285" s="223"/>
      <c r="X285" s="222"/>
      <c r="Y285" s="214"/>
      <c r="Z285" s="222"/>
      <c r="AA285" s="223"/>
      <c r="AB285" s="222"/>
      <c r="AC285" s="214"/>
      <c r="AD285" s="222"/>
      <c r="AE285" s="222"/>
    </row>
    <row r="286" spans="1:31" ht="48">
      <c r="A286" s="23"/>
      <c r="B286" s="215">
        <f>SUBTOTAL(103,$C$11:C286)</f>
        <v>276</v>
      </c>
      <c r="C286" s="215">
        <f>测试大纲!$A$13</f>
        <v>3</v>
      </c>
      <c r="D286" s="224" t="s">
        <v>159</v>
      </c>
      <c r="E286" s="227" t="s">
        <v>149</v>
      </c>
      <c r="F286" s="215"/>
      <c r="G286" s="218" t="str">
        <f>$D$9 &amp; "-"&amp;测试大纲!I$18&amp;"-"&amp;TEXT(SUBTOTAL(103,$C$275:C286),"000")</f>
        <v>Web-BBTJ-012</v>
      </c>
      <c r="H286" s="219" t="s">
        <v>337</v>
      </c>
      <c r="I286" s="219" t="s">
        <v>165</v>
      </c>
      <c r="J286" s="220" t="s">
        <v>760</v>
      </c>
      <c r="K286" s="226" t="s">
        <v>1008</v>
      </c>
      <c r="L286" s="215" t="s">
        <v>757</v>
      </c>
      <c r="M286" s="215" t="s">
        <v>762</v>
      </c>
      <c r="N286" s="220" t="s">
        <v>463</v>
      </c>
      <c r="O286" s="214"/>
      <c r="P286" s="222"/>
      <c r="Q286" s="222"/>
      <c r="R286" s="223"/>
      <c r="S286" s="223"/>
      <c r="T286" s="222"/>
      <c r="U286" s="214"/>
      <c r="V286" s="222"/>
      <c r="W286" s="223"/>
      <c r="X286" s="222"/>
      <c r="Y286" s="214"/>
      <c r="Z286" s="222"/>
      <c r="AA286" s="223"/>
      <c r="AB286" s="222"/>
      <c r="AC286" s="214"/>
      <c r="AD286" s="222"/>
      <c r="AE286" s="222"/>
    </row>
    <row r="287" spans="1:31" ht="48">
      <c r="A287" s="23"/>
      <c r="B287" s="215">
        <f>SUBTOTAL(103,$C$11:C287)</f>
        <v>277</v>
      </c>
      <c r="C287" s="215">
        <f>测试大纲!$A$13</f>
        <v>3</v>
      </c>
      <c r="D287" s="216" t="s">
        <v>159</v>
      </c>
      <c r="E287" s="227" t="s">
        <v>149</v>
      </c>
      <c r="F287" s="236"/>
      <c r="G287" s="218" t="str">
        <f>$D$9 &amp; "-"&amp;测试大纲!I$18&amp;"-"&amp;TEXT(SUBTOTAL(103,$C$275:C287),"000")</f>
        <v>Web-BBTJ-013</v>
      </c>
      <c r="H287" s="219" t="s">
        <v>337</v>
      </c>
      <c r="I287" s="219" t="s">
        <v>62</v>
      </c>
      <c r="J287" s="220" t="s">
        <v>163</v>
      </c>
      <c r="K287" s="226" t="s">
        <v>1008</v>
      </c>
      <c r="L287" s="227" t="s">
        <v>235</v>
      </c>
      <c r="M287" s="234" t="s">
        <v>396</v>
      </c>
      <c r="N287" s="220" t="s">
        <v>234</v>
      </c>
      <c r="O287" s="214"/>
      <c r="P287" s="222"/>
      <c r="Q287" s="222"/>
      <c r="R287" s="223"/>
      <c r="S287" s="223"/>
      <c r="T287" s="222"/>
      <c r="U287" s="214"/>
      <c r="V287" s="222"/>
      <c r="W287" s="223"/>
      <c r="X287" s="222"/>
      <c r="Y287" s="214"/>
      <c r="Z287" s="222"/>
      <c r="AA287" s="223"/>
      <c r="AB287" s="222"/>
      <c r="AC287" s="214"/>
      <c r="AD287" s="222"/>
      <c r="AE287" s="222"/>
    </row>
    <row r="288" spans="1:31" ht="24">
      <c r="A288" s="23"/>
      <c r="B288" s="215">
        <f>SUBTOTAL(103,$C$11:C288)</f>
        <v>278</v>
      </c>
      <c r="C288" s="215">
        <f>测试大纲!$A$13</f>
        <v>3</v>
      </c>
      <c r="D288" s="216" t="s">
        <v>159</v>
      </c>
      <c r="E288" s="227" t="s">
        <v>149</v>
      </c>
      <c r="F288" s="236"/>
      <c r="G288" s="218" t="str">
        <f>$D$9 &amp; "-"&amp;测试大纲!I$18&amp;"-"&amp;TEXT(SUBTOTAL(103,$C$275:C288),"000")</f>
        <v>Web-BBTJ-014</v>
      </c>
      <c r="H288" s="219" t="s">
        <v>337</v>
      </c>
      <c r="I288" s="219" t="s">
        <v>62</v>
      </c>
      <c r="J288" s="220" t="s">
        <v>211</v>
      </c>
      <c r="K288" s="226" t="s">
        <v>1008</v>
      </c>
      <c r="L288" s="227" t="s">
        <v>220</v>
      </c>
      <c r="M288" s="228"/>
      <c r="N288" s="220" t="s">
        <v>213</v>
      </c>
      <c r="O288" s="214"/>
      <c r="P288" s="222"/>
      <c r="Q288" s="222"/>
      <c r="R288" s="223"/>
      <c r="S288" s="223"/>
      <c r="T288" s="222"/>
      <c r="U288" s="214"/>
      <c r="V288" s="222"/>
      <c r="W288" s="223"/>
      <c r="X288" s="222"/>
      <c r="Y288" s="214"/>
      <c r="Z288" s="222"/>
      <c r="AA288" s="223"/>
      <c r="AB288" s="222"/>
      <c r="AC288" s="214"/>
      <c r="AD288" s="222"/>
      <c r="AE288" s="222"/>
    </row>
    <row r="289" spans="1:31" ht="24">
      <c r="A289" s="23"/>
      <c r="B289" s="215">
        <f>SUBTOTAL(103,$C$11:C289)</f>
        <v>279</v>
      </c>
      <c r="C289" s="215">
        <f>测试大纲!$A$13</f>
        <v>3</v>
      </c>
      <c r="D289" s="216" t="s">
        <v>159</v>
      </c>
      <c r="E289" s="227" t="s">
        <v>149</v>
      </c>
      <c r="F289" s="236"/>
      <c r="G289" s="218" t="str">
        <f>$D$9 &amp; "-"&amp;测试大纲!I$18&amp;"-"&amp;TEXT(SUBTOTAL(103,$C$275:C289),"000")</f>
        <v>Web-BBTJ-015</v>
      </c>
      <c r="H289" s="219" t="s">
        <v>340</v>
      </c>
      <c r="I289" s="219" t="s">
        <v>165</v>
      </c>
      <c r="J289" s="220" t="s">
        <v>408</v>
      </c>
      <c r="K289" s="226" t="s">
        <v>1009</v>
      </c>
      <c r="L289" s="225" t="s">
        <v>409</v>
      </c>
      <c r="M289" s="228"/>
      <c r="N289" s="220" t="s">
        <v>412</v>
      </c>
      <c r="O289" s="214"/>
      <c r="P289" s="222"/>
      <c r="Q289" s="222"/>
      <c r="R289" s="223"/>
      <c r="S289" s="223"/>
      <c r="T289" s="222"/>
      <c r="U289" s="214"/>
      <c r="V289" s="222"/>
      <c r="W289" s="223"/>
      <c r="X289" s="222"/>
      <c r="Y289" s="214"/>
      <c r="Z289" s="222"/>
      <c r="AA289" s="223"/>
      <c r="AB289" s="222"/>
      <c r="AC289" s="214"/>
      <c r="AD289" s="222"/>
      <c r="AE289" s="222"/>
    </row>
    <row r="290" spans="1:31" ht="48">
      <c r="A290" s="23"/>
      <c r="B290" s="215">
        <f>SUBTOTAL(103,$C$11:C290)</f>
        <v>280</v>
      </c>
      <c r="C290" s="215">
        <f>测试大纲!$A$13</f>
        <v>3</v>
      </c>
      <c r="D290" s="216" t="s">
        <v>159</v>
      </c>
      <c r="E290" s="227" t="s">
        <v>149</v>
      </c>
      <c r="F290" s="236"/>
      <c r="G290" s="218" t="str">
        <f>$D$9 &amp; "-"&amp;测试大纲!I$18&amp;"-"&amp;TEXT(SUBTOTAL(103,$C$275:C290),"000")</f>
        <v>Web-BBTJ-016</v>
      </c>
      <c r="H290" s="219" t="s">
        <v>337</v>
      </c>
      <c r="I290" s="219" t="s">
        <v>62</v>
      </c>
      <c r="J290" s="220" t="s">
        <v>236</v>
      </c>
      <c r="K290" s="226" t="s">
        <v>1008</v>
      </c>
      <c r="L290" s="227" t="s">
        <v>238</v>
      </c>
      <c r="M290" s="227" t="s">
        <v>237</v>
      </c>
      <c r="N290" s="220" t="s">
        <v>239</v>
      </c>
      <c r="O290" s="214"/>
      <c r="P290" s="222"/>
      <c r="Q290" s="222"/>
      <c r="R290" s="223"/>
      <c r="S290" s="223"/>
      <c r="T290" s="222"/>
      <c r="U290" s="214"/>
      <c r="V290" s="222"/>
      <c r="W290" s="223"/>
      <c r="X290" s="222"/>
      <c r="Y290" s="214"/>
      <c r="Z290" s="222"/>
      <c r="AA290" s="223"/>
      <c r="AB290" s="222"/>
      <c r="AC290" s="214"/>
      <c r="AD290" s="222"/>
      <c r="AE290" s="222"/>
    </row>
    <row r="291" spans="1:31" ht="24">
      <c r="A291" s="23"/>
      <c r="B291" s="215">
        <f>SUBTOTAL(103,$C$11:C291)</f>
        <v>281</v>
      </c>
      <c r="C291" s="215">
        <f>测试大纲!$A$13</f>
        <v>3</v>
      </c>
      <c r="D291" s="216" t="s">
        <v>159</v>
      </c>
      <c r="E291" s="227" t="s">
        <v>149</v>
      </c>
      <c r="F291" s="236"/>
      <c r="G291" s="218" t="str">
        <f>$D$9 &amp; "-"&amp;测试大纲!I$18&amp;"-"&amp;TEXT(SUBTOTAL(103,$C$275:C291),"000")</f>
        <v>Web-BBTJ-017</v>
      </c>
      <c r="H291" s="219" t="s">
        <v>337</v>
      </c>
      <c r="I291" s="219" t="s">
        <v>62</v>
      </c>
      <c r="J291" s="220" t="s">
        <v>164</v>
      </c>
      <c r="K291" s="226" t="s">
        <v>1008</v>
      </c>
      <c r="L291" s="228" t="s">
        <v>194</v>
      </c>
      <c r="M291" s="234" t="s">
        <v>353</v>
      </c>
      <c r="N291" s="220" t="s">
        <v>196</v>
      </c>
      <c r="O291" s="214"/>
      <c r="P291" s="222"/>
      <c r="Q291" s="222"/>
      <c r="R291" s="223"/>
      <c r="S291" s="223"/>
      <c r="T291" s="222"/>
      <c r="U291" s="214"/>
      <c r="V291" s="222"/>
      <c r="W291" s="223"/>
      <c r="X291" s="222"/>
      <c r="Y291" s="214"/>
      <c r="Z291" s="222"/>
      <c r="AA291" s="223"/>
      <c r="AB291" s="222"/>
      <c r="AC291" s="214"/>
      <c r="AD291" s="222"/>
      <c r="AE291" s="222"/>
    </row>
    <row r="292" spans="1:31" ht="24">
      <c r="A292" s="23"/>
      <c r="B292" s="215">
        <f>SUBTOTAL(103,$C$11:C292)</f>
        <v>282</v>
      </c>
      <c r="C292" s="215">
        <f>测试大纲!$A$13</f>
        <v>3</v>
      </c>
      <c r="D292" s="216" t="s">
        <v>159</v>
      </c>
      <c r="E292" s="227" t="s">
        <v>149</v>
      </c>
      <c r="F292" s="218"/>
      <c r="G292" s="218" t="str">
        <f>$D$9 &amp; "-"&amp;测试大纲!I$18&amp;"-"&amp;TEXT(SUBTOTAL(103,$C$275:C292),"000")</f>
        <v>Web-BBTJ-018</v>
      </c>
      <c r="H292" s="219" t="s">
        <v>340</v>
      </c>
      <c r="I292" s="219" t="s">
        <v>165</v>
      </c>
      <c r="J292" s="220" t="s">
        <v>584</v>
      </c>
      <c r="K292" s="225" t="s">
        <v>1008</v>
      </c>
      <c r="L292" s="215" t="s">
        <v>770</v>
      </c>
      <c r="M292" s="215" t="s">
        <v>531</v>
      </c>
      <c r="N292" s="220" t="s">
        <v>461</v>
      </c>
      <c r="O292" s="214"/>
      <c r="P292" s="222"/>
      <c r="Q292" s="222"/>
      <c r="R292" s="223"/>
      <c r="S292" s="223"/>
      <c r="T292" s="222"/>
      <c r="U292" s="214"/>
      <c r="V292" s="222"/>
      <c r="W292" s="223"/>
      <c r="X292" s="222"/>
      <c r="Y292" s="214"/>
      <c r="Z292" s="222"/>
      <c r="AA292" s="223"/>
      <c r="AB292" s="222"/>
      <c r="AC292" s="214"/>
      <c r="AD292" s="222"/>
      <c r="AE292" s="222"/>
    </row>
    <row r="293" spans="1:31" ht="24">
      <c r="A293" s="23"/>
      <c r="B293" s="215">
        <f>SUBTOTAL(103,$C$11:C293)</f>
        <v>283</v>
      </c>
      <c r="C293" s="215">
        <f>测试大纲!$A$13</f>
        <v>3</v>
      </c>
      <c r="D293" s="216" t="s">
        <v>159</v>
      </c>
      <c r="E293" s="227" t="s">
        <v>149</v>
      </c>
      <c r="F293" s="218"/>
      <c r="G293" s="218" t="str">
        <f>$D$9 &amp; "-"&amp;测试大纲!I$18&amp;"-"&amp;TEXT(SUBTOTAL(103,$C$275:C293),"000")</f>
        <v>Web-BBTJ-019</v>
      </c>
      <c r="H293" s="219" t="s">
        <v>340</v>
      </c>
      <c r="I293" s="219" t="s">
        <v>165</v>
      </c>
      <c r="J293" s="220" t="s">
        <v>585</v>
      </c>
      <c r="K293" s="225" t="s">
        <v>1008</v>
      </c>
      <c r="L293" s="215" t="s">
        <v>770</v>
      </c>
      <c r="M293" s="215" t="s">
        <v>530</v>
      </c>
      <c r="N293" s="220" t="s">
        <v>461</v>
      </c>
      <c r="O293" s="214"/>
      <c r="P293" s="222"/>
      <c r="Q293" s="222"/>
      <c r="R293" s="223"/>
      <c r="S293" s="223"/>
      <c r="T293" s="222"/>
      <c r="U293" s="214"/>
      <c r="V293" s="222"/>
      <c r="W293" s="223"/>
      <c r="X293" s="222"/>
      <c r="Y293" s="214"/>
      <c r="Z293" s="222"/>
      <c r="AA293" s="223"/>
      <c r="AB293" s="222"/>
      <c r="AC293" s="214"/>
      <c r="AD293" s="222"/>
      <c r="AE293" s="222"/>
    </row>
    <row r="294" spans="1:31" ht="24">
      <c r="A294" s="23"/>
      <c r="B294" s="215">
        <f>SUBTOTAL(103,$C$11:C294)</f>
        <v>284</v>
      </c>
      <c r="C294" s="215">
        <f>测试大纲!$A$13</f>
        <v>3</v>
      </c>
      <c r="D294" s="216" t="s">
        <v>159</v>
      </c>
      <c r="E294" s="227" t="s">
        <v>149</v>
      </c>
      <c r="F294" s="218"/>
      <c r="G294" s="218" t="str">
        <f>$D$9 &amp; "-"&amp;测试大纲!I$18&amp;"-"&amp;TEXT(SUBTOTAL(103,$C$275:C294),"000")</f>
        <v>Web-BBTJ-020</v>
      </c>
      <c r="H294" s="219" t="s">
        <v>340</v>
      </c>
      <c r="I294" s="219" t="s">
        <v>165</v>
      </c>
      <c r="J294" s="220" t="s">
        <v>586</v>
      </c>
      <c r="K294" s="225" t="s">
        <v>1008</v>
      </c>
      <c r="L294" s="215" t="s">
        <v>770</v>
      </c>
      <c r="M294" s="215" t="s">
        <v>532</v>
      </c>
      <c r="N294" s="220" t="s">
        <v>461</v>
      </c>
      <c r="O294" s="214"/>
      <c r="P294" s="222"/>
      <c r="Q294" s="222"/>
      <c r="R294" s="223"/>
      <c r="S294" s="223"/>
      <c r="T294" s="222"/>
      <c r="U294" s="214"/>
      <c r="V294" s="222"/>
      <c r="W294" s="223"/>
      <c r="X294" s="222"/>
      <c r="Y294" s="214"/>
      <c r="Z294" s="222"/>
      <c r="AA294" s="223"/>
      <c r="AB294" s="222"/>
      <c r="AC294" s="214"/>
      <c r="AD294" s="222"/>
      <c r="AE294" s="222"/>
    </row>
    <row r="295" spans="1:31" ht="24">
      <c r="A295" s="23"/>
      <c r="B295" s="215">
        <f>SUBTOTAL(103,$C$11:C295)</f>
        <v>285</v>
      </c>
      <c r="C295" s="215">
        <f>测试大纲!$A$13</f>
        <v>3</v>
      </c>
      <c r="D295" s="216" t="s">
        <v>159</v>
      </c>
      <c r="E295" s="227" t="s">
        <v>149</v>
      </c>
      <c r="F295" s="236"/>
      <c r="G295" s="218" t="str">
        <f>$D$9 &amp; "-"&amp;测试大纲!I$18&amp;"-"&amp;TEXT(SUBTOTAL(103,$C$275:C295),"000")</f>
        <v>Web-BBTJ-021</v>
      </c>
      <c r="H295" s="219" t="s">
        <v>337</v>
      </c>
      <c r="I295" s="219" t="s">
        <v>62</v>
      </c>
      <c r="J295" s="220" t="s">
        <v>209</v>
      </c>
      <c r="K295" s="225" t="s">
        <v>1008</v>
      </c>
      <c r="L295" s="231" t="s">
        <v>208</v>
      </c>
      <c r="M295" s="234" t="s">
        <v>397</v>
      </c>
      <c r="N295" s="231" t="s">
        <v>219</v>
      </c>
      <c r="O295" s="214"/>
      <c r="P295" s="222"/>
      <c r="Q295" s="222"/>
      <c r="R295" s="223"/>
      <c r="S295" s="223"/>
      <c r="T295" s="222"/>
      <c r="U295" s="214"/>
      <c r="V295" s="222"/>
      <c r="W295" s="223"/>
      <c r="X295" s="222"/>
      <c r="Y295" s="214"/>
      <c r="Z295" s="222"/>
      <c r="AA295" s="223"/>
      <c r="AB295" s="222"/>
      <c r="AC295" s="214"/>
      <c r="AD295" s="222"/>
      <c r="AE295" s="222"/>
    </row>
    <row r="296" spans="1:31" ht="36">
      <c r="A296" s="23"/>
      <c r="B296" s="215">
        <f>SUBTOTAL(103,$C$11:C296)</f>
        <v>286</v>
      </c>
      <c r="C296" s="215">
        <f>测试大纲!$A$13</f>
        <v>3</v>
      </c>
      <c r="D296" s="216" t="s">
        <v>159</v>
      </c>
      <c r="E296" s="227" t="s">
        <v>149</v>
      </c>
      <c r="F296" s="236"/>
      <c r="G296" s="218" t="str">
        <f>$D$9 &amp; "-"&amp;测试大纲!I$18&amp;"-"&amp;TEXT(SUBTOTAL(103,$C$275:C296),"000")</f>
        <v>Web-BBTJ-022</v>
      </c>
      <c r="H296" s="219" t="s">
        <v>337</v>
      </c>
      <c r="I296" s="219" t="s">
        <v>62</v>
      </c>
      <c r="J296" s="220" t="s">
        <v>170</v>
      </c>
      <c r="K296" s="225" t="s">
        <v>1010</v>
      </c>
      <c r="L296" s="230" t="s">
        <v>168</v>
      </c>
      <c r="M296" s="218"/>
      <c r="N296" s="220" t="s">
        <v>176</v>
      </c>
      <c r="O296" s="214"/>
      <c r="P296" s="222"/>
      <c r="Q296" s="222"/>
      <c r="R296" s="223"/>
      <c r="S296" s="223"/>
      <c r="T296" s="222"/>
      <c r="U296" s="214"/>
      <c r="V296" s="222"/>
      <c r="W296" s="223"/>
      <c r="X296" s="222"/>
      <c r="Y296" s="214"/>
      <c r="Z296" s="222"/>
      <c r="AA296" s="223"/>
      <c r="AB296" s="222"/>
      <c r="AC296" s="214"/>
      <c r="AD296" s="222"/>
      <c r="AE296" s="222"/>
    </row>
    <row r="297" spans="1:31" ht="36">
      <c r="A297" s="23"/>
      <c r="B297" s="215">
        <f>SUBTOTAL(103,$C$11:C297)</f>
        <v>287</v>
      </c>
      <c r="C297" s="215">
        <f>测试大纲!$A$13</f>
        <v>3</v>
      </c>
      <c r="D297" s="216" t="s">
        <v>159</v>
      </c>
      <c r="E297" s="227" t="s">
        <v>149</v>
      </c>
      <c r="F297" s="236"/>
      <c r="G297" s="218" t="str">
        <f>$D$9 &amp; "-"&amp;测试大纲!I$18&amp;"-"&amp;TEXT(SUBTOTAL(103,$C$275:C297),"000")</f>
        <v>Web-BBTJ-023</v>
      </c>
      <c r="H297" s="219" t="s">
        <v>337</v>
      </c>
      <c r="I297" s="219" t="s">
        <v>62</v>
      </c>
      <c r="J297" s="220" t="s">
        <v>169</v>
      </c>
      <c r="K297" s="225" t="s">
        <v>1010</v>
      </c>
      <c r="L297" s="230" t="s">
        <v>171</v>
      </c>
      <c r="M297" s="234" t="s">
        <v>389</v>
      </c>
      <c r="N297" s="220" t="s">
        <v>176</v>
      </c>
      <c r="O297" s="214"/>
      <c r="P297" s="222"/>
      <c r="Q297" s="222"/>
      <c r="R297" s="223"/>
      <c r="S297" s="223"/>
      <c r="T297" s="222"/>
      <c r="U297" s="214"/>
      <c r="V297" s="222"/>
      <c r="W297" s="223"/>
      <c r="X297" s="222"/>
      <c r="Y297" s="214"/>
      <c r="Z297" s="222"/>
      <c r="AA297" s="223"/>
      <c r="AB297" s="222"/>
      <c r="AC297" s="214"/>
      <c r="AD297" s="222"/>
      <c r="AE297" s="222"/>
    </row>
    <row r="298" spans="1:31" ht="36">
      <c r="A298" s="23"/>
      <c r="B298" s="215">
        <f>SUBTOTAL(103,$C$11:C298)</f>
        <v>288</v>
      </c>
      <c r="C298" s="215">
        <f>测试大纲!$A$13</f>
        <v>3</v>
      </c>
      <c r="D298" s="216" t="s">
        <v>159</v>
      </c>
      <c r="E298" s="227" t="s">
        <v>149</v>
      </c>
      <c r="F298" s="236"/>
      <c r="G298" s="218" t="str">
        <f>$D$9 &amp; "-"&amp;测试大纲!I$18&amp;"-"&amp;TEXT(SUBTOTAL(103,$C$275:C298),"000")</f>
        <v>Web-BBTJ-024</v>
      </c>
      <c r="H298" s="219" t="s">
        <v>337</v>
      </c>
      <c r="I298" s="219" t="s">
        <v>62</v>
      </c>
      <c r="J298" s="220" t="s">
        <v>172</v>
      </c>
      <c r="K298" s="225" t="s">
        <v>1010</v>
      </c>
      <c r="L298" s="230" t="s">
        <v>173</v>
      </c>
      <c r="M298" s="230"/>
      <c r="N298" s="220" t="s">
        <v>177</v>
      </c>
      <c r="O298" s="214"/>
      <c r="P298" s="222"/>
      <c r="Q298" s="222"/>
      <c r="R298" s="223"/>
      <c r="S298" s="223"/>
      <c r="T298" s="222"/>
      <c r="U298" s="214"/>
      <c r="V298" s="222"/>
      <c r="W298" s="223"/>
      <c r="X298" s="222"/>
      <c r="Y298" s="214"/>
      <c r="Z298" s="222"/>
      <c r="AA298" s="223"/>
      <c r="AB298" s="222"/>
      <c r="AC298" s="214"/>
      <c r="AD298" s="222"/>
      <c r="AE298" s="222"/>
    </row>
    <row r="299" spans="1:31" ht="36">
      <c r="A299" s="23"/>
      <c r="B299" s="215">
        <f>SUBTOTAL(103,$C$11:C299)</f>
        <v>289</v>
      </c>
      <c r="C299" s="215">
        <f>测试大纲!$A$13</f>
        <v>3</v>
      </c>
      <c r="D299" s="216" t="s">
        <v>159</v>
      </c>
      <c r="E299" s="227" t="s">
        <v>149</v>
      </c>
      <c r="F299" s="236"/>
      <c r="G299" s="218" t="str">
        <f>$D$9 &amp; "-"&amp;测试大纲!I$18&amp;"-"&amp;TEXT(SUBTOTAL(103,$C$275:C299),"000")</f>
        <v>Web-BBTJ-025</v>
      </c>
      <c r="H299" s="219" t="s">
        <v>337</v>
      </c>
      <c r="I299" s="219" t="s">
        <v>62</v>
      </c>
      <c r="J299" s="220" t="s">
        <v>174</v>
      </c>
      <c r="K299" s="225" t="s">
        <v>1010</v>
      </c>
      <c r="L299" s="230" t="s">
        <v>175</v>
      </c>
      <c r="M299" s="230"/>
      <c r="N299" s="220" t="s">
        <v>178</v>
      </c>
      <c r="O299" s="214"/>
      <c r="P299" s="222"/>
      <c r="Q299" s="222"/>
      <c r="R299" s="223"/>
      <c r="S299" s="223"/>
      <c r="T299" s="222"/>
      <c r="U299" s="214"/>
      <c r="V299" s="222"/>
      <c r="W299" s="223"/>
      <c r="X299" s="222"/>
      <c r="Y299" s="214"/>
      <c r="Z299" s="222"/>
      <c r="AA299" s="223"/>
      <c r="AB299" s="222"/>
      <c r="AC299" s="214"/>
      <c r="AD299" s="222"/>
      <c r="AE299" s="222"/>
    </row>
    <row r="300" spans="1:31" ht="36">
      <c r="A300" s="23"/>
      <c r="B300" s="215">
        <f>SUBTOTAL(103,$C$11:C300)</f>
        <v>290</v>
      </c>
      <c r="C300" s="215">
        <f>测试大纲!$A$13</f>
        <v>3</v>
      </c>
      <c r="D300" s="216" t="s">
        <v>159</v>
      </c>
      <c r="E300" s="227" t="s">
        <v>149</v>
      </c>
      <c r="F300" s="236"/>
      <c r="G300" s="218" t="str">
        <f>$D$9 &amp; "-"&amp;测试大纲!I$18&amp;"-"&amp;TEXT(SUBTOTAL(103,$C$275:C300),"000")</f>
        <v>Web-BBTJ-026</v>
      </c>
      <c r="H300" s="219" t="s">
        <v>337</v>
      </c>
      <c r="I300" s="219" t="s">
        <v>165</v>
      </c>
      <c r="J300" s="220" t="s">
        <v>881</v>
      </c>
      <c r="K300" s="225" t="s">
        <v>1010</v>
      </c>
      <c r="L300" s="215" t="s">
        <v>171</v>
      </c>
      <c r="M300" s="234" t="s">
        <v>388</v>
      </c>
      <c r="N300" s="220" t="s">
        <v>210</v>
      </c>
      <c r="O300" s="214"/>
      <c r="P300" s="222"/>
      <c r="Q300" s="222"/>
      <c r="R300" s="223"/>
      <c r="S300" s="223"/>
      <c r="T300" s="222"/>
      <c r="U300" s="214"/>
      <c r="V300" s="222"/>
      <c r="W300" s="223"/>
      <c r="X300" s="222"/>
      <c r="Y300" s="214"/>
      <c r="Z300" s="222"/>
      <c r="AA300" s="223"/>
      <c r="AB300" s="222"/>
      <c r="AC300" s="214"/>
      <c r="AD300" s="222"/>
      <c r="AE300" s="222"/>
    </row>
    <row r="301" spans="1:31" ht="36">
      <c r="A301" s="23"/>
      <c r="B301" s="215">
        <f>SUBTOTAL(103,$C$11:C301)</f>
        <v>291</v>
      </c>
      <c r="C301" s="215">
        <f>测试大纲!$A$13</f>
        <v>3</v>
      </c>
      <c r="D301" s="216" t="s">
        <v>159</v>
      </c>
      <c r="E301" s="227" t="s">
        <v>149</v>
      </c>
      <c r="F301" s="218"/>
      <c r="G301" s="218" t="str">
        <f>$D$9 &amp; "-"&amp;测试大纲!I$18&amp;"-"&amp;TEXT(SUBTOTAL(103,$C$275:C301),"000")</f>
        <v>Web-BBTJ-027</v>
      </c>
      <c r="H301" s="219" t="s">
        <v>337</v>
      </c>
      <c r="I301" s="219" t="s">
        <v>62</v>
      </c>
      <c r="J301" s="220" t="s">
        <v>432</v>
      </c>
      <c r="K301" s="225" t="s">
        <v>1010</v>
      </c>
      <c r="L301" s="230"/>
      <c r="M301" s="231"/>
      <c r="N301" s="220" t="s">
        <v>433</v>
      </c>
      <c r="O301" s="214"/>
      <c r="P301" s="222"/>
      <c r="Q301" s="222"/>
      <c r="R301" s="223"/>
      <c r="S301" s="223"/>
      <c r="T301" s="222"/>
      <c r="U301" s="214"/>
      <c r="V301" s="222"/>
      <c r="W301" s="223"/>
      <c r="X301" s="222"/>
      <c r="Y301" s="214"/>
      <c r="Z301" s="222"/>
      <c r="AA301" s="223"/>
      <c r="AB301" s="222"/>
      <c r="AC301" s="214"/>
      <c r="AD301" s="222"/>
      <c r="AE301" s="222"/>
    </row>
    <row r="302" spans="1:31" ht="36">
      <c r="A302" s="23"/>
      <c r="B302" s="215">
        <f>SUBTOTAL(103,$C$11:C302)</f>
        <v>292</v>
      </c>
      <c r="C302" s="215">
        <f>测试大纲!$A$13</f>
        <v>3</v>
      </c>
      <c r="D302" s="216" t="s">
        <v>159</v>
      </c>
      <c r="E302" s="227" t="s">
        <v>149</v>
      </c>
      <c r="F302" s="218"/>
      <c r="G302" s="218" t="str">
        <f>$D$9 &amp; "-"&amp;测试大纲!I$18&amp;"-"&amp;TEXT(SUBTOTAL(103,$C$275:C302),"000")</f>
        <v>Web-BBTJ-028</v>
      </c>
      <c r="H302" s="219" t="s">
        <v>337</v>
      </c>
      <c r="I302" s="219" t="s">
        <v>62</v>
      </c>
      <c r="J302" s="220" t="s">
        <v>434</v>
      </c>
      <c r="K302" s="225" t="s">
        <v>1010</v>
      </c>
      <c r="L302" s="225" t="s">
        <v>415</v>
      </c>
      <c r="M302" s="231"/>
      <c r="N302" s="220" t="s">
        <v>433</v>
      </c>
      <c r="O302" s="214"/>
      <c r="P302" s="222"/>
      <c r="Q302" s="222"/>
      <c r="R302" s="223"/>
      <c r="S302" s="223"/>
      <c r="T302" s="222"/>
      <c r="U302" s="214"/>
      <c r="V302" s="222"/>
      <c r="W302" s="223"/>
      <c r="X302" s="222"/>
      <c r="Y302" s="214"/>
      <c r="Z302" s="222"/>
      <c r="AA302" s="223"/>
      <c r="AB302" s="222"/>
      <c r="AC302" s="214"/>
      <c r="AD302" s="222"/>
      <c r="AE302" s="222"/>
    </row>
    <row r="303" spans="1:31" ht="36">
      <c r="A303" s="23"/>
      <c r="B303" s="215">
        <f>SUBTOTAL(103,$C$11:C303)</f>
        <v>293</v>
      </c>
      <c r="C303" s="215">
        <f>测试大纲!$A$13</f>
        <v>3</v>
      </c>
      <c r="D303" s="216" t="s">
        <v>159</v>
      </c>
      <c r="E303" s="227" t="s">
        <v>149</v>
      </c>
      <c r="F303" s="218"/>
      <c r="G303" s="218" t="str">
        <f>$D$9 &amp; "-"&amp;测试大纲!I$18&amp;"-"&amp;TEXT(SUBTOTAL(103,$C$275:C303),"000")</f>
        <v>Web-BBTJ-029</v>
      </c>
      <c r="H303" s="219" t="s">
        <v>337</v>
      </c>
      <c r="I303" s="219" t="s">
        <v>62</v>
      </c>
      <c r="J303" s="220" t="s">
        <v>435</v>
      </c>
      <c r="K303" s="225" t="s">
        <v>1010</v>
      </c>
      <c r="L303" s="225" t="s">
        <v>436</v>
      </c>
      <c r="M303" s="225" t="s">
        <v>437</v>
      </c>
      <c r="N303" s="220" t="s">
        <v>438</v>
      </c>
      <c r="O303" s="214"/>
      <c r="P303" s="222"/>
      <c r="Q303" s="222"/>
      <c r="R303" s="223"/>
      <c r="S303" s="223"/>
      <c r="T303" s="222"/>
      <c r="U303" s="214"/>
      <c r="V303" s="222"/>
      <c r="W303" s="223"/>
      <c r="X303" s="222"/>
      <c r="Y303" s="214"/>
      <c r="Z303" s="222"/>
      <c r="AA303" s="223"/>
      <c r="AB303" s="222"/>
      <c r="AC303" s="214"/>
      <c r="AD303" s="222"/>
      <c r="AE303" s="222"/>
    </row>
    <row r="304" spans="1:31" ht="36">
      <c r="A304" s="23"/>
      <c r="B304" s="215">
        <f>SUBTOTAL(103,$C$11:C304)</f>
        <v>294</v>
      </c>
      <c r="C304" s="215">
        <f>测试大纲!$A$13</f>
        <v>3</v>
      </c>
      <c r="D304" s="224" t="s">
        <v>159</v>
      </c>
      <c r="E304" s="227" t="s">
        <v>149</v>
      </c>
      <c r="F304" s="215"/>
      <c r="G304" s="218" t="str">
        <f>$D$9 &amp; "-"&amp;测试大纲!I$18&amp;"-"&amp;TEXT(SUBTOTAL(103,$C$275:C304),"000")</f>
        <v>Web-BBTJ-030</v>
      </c>
      <c r="H304" s="219" t="s">
        <v>337</v>
      </c>
      <c r="I304" s="219" t="s">
        <v>62</v>
      </c>
      <c r="J304" s="220" t="s">
        <v>595</v>
      </c>
      <c r="K304" s="225" t="s">
        <v>1010</v>
      </c>
      <c r="L304" s="215" t="s">
        <v>476</v>
      </c>
      <c r="M304" s="215"/>
      <c r="N304" s="220" t="s">
        <v>477</v>
      </c>
      <c r="O304" s="214"/>
      <c r="P304" s="222"/>
      <c r="Q304" s="222"/>
      <c r="R304" s="223"/>
      <c r="S304" s="223"/>
      <c r="T304" s="222"/>
      <c r="U304" s="214"/>
      <c r="V304" s="222"/>
      <c r="W304" s="223"/>
      <c r="X304" s="222"/>
      <c r="Y304" s="214"/>
      <c r="Z304" s="222"/>
      <c r="AA304" s="223"/>
      <c r="AB304" s="222"/>
      <c r="AC304" s="214"/>
      <c r="AD304" s="222"/>
      <c r="AE304" s="222"/>
    </row>
    <row r="305" spans="1:31" ht="48">
      <c r="A305" s="23"/>
      <c r="B305" s="215">
        <f>SUBTOTAL(103,$C$11:C305)</f>
        <v>295</v>
      </c>
      <c r="C305" s="215">
        <f>测试大纲!$A$13</f>
        <v>3</v>
      </c>
      <c r="D305" s="224" t="s">
        <v>159</v>
      </c>
      <c r="E305" s="227" t="s">
        <v>149</v>
      </c>
      <c r="F305" s="215"/>
      <c r="G305" s="218" t="str">
        <f>$D$9 &amp; "-"&amp;测试大纲!I$18&amp;"-"&amp;TEXT(SUBTOTAL(103,$C$275:C305),"000")</f>
        <v>Web-BBTJ-031</v>
      </c>
      <c r="H305" s="219" t="s">
        <v>337</v>
      </c>
      <c r="I305" s="219" t="s">
        <v>165</v>
      </c>
      <c r="J305" s="220" t="s">
        <v>596</v>
      </c>
      <c r="K305" s="225" t="s">
        <v>1010</v>
      </c>
      <c r="L305" s="215" t="s">
        <v>930</v>
      </c>
      <c r="M305" s="215" t="s">
        <v>480</v>
      </c>
      <c r="N305" s="220" t="s">
        <v>481</v>
      </c>
      <c r="O305" s="214"/>
      <c r="P305" s="222"/>
      <c r="Q305" s="222"/>
      <c r="R305" s="223"/>
      <c r="S305" s="223"/>
      <c r="T305" s="222"/>
      <c r="U305" s="214"/>
      <c r="V305" s="222"/>
      <c r="W305" s="223"/>
      <c r="X305" s="222"/>
      <c r="Y305" s="214"/>
      <c r="Z305" s="222"/>
      <c r="AA305" s="223"/>
      <c r="AB305" s="222"/>
      <c r="AC305" s="214"/>
      <c r="AD305" s="222"/>
      <c r="AE305" s="222"/>
    </row>
    <row r="306" spans="1:31">
      <c r="A306" s="23"/>
      <c r="B306" s="64"/>
      <c r="C306" s="62"/>
      <c r="D306" s="65"/>
      <c r="E306" s="66"/>
      <c r="F306" s="65"/>
      <c r="G306" s="67"/>
      <c r="H306" s="67"/>
      <c r="I306" s="71"/>
      <c r="J306" s="70"/>
      <c r="K306" s="23"/>
      <c r="L306" s="70"/>
      <c r="M306" s="70"/>
      <c r="N306" s="70"/>
      <c r="O306" s="40"/>
      <c r="P306" s="23"/>
      <c r="Q306" s="23"/>
      <c r="R306" s="72"/>
      <c r="S306" s="72"/>
      <c r="T306" s="23"/>
      <c r="U306" s="40"/>
      <c r="V306" s="23"/>
      <c r="W306" s="72"/>
      <c r="X306" s="23"/>
      <c r="Y306" s="40"/>
      <c r="Z306" s="23"/>
      <c r="AA306" s="72"/>
      <c r="AB306" s="23"/>
      <c r="AC306" s="40"/>
      <c r="AD306" s="23"/>
      <c r="AE306" s="23"/>
    </row>
    <row r="307" spans="1:31">
      <c r="A307" s="23"/>
      <c r="B307" s="64"/>
      <c r="C307" s="62"/>
      <c r="D307" s="65"/>
      <c r="E307" s="66"/>
      <c r="F307" s="65"/>
      <c r="G307" s="67"/>
      <c r="H307" s="67"/>
      <c r="I307" s="71"/>
      <c r="J307" s="70"/>
      <c r="K307" s="23"/>
      <c r="L307" s="70"/>
      <c r="M307" s="70"/>
      <c r="N307" s="70"/>
      <c r="O307" s="40"/>
      <c r="P307" s="23"/>
      <c r="Q307" s="23"/>
      <c r="R307" s="72"/>
      <c r="S307" s="72"/>
      <c r="T307" s="23"/>
      <c r="U307" s="40"/>
      <c r="V307" s="23"/>
      <c r="W307" s="72"/>
      <c r="X307" s="23"/>
      <c r="Y307" s="40"/>
      <c r="Z307" s="23"/>
      <c r="AA307" s="72"/>
      <c r="AB307" s="23"/>
      <c r="AC307" s="40"/>
      <c r="AD307" s="23"/>
      <c r="AE307" s="23"/>
    </row>
    <row r="308" spans="1:31">
      <c r="A308" s="23"/>
      <c r="B308" s="64"/>
      <c r="C308" s="62"/>
      <c r="D308" s="65"/>
      <c r="E308" s="66"/>
      <c r="F308" s="65"/>
      <c r="G308" s="67"/>
      <c r="H308" s="67"/>
      <c r="I308" s="71"/>
      <c r="J308" s="70"/>
      <c r="K308" s="23"/>
      <c r="L308" s="70"/>
      <c r="M308" s="70"/>
      <c r="N308" s="70"/>
      <c r="O308" s="40"/>
      <c r="P308" s="23"/>
      <c r="Q308" s="23"/>
      <c r="R308" s="72"/>
      <c r="S308" s="72"/>
      <c r="T308" s="23"/>
      <c r="U308" s="40"/>
      <c r="V308" s="23"/>
      <c r="W308" s="72"/>
      <c r="X308" s="23"/>
      <c r="Y308" s="40"/>
      <c r="Z308" s="23"/>
      <c r="AA308" s="72"/>
      <c r="AB308" s="23"/>
      <c r="AC308" s="40"/>
      <c r="AD308" s="23"/>
      <c r="AE308" s="23"/>
    </row>
    <row r="309" spans="1:31">
      <c r="A309" s="23"/>
      <c r="B309" s="64"/>
      <c r="C309" s="62"/>
      <c r="D309" s="65"/>
      <c r="E309" s="66"/>
      <c r="F309" s="65"/>
      <c r="G309" s="67"/>
      <c r="H309" s="67"/>
      <c r="I309" s="71"/>
      <c r="J309" s="70"/>
      <c r="K309" s="23"/>
      <c r="L309" s="70"/>
      <c r="M309" s="70"/>
      <c r="N309" s="70"/>
      <c r="O309" s="40"/>
      <c r="P309" s="23"/>
      <c r="Q309" s="23"/>
      <c r="R309" s="72"/>
      <c r="S309" s="72"/>
      <c r="T309" s="23"/>
      <c r="U309" s="40"/>
      <c r="V309" s="23"/>
      <c r="W309" s="72"/>
      <c r="X309" s="23"/>
      <c r="Y309" s="40"/>
      <c r="Z309" s="23"/>
      <c r="AA309" s="72"/>
      <c r="AB309" s="23"/>
      <c r="AC309" s="40"/>
      <c r="AD309" s="23"/>
      <c r="AE309" s="23"/>
    </row>
    <row r="310" spans="1:31">
      <c r="A310" s="23"/>
      <c r="B310" s="64"/>
      <c r="C310" s="62"/>
      <c r="D310" s="65"/>
      <c r="E310" s="66"/>
      <c r="F310" s="65"/>
      <c r="G310" s="67"/>
      <c r="H310" s="67"/>
      <c r="I310" s="71"/>
      <c r="J310" s="70"/>
      <c r="K310" s="23"/>
      <c r="L310" s="70"/>
      <c r="M310" s="70"/>
      <c r="N310" s="70"/>
      <c r="O310" s="40"/>
      <c r="P310" s="23"/>
      <c r="Q310" s="23"/>
      <c r="R310" s="72"/>
      <c r="S310" s="72"/>
      <c r="T310" s="23"/>
      <c r="U310" s="40"/>
      <c r="V310" s="23"/>
      <c r="W310" s="72"/>
      <c r="X310" s="23"/>
      <c r="Y310" s="40"/>
      <c r="Z310" s="23"/>
      <c r="AA310" s="72"/>
      <c r="AB310" s="23"/>
      <c r="AC310" s="40"/>
      <c r="AD310" s="23"/>
      <c r="AE310" s="23"/>
    </row>
    <row r="311" spans="1:31">
      <c r="A311" s="23"/>
      <c r="B311" s="64"/>
      <c r="C311" s="62"/>
      <c r="D311" s="65"/>
      <c r="E311" s="66"/>
      <c r="F311" s="65"/>
      <c r="G311" s="67"/>
      <c r="H311" s="67"/>
      <c r="I311" s="71"/>
      <c r="J311" s="70"/>
      <c r="K311" s="23"/>
      <c r="L311" s="70"/>
      <c r="M311" s="70"/>
      <c r="N311" s="70"/>
      <c r="O311" s="40"/>
      <c r="P311" s="23"/>
      <c r="Q311" s="23"/>
      <c r="R311" s="72"/>
      <c r="S311" s="72"/>
      <c r="T311" s="23"/>
      <c r="U311" s="40"/>
      <c r="V311" s="23"/>
      <c r="W311" s="72"/>
      <c r="X311" s="23"/>
      <c r="Y311" s="40"/>
      <c r="Z311" s="23"/>
      <c r="AA311" s="72"/>
      <c r="AB311" s="23"/>
      <c r="AC311" s="40"/>
      <c r="AD311" s="23"/>
      <c r="AE311" s="23"/>
    </row>
    <row r="312" spans="1:31">
      <c r="A312" s="23"/>
      <c r="B312" s="64"/>
      <c r="C312" s="62"/>
      <c r="D312" s="65"/>
      <c r="E312" s="66"/>
      <c r="F312" s="65"/>
      <c r="G312" s="67"/>
      <c r="H312" s="67"/>
      <c r="I312" s="71"/>
      <c r="J312" s="70"/>
      <c r="K312" s="23"/>
      <c r="L312" s="70"/>
      <c r="M312" s="70"/>
      <c r="N312" s="70"/>
      <c r="O312" s="40"/>
      <c r="P312" s="23"/>
      <c r="Q312" s="23"/>
      <c r="R312" s="72"/>
      <c r="S312" s="72"/>
      <c r="T312" s="23"/>
      <c r="U312" s="40"/>
      <c r="V312" s="23"/>
      <c r="W312" s="72"/>
      <c r="X312" s="23"/>
      <c r="Y312" s="40"/>
      <c r="Z312" s="23"/>
      <c r="AA312" s="72"/>
      <c r="AB312" s="23"/>
      <c r="AC312" s="40"/>
      <c r="AD312" s="23"/>
      <c r="AE312" s="23"/>
    </row>
    <row r="313" spans="1:31">
      <c r="A313" s="23"/>
      <c r="B313" s="64"/>
      <c r="C313" s="62"/>
      <c r="D313" s="65"/>
      <c r="E313" s="66"/>
      <c r="F313" s="65"/>
      <c r="G313" s="67"/>
      <c r="H313" s="67"/>
      <c r="I313" s="71"/>
      <c r="J313" s="70"/>
      <c r="K313" s="23"/>
      <c r="L313" s="70"/>
      <c r="M313" s="70"/>
      <c r="N313" s="70"/>
      <c r="O313" s="40"/>
      <c r="P313" s="23"/>
      <c r="Q313" s="23"/>
      <c r="R313" s="72"/>
      <c r="S313" s="72"/>
      <c r="T313" s="23"/>
      <c r="U313" s="40"/>
      <c r="V313" s="23"/>
      <c r="W313" s="72"/>
      <c r="X313" s="23"/>
      <c r="Y313" s="40"/>
      <c r="Z313" s="23"/>
      <c r="AA313" s="72"/>
      <c r="AB313" s="23"/>
      <c r="AC313" s="40"/>
      <c r="AD313" s="23"/>
      <c r="AE313" s="23"/>
    </row>
    <row r="314" spans="1:31">
      <c r="A314" s="23"/>
      <c r="B314" s="64"/>
      <c r="C314" s="62"/>
      <c r="D314" s="65"/>
      <c r="E314" s="66"/>
      <c r="F314" s="65"/>
      <c r="G314" s="67"/>
      <c r="H314" s="67"/>
      <c r="I314" s="71"/>
      <c r="J314" s="70"/>
      <c r="K314" s="23"/>
      <c r="L314" s="70"/>
      <c r="M314" s="70"/>
      <c r="N314" s="70"/>
      <c r="O314" s="40"/>
      <c r="P314" s="23"/>
      <c r="Q314" s="23"/>
      <c r="R314" s="72"/>
      <c r="S314" s="72"/>
      <c r="T314" s="23"/>
      <c r="U314" s="40"/>
      <c r="V314" s="23"/>
      <c r="W314" s="72"/>
      <c r="X314" s="23"/>
      <c r="Y314" s="40"/>
      <c r="Z314" s="23"/>
      <c r="AA314" s="72"/>
      <c r="AB314" s="23"/>
      <c r="AC314" s="40"/>
      <c r="AD314" s="23"/>
      <c r="AE314" s="23"/>
    </row>
    <row r="315" spans="1:31">
      <c r="A315" s="23"/>
      <c r="B315" s="64"/>
      <c r="C315" s="62"/>
      <c r="D315" s="65"/>
      <c r="E315" s="66"/>
      <c r="F315" s="65"/>
      <c r="G315" s="67"/>
      <c r="H315" s="67"/>
      <c r="I315" s="71"/>
      <c r="J315" s="70"/>
      <c r="K315" s="23"/>
      <c r="L315" s="70"/>
      <c r="M315" s="70"/>
      <c r="N315" s="70"/>
      <c r="O315" s="40"/>
      <c r="P315" s="23"/>
      <c r="Q315" s="23"/>
      <c r="R315" s="72"/>
      <c r="S315" s="72"/>
      <c r="T315" s="23"/>
      <c r="U315" s="40"/>
      <c r="V315" s="23"/>
      <c r="W315" s="72"/>
      <c r="X315" s="23"/>
      <c r="Y315" s="40"/>
      <c r="Z315" s="23"/>
      <c r="AA315" s="72"/>
      <c r="AB315" s="23"/>
      <c r="AC315" s="40"/>
      <c r="AD315" s="23"/>
      <c r="AE315" s="23"/>
    </row>
    <row r="316" spans="1:31">
      <c r="A316" s="23"/>
      <c r="B316" s="64"/>
      <c r="C316" s="62"/>
      <c r="D316" s="65"/>
      <c r="E316" s="66"/>
      <c r="F316" s="65"/>
      <c r="G316" s="67"/>
      <c r="H316" s="67"/>
      <c r="I316" s="71"/>
      <c r="J316" s="70"/>
      <c r="K316" s="23"/>
      <c r="L316" s="70"/>
      <c r="M316" s="70"/>
      <c r="N316" s="70"/>
      <c r="O316" s="40"/>
      <c r="P316" s="23"/>
      <c r="Q316" s="23"/>
      <c r="R316" s="72"/>
      <c r="S316" s="72"/>
      <c r="T316" s="23"/>
      <c r="U316" s="40"/>
      <c r="V316" s="23"/>
      <c r="W316" s="72"/>
      <c r="X316" s="23"/>
      <c r="Y316" s="40"/>
      <c r="Z316" s="23"/>
      <c r="AA316" s="72"/>
      <c r="AB316" s="23"/>
      <c r="AC316" s="40"/>
      <c r="AD316" s="23"/>
      <c r="AE316" s="23"/>
    </row>
    <row r="317" spans="1:31">
      <c r="A317" s="23"/>
      <c r="B317" s="64"/>
      <c r="C317" s="62"/>
      <c r="D317" s="65"/>
      <c r="E317" s="66"/>
      <c r="F317" s="65"/>
      <c r="G317" s="67"/>
      <c r="H317" s="67"/>
      <c r="I317" s="71"/>
      <c r="J317" s="70"/>
      <c r="K317" s="23"/>
      <c r="L317" s="70"/>
      <c r="M317" s="70"/>
      <c r="N317" s="70"/>
      <c r="O317" s="40"/>
      <c r="P317" s="23"/>
      <c r="Q317" s="23"/>
      <c r="R317" s="72"/>
      <c r="S317" s="72"/>
      <c r="T317" s="23"/>
      <c r="U317" s="40"/>
      <c r="V317" s="23"/>
      <c r="W317" s="72"/>
      <c r="X317" s="23"/>
      <c r="Y317" s="40"/>
      <c r="Z317" s="23"/>
      <c r="AA317" s="72"/>
      <c r="AB317" s="23"/>
      <c r="AC317" s="40"/>
      <c r="AD317" s="23"/>
      <c r="AE317" s="23"/>
    </row>
    <row r="318" spans="1:31">
      <c r="A318" s="23"/>
      <c r="B318" s="64"/>
      <c r="C318" s="62"/>
      <c r="D318" s="65"/>
      <c r="E318" s="66"/>
      <c r="F318" s="65"/>
      <c r="G318" s="67"/>
      <c r="H318" s="67"/>
      <c r="I318" s="71"/>
      <c r="J318" s="70"/>
      <c r="K318" s="23"/>
      <c r="L318" s="70"/>
      <c r="M318" s="70"/>
      <c r="N318" s="70"/>
      <c r="O318" s="40"/>
      <c r="P318" s="23"/>
      <c r="Q318" s="23"/>
      <c r="R318" s="72"/>
      <c r="S318" s="72"/>
      <c r="T318" s="23"/>
      <c r="U318" s="40"/>
      <c r="V318" s="23"/>
      <c r="W318" s="72"/>
      <c r="X318" s="23"/>
      <c r="Y318" s="40"/>
      <c r="Z318" s="23"/>
      <c r="AA318" s="72"/>
      <c r="AB318" s="23"/>
      <c r="AC318" s="40"/>
      <c r="AD318" s="23"/>
      <c r="AE318" s="23"/>
    </row>
    <row r="319" spans="1:31">
      <c r="A319" s="23"/>
      <c r="B319" s="64"/>
      <c r="C319" s="62"/>
      <c r="D319" s="65"/>
      <c r="E319" s="66"/>
      <c r="F319" s="65"/>
      <c r="G319" s="67"/>
      <c r="H319" s="67"/>
      <c r="I319" s="71"/>
      <c r="J319" s="70"/>
      <c r="K319" s="23"/>
      <c r="L319" s="70"/>
      <c r="M319" s="70"/>
      <c r="N319" s="70"/>
      <c r="O319" s="40"/>
      <c r="P319" s="23"/>
      <c r="Q319" s="23"/>
      <c r="R319" s="72"/>
      <c r="S319" s="72"/>
      <c r="T319" s="23"/>
      <c r="U319" s="40"/>
      <c r="V319" s="23"/>
      <c r="W319" s="72"/>
      <c r="X319" s="23"/>
      <c r="Y319" s="40"/>
      <c r="Z319" s="23"/>
      <c r="AA319" s="72"/>
      <c r="AB319" s="23"/>
      <c r="AC319" s="40"/>
      <c r="AD319" s="23"/>
      <c r="AE319" s="23"/>
    </row>
    <row r="320" spans="1:31">
      <c r="A320" s="23"/>
      <c r="B320" s="64"/>
      <c r="C320" s="62"/>
      <c r="D320" s="65"/>
      <c r="E320" s="66"/>
      <c r="F320" s="65"/>
      <c r="G320" s="67"/>
      <c r="H320" s="67"/>
      <c r="I320" s="71"/>
      <c r="J320" s="70"/>
      <c r="K320" s="23"/>
      <c r="L320" s="70"/>
      <c r="M320" s="70"/>
      <c r="N320" s="70"/>
      <c r="O320" s="40"/>
      <c r="P320" s="23"/>
      <c r="Q320" s="23"/>
      <c r="R320" s="72"/>
      <c r="S320" s="72"/>
      <c r="T320" s="23"/>
      <c r="U320" s="40"/>
      <c r="V320" s="23"/>
      <c r="W320" s="72"/>
      <c r="X320" s="23"/>
      <c r="Y320" s="40"/>
      <c r="Z320" s="23"/>
      <c r="AA320" s="72"/>
      <c r="AB320" s="23"/>
      <c r="AC320" s="40"/>
      <c r="AD320" s="23"/>
      <c r="AE320" s="23"/>
    </row>
    <row r="321" spans="1:31">
      <c r="A321" s="23"/>
      <c r="B321" s="64"/>
      <c r="C321" s="62"/>
      <c r="D321" s="65"/>
      <c r="E321" s="66"/>
      <c r="F321" s="65"/>
      <c r="G321" s="67"/>
      <c r="H321" s="67"/>
      <c r="I321" s="71"/>
      <c r="J321" s="70"/>
      <c r="K321" s="23"/>
      <c r="L321" s="70"/>
      <c r="M321" s="70"/>
      <c r="N321" s="70"/>
      <c r="O321" s="40"/>
      <c r="P321" s="23"/>
      <c r="Q321" s="23"/>
      <c r="R321" s="72"/>
      <c r="S321" s="72"/>
      <c r="T321" s="23"/>
      <c r="U321" s="40"/>
      <c r="V321" s="23"/>
      <c r="W321" s="72"/>
      <c r="X321" s="23"/>
      <c r="Y321" s="40"/>
      <c r="Z321" s="23"/>
      <c r="AA321" s="72"/>
      <c r="AB321" s="23"/>
      <c r="AC321" s="40"/>
      <c r="AD321" s="23"/>
      <c r="AE321" s="23"/>
    </row>
    <row r="322" spans="1:31">
      <c r="A322" s="23"/>
      <c r="B322" s="64"/>
      <c r="C322" s="62"/>
      <c r="D322" s="65"/>
      <c r="E322" s="66"/>
      <c r="F322" s="65"/>
      <c r="G322" s="67"/>
      <c r="H322" s="67"/>
      <c r="I322" s="71"/>
      <c r="J322" s="70"/>
      <c r="K322" s="23"/>
      <c r="L322" s="70"/>
      <c r="M322" s="70"/>
      <c r="N322" s="70"/>
      <c r="O322" s="40"/>
      <c r="P322" s="23"/>
      <c r="Q322" s="23"/>
      <c r="R322" s="72" t="s">
        <v>63</v>
      </c>
      <c r="S322" s="72"/>
      <c r="T322" s="23"/>
      <c r="U322" s="40"/>
      <c r="V322" s="23"/>
      <c r="W322" s="72"/>
      <c r="X322" s="23"/>
      <c r="Y322" s="40"/>
      <c r="Z322" s="23"/>
      <c r="AA322" s="72"/>
      <c r="AB322" s="23"/>
      <c r="AC322" s="40"/>
      <c r="AD322" s="23"/>
      <c r="AE322" s="23"/>
    </row>
    <row r="323" spans="1:31">
      <c r="A323" s="23"/>
      <c r="B323" s="64"/>
      <c r="C323" s="62"/>
      <c r="D323" s="65"/>
      <c r="E323" s="66"/>
      <c r="F323" s="65"/>
      <c r="G323" s="67"/>
      <c r="H323" s="67"/>
      <c r="I323" s="71"/>
      <c r="J323" s="70"/>
      <c r="K323" s="23"/>
      <c r="L323" s="70"/>
      <c r="M323" s="70"/>
      <c r="N323" s="70"/>
      <c r="O323" s="40"/>
      <c r="P323" s="23"/>
      <c r="Q323" s="23"/>
      <c r="R323" s="72"/>
      <c r="S323" s="72"/>
      <c r="T323" s="23"/>
      <c r="U323" s="40"/>
      <c r="V323" s="23"/>
      <c r="W323" s="72"/>
      <c r="X323" s="23"/>
      <c r="Y323" s="40"/>
      <c r="Z323" s="23"/>
      <c r="AA323" s="72"/>
      <c r="AB323" s="23"/>
      <c r="AC323" s="40"/>
      <c r="AD323" s="23"/>
      <c r="AE323" s="23"/>
    </row>
    <row r="324" spans="1:31">
      <c r="A324" s="23"/>
      <c r="B324" s="64"/>
      <c r="C324" s="62"/>
      <c r="D324" s="65"/>
      <c r="E324" s="66"/>
      <c r="F324" s="65"/>
      <c r="G324" s="67"/>
      <c r="H324" s="67"/>
      <c r="I324" s="71"/>
      <c r="J324" s="70"/>
      <c r="K324" s="23"/>
      <c r="L324" s="70"/>
      <c r="M324" s="70"/>
      <c r="N324" s="70"/>
      <c r="O324" s="40"/>
      <c r="P324" s="23"/>
      <c r="Q324" s="23"/>
      <c r="R324" s="72"/>
      <c r="S324" s="72"/>
      <c r="T324" s="23"/>
      <c r="U324" s="40"/>
      <c r="V324" s="23"/>
      <c r="W324" s="72"/>
      <c r="X324" s="23"/>
      <c r="Y324" s="40"/>
      <c r="Z324" s="23"/>
      <c r="AA324" s="72"/>
      <c r="AB324" s="23"/>
      <c r="AC324" s="40"/>
      <c r="AD324" s="23"/>
      <c r="AE324" s="23"/>
    </row>
    <row r="325" spans="1:31">
      <c r="A325" s="23"/>
      <c r="B325" s="64"/>
      <c r="C325" s="62"/>
      <c r="D325" s="65"/>
      <c r="E325" s="66"/>
      <c r="F325" s="65"/>
      <c r="G325" s="67"/>
      <c r="H325" s="67"/>
      <c r="I325" s="71"/>
      <c r="J325" s="70"/>
      <c r="K325" s="23"/>
      <c r="L325" s="70"/>
      <c r="M325" s="70"/>
      <c r="N325" s="70"/>
      <c r="O325" s="40"/>
      <c r="P325" s="23"/>
      <c r="Q325" s="23"/>
      <c r="R325" s="72"/>
      <c r="S325" s="72"/>
      <c r="T325" s="23"/>
      <c r="U325" s="40"/>
      <c r="V325" s="23"/>
      <c r="W325" s="72"/>
      <c r="X325" s="23"/>
      <c r="Y325" s="40"/>
      <c r="Z325" s="23"/>
      <c r="AA325" s="72"/>
      <c r="AB325" s="23"/>
      <c r="AC325" s="40"/>
      <c r="AD325" s="23"/>
      <c r="AE325" s="23"/>
    </row>
    <row r="326" spans="1:31">
      <c r="A326" s="23"/>
      <c r="B326" s="64"/>
      <c r="C326" s="62"/>
      <c r="D326" s="65"/>
      <c r="E326" s="66"/>
      <c r="F326" s="65"/>
      <c r="G326" s="67"/>
      <c r="H326" s="67"/>
      <c r="I326" s="71"/>
      <c r="J326" s="70"/>
      <c r="K326" s="23"/>
      <c r="L326" s="70"/>
      <c r="M326" s="70"/>
      <c r="N326" s="70"/>
      <c r="O326" s="40"/>
      <c r="P326" s="23"/>
      <c r="Q326" s="23"/>
      <c r="R326" s="72"/>
      <c r="S326" s="72"/>
      <c r="T326" s="23"/>
      <c r="U326" s="40"/>
      <c r="V326" s="23"/>
      <c r="W326" s="72"/>
      <c r="X326" s="23"/>
      <c r="Y326" s="40"/>
      <c r="Z326" s="23"/>
      <c r="AA326" s="72"/>
      <c r="AB326" s="23"/>
      <c r="AC326" s="40"/>
      <c r="AD326" s="23"/>
      <c r="AE326" s="23"/>
    </row>
    <row r="327" spans="1:31">
      <c r="A327" s="23"/>
      <c r="B327" s="64"/>
      <c r="C327" s="62"/>
      <c r="D327" s="65"/>
      <c r="E327" s="66"/>
      <c r="F327" s="65"/>
      <c r="G327" s="67"/>
      <c r="H327" s="67"/>
      <c r="I327" s="71"/>
      <c r="J327" s="70"/>
      <c r="K327" s="23"/>
      <c r="L327" s="70"/>
      <c r="M327" s="70"/>
      <c r="N327" s="70"/>
      <c r="O327" s="40"/>
      <c r="P327" s="23"/>
      <c r="Q327" s="23"/>
      <c r="R327" s="72"/>
      <c r="S327" s="72"/>
      <c r="T327" s="23"/>
      <c r="U327" s="40"/>
      <c r="V327" s="23"/>
      <c r="W327" s="72"/>
      <c r="X327" s="23"/>
      <c r="Y327" s="40"/>
      <c r="Z327" s="23"/>
      <c r="AA327" s="72"/>
      <c r="AB327" s="23"/>
      <c r="AC327" s="40"/>
      <c r="AD327" s="23"/>
      <c r="AE327" s="23"/>
    </row>
    <row r="328" spans="1:31">
      <c r="A328" s="23"/>
      <c r="B328" s="64"/>
      <c r="C328" s="62"/>
      <c r="D328" s="65"/>
      <c r="E328" s="66"/>
      <c r="F328" s="65"/>
      <c r="G328" s="67"/>
      <c r="H328" s="67"/>
      <c r="I328" s="71"/>
      <c r="J328" s="70"/>
      <c r="K328" s="23"/>
      <c r="L328" s="70"/>
      <c r="M328" s="70"/>
      <c r="N328" s="70"/>
      <c r="O328" s="40"/>
      <c r="P328" s="23"/>
      <c r="Q328" s="23"/>
      <c r="R328" s="72"/>
      <c r="S328" s="72"/>
      <c r="T328" s="23"/>
      <c r="U328" s="40"/>
      <c r="V328" s="23"/>
      <c r="W328" s="72"/>
      <c r="X328" s="23"/>
      <c r="Y328" s="40"/>
      <c r="Z328" s="23"/>
      <c r="AA328" s="72"/>
      <c r="AB328" s="23"/>
      <c r="AC328" s="40"/>
      <c r="AD328" s="23"/>
      <c r="AE328" s="23"/>
    </row>
    <row r="329" spans="1:31" s="57" customFormat="1">
      <c r="A329" s="77"/>
      <c r="B329" s="78"/>
      <c r="C329" s="79"/>
      <c r="D329" s="81"/>
      <c r="E329" s="80"/>
      <c r="F329" s="81"/>
      <c r="G329" s="98"/>
      <c r="H329" s="98"/>
      <c r="I329" s="87"/>
      <c r="J329" s="89"/>
      <c r="K329" s="77"/>
      <c r="L329" s="89"/>
      <c r="M329" s="89"/>
      <c r="N329" s="89"/>
      <c r="O329" s="88"/>
      <c r="P329" s="77"/>
      <c r="Q329" s="77"/>
      <c r="R329" s="91"/>
      <c r="S329" s="91"/>
      <c r="T329" s="77"/>
      <c r="U329" s="88"/>
      <c r="V329" s="77"/>
      <c r="W329" s="91"/>
      <c r="X329" s="77"/>
      <c r="Y329" s="88"/>
      <c r="Z329" s="77"/>
      <c r="AA329" s="91"/>
      <c r="AB329" s="77"/>
      <c r="AC329" s="88"/>
      <c r="AD329" s="77"/>
      <c r="AE329" s="77"/>
    </row>
    <row r="330" spans="1:31" s="57" customFormat="1">
      <c r="A330" s="77"/>
      <c r="B330" s="78"/>
      <c r="C330" s="79"/>
      <c r="D330" s="65"/>
      <c r="E330" s="66"/>
      <c r="F330" s="81"/>
      <c r="G330" s="67"/>
      <c r="H330" s="67"/>
      <c r="I330" s="87"/>
      <c r="J330" s="89"/>
      <c r="K330" s="77"/>
      <c r="L330" s="89"/>
      <c r="M330" s="89"/>
      <c r="N330" s="89"/>
      <c r="O330" s="88"/>
      <c r="P330" s="77"/>
      <c r="Q330" s="77"/>
      <c r="R330" s="91"/>
      <c r="S330" s="91"/>
      <c r="T330" s="77"/>
      <c r="U330" s="88"/>
      <c r="V330" s="77"/>
      <c r="W330" s="91"/>
      <c r="X330" s="77"/>
      <c r="Y330" s="88"/>
      <c r="Z330" s="77"/>
      <c r="AA330" s="91"/>
      <c r="AB330" s="77"/>
      <c r="AC330" s="88"/>
      <c r="AD330" s="77"/>
      <c r="AE330" s="77"/>
    </row>
    <row r="331" spans="1:31" s="57" customFormat="1">
      <c r="A331" s="77"/>
      <c r="B331" s="78"/>
      <c r="C331" s="79"/>
      <c r="D331" s="81"/>
      <c r="E331" s="80"/>
      <c r="F331" s="81"/>
      <c r="G331" s="67"/>
      <c r="H331" s="98"/>
      <c r="I331" s="87"/>
      <c r="J331" s="89"/>
      <c r="K331" s="77"/>
      <c r="L331" s="89"/>
      <c r="M331" s="89"/>
      <c r="N331" s="89"/>
      <c r="O331" s="88"/>
      <c r="P331" s="77"/>
      <c r="Q331" s="77"/>
      <c r="R331" s="91"/>
      <c r="S331" s="91"/>
      <c r="T331" s="77"/>
      <c r="U331" s="88"/>
      <c r="V331" s="77"/>
      <c r="W331" s="91"/>
      <c r="X331" s="77"/>
      <c r="Y331" s="88"/>
      <c r="Z331" s="77"/>
      <c r="AA331" s="91"/>
      <c r="AB331" s="77"/>
      <c r="AC331" s="88"/>
      <c r="AD331" s="77"/>
      <c r="AE331" s="77"/>
    </row>
    <row r="332" spans="1:31" s="57" customFormat="1">
      <c r="A332" s="77"/>
      <c r="B332" s="78"/>
      <c r="C332" s="79"/>
      <c r="D332" s="65"/>
      <c r="E332" s="66"/>
      <c r="F332" s="81"/>
      <c r="G332" s="67"/>
      <c r="H332" s="67"/>
      <c r="I332" s="87"/>
      <c r="J332" s="89"/>
      <c r="K332" s="77"/>
      <c r="L332" s="89"/>
      <c r="M332" s="89"/>
      <c r="N332" s="89"/>
      <c r="O332" s="88"/>
      <c r="P332" s="77"/>
      <c r="Q332" s="77"/>
      <c r="R332" s="91"/>
      <c r="S332" s="91"/>
      <c r="T332" s="77"/>
      <c r="U332" s="88"/>
      <c r="V332" s="77"/>
      <c r="W332" s="91"/>
      <c r="X332" s="77"/>
      <c r="Y332" s="88"/>
      <c r="Z332" s="77"/>
      <c r="AA332" s="91"/>
      <c r="AB332" s="77"/>
      <c r="AC332" s="88"/>
      <c r="AD332" s="77"/>
      <c r="AE332" s="77"/>
    </row>
    <row r="333" spans="1:31">
      <c r="A333" s="23"/>
      <c r="B333" s="64"/>
      <c r="C333" s="62"/>
      <c r="D333" s="65"/>
      <c r="E333" s="66"/>
      <c r="F333" s="65"/>
      <c r="G333" s="67"/>
      <c r="H333" s="67"/>
      <c r="I333" s="71"/>
      <c r="J333" s="23"/>
      <c r="K333" s="23"/>
      <c r="L333" s="70"/>
      <c r="M333" s="70"/>
      <c r="N333" s="70"/>
      <c r="O333" s="40"/>
      <c r="P333" s="23"/>
      <c r="Q333" s="23"/>
      <c r="R333" s="72"/>
      <c r="S333" s="72"/>
      <c r="T333" s="23"/>
      <c r="U333" s="40"/>
      <c r="V333" s="23"/>
      <c r="W333" s="72"/>
      <c r="X333" s="23"/>
      <c r="Y333" s="40"/>
      <c r="Z333" s="23"/>
      <c r="AA333" s="72"/>
      <c r="AB333" s="23"/>
      <c r="AC333" s="40"/>
      <c r="AD333" s="23"/>
      <c r="AE333" s="23"/>
    </row>
    <row r="334" spans="1:31">
      <c r="A334" s="23"/>
      <c r="B334" s="64"/>
      <c r="C334" s="62"/>
      <c r="D334" s="65"/>
      <c r="E334" s="66"/>
      <c r="F334" s="65"/>
      <c r="G334" s="67"/>
      <c r="H334" s="67"/>
      <c r="I334" s="71"/>
      <c r="J334" s="23"/>
      <c r="K334" s="23"/>
      <c r="L334" s="70"/>
      <c r="M334" s="70"/>
      <c r="N334" s="70"/>
      <c r="O334" s="40"/>
      <c r="P334" s="23"/>
      <c r="Q334" s="23"/>
      <c r="R334" s="72"/>
      <c r="S334" s="72"/>
      <c r="T334" s="23"/>
      <c r="U334" s="40"/>
      <c r="V334" s="23"/>
      <c r="W334" s="72"/>
      <c r="X334" s="23"/>
      <c r="Y334" s="40"/>
      <c r="Z334" s="23"/>
      <c r="AA334" s="72"/>
      <c r="AB334" s="23"/>
      <c r="AC334" s="40"/>
      <c r="AD334" s="23"/>
      <c r="AE334" s="23"/>
    </row>
    <row r="335" spans="1:31">
      <c r="A335" s="23"/>
      <c r="B335" s="64"/>
      <c r="C335" s="62"/>
      <c r="D335" s="65"/>
      <c r="E335" s="66"/>
      <c r="F335" s="65"/>
      <c r="G335" s="67"/>
      <c r="H335" s="67"/>
      <c r="I335" s="67"/>
      <c r="J335" s="23"/>
      <c r="K335" s="23"/>
      <c r="L335" s="23"/>
      <c r="M335" s="23"/>
      <c r="N335" s="70"/>
      <c r="O335" s="40"/>
      <c r="P335" s="23"/>
      <c r="Q335" s="23"/>
      <c r="R335" s="72"/>
      <c r="S335" s="72"/>
      <c r="T335" s="23"/>
      <c r="U335" s="40"/>
      <c r="V335" s="23"/>
      <c r="W335" s="72"/>
      <c r="X335" s="23"/>
      <c r="Y335" s="40"/>
      <c r="Z335" s="23"/>
      <c r="AA335" s="72"/>
      <c r="AB335" s="23"/>
      <c r="AC335" s="40"/>
      <c r="AD335" s="23"/>
      <c r="AE335" s="23"/>
    </row>
    <row r="336" spans="1:31">
      <c r="A336" s="23"/>
      <c r="B336" s="64"/>
      <c r="C336" s="62"/>
      <c r="D336" s="65"/>
      <c r="E336" s="66"/>
      <c r="F336" s="65"/>
      <c r="G336" s="67"/>
      <c r="H336" s="67"/>
      <c r="I336" s="67"/>
      <c r="J336" s="23"/>
      <c r="K336" s="23"/>
      <c r="L336" s="23"/>
      <c r="M336" s="23"/>
      <c r="N336" s="70"/>
      <c r="O336" s="40"/>
      <c r="P336" s="23"/>
      <c r="Q336" s="23"/>
      <c r="R336" s="72"/>
      <c r="S336" s="72"/>
      <c r="T336" s="23"/>
      <c r="U336" s="40"/>
      <c r="V336" s="23"/>
      <c r="W336" s="72"/>
      <c r="X336" s="23"/>
      <c r="Y336" s="40"/>
      <c r="Z336" s="23"/>
      <c r="AA336" s="72"/>
      <c r="AB336" s="23"/>
      <c r="AC336" s="40"/>
      <c r="AD336" s="23"/>
      <c r="AE336" s="23"/>
    </row>
    <row r="337" spans="1:31">
      <c r="A337" s="23"/>
      <c r="B337" s="64"/>
      <c r="C337" s="62"/>
      <c r="D337" s="65"/>
      <c r="E337" s="66"/>
      <c r="F337" s="65"/>
      <c r="G337" s="67"/>
      <c r="H337" s="67"/>
      <c r="I337" s="71"/>
      <c r="J337" s="70"/>
      <c r="K337" s="23"/>
      <c r="L337" s="70"/>
      <c r="M337" s="70"/>
      <c r="N337" s="70"/>
      <c r="O337" s="40"/>
      <c r="P337" s="23"/>
      <c r="Q337" s="23"/>
      <c r="R337" s="72"/>
      <c r="S337" s="72"/>
      <c r="T337" s="23"/>
      <c r="U337" s="40"/>
      <c r="V337" s="23"/>
      <c r="W337" s="72"/>
      <c r="X337" s="23"/>
      <c r="Y337" s="40"/>
      <c r="Z337" s="23"/>
      <c r="AA337" s="72"/>
      <c r="AB337" s="23"/>
      <c r="AC337" s="40"/>
      <c r="AD337" s="23"/>
      <c r="AE337" s="23"/>
    </row>
    <row r="338" spans="1:31">
      <c r="A338" s="23"/>
      <c r="B338" s="64"/>
      <c r="C338" s="62"/>
      <c r="D338" s="65"/>
      <c r="E338" s="66"/>
      <c r="F338" s="65"/>
      <c r="G338" s="67"/>
      <c r="H338" s="67"/>
      <c r="I338" s="71"/>
      <c r="J338" s="70"/>
      <c r="K338" s="23"/>
      <c r="L338" s="70"/>
      <c r="M338" s="70"/>
      <c r="N338" s="70"/>
      <c r="O338" s="40"/>
      <c r="P338" s="23"/>
      <c r="Q338" s="23"/>
      <c r="R338" s="72"/>
      <c r="S338" s="72"/>
      <c r="T338" s="23"/>
      <c r="U338" s="40"/>
      <c r="V338" s="23"/>
      <c r="W338" s="72"/>
      <c r="X338" s="23"/>
      <c r="Y338" s="40"/>
      <c r="Z338" s="23"/>
      <c r="AA338" s="72"/>
      <c r="AB338" s="23"/>
      <c r="AC338" s="40"/>
      <c r="AD338" s="23"/>
      <c r="AE338" s="23"/>
    </row>
    <row r="339" spans="1:31">
      <c r="A339" s="23"/>
      <c r="B339" s="64"/>
      <c r="C339" s="62"/>
      <c r="D339" s="65"/>
      <c r="E339" s="66"/>
      <c r="F339" s="65"/>
      <c r="G339" s="67"/>
      <c r="H339" s="67"/>
      <c r="I339" s="71"/>
      <c r="J339" s="70"/>
      <c r="K339" s="23"/>
      <c r="L339" s="70"/>
      <c r="M339" s="70"/>
      <c r="N339" s="70"/>
      <c r="O339" s="40"/>
      <c r="P339" s="23"/>
      <c r="Q339" s="23"/>
      <c r="R339" s="72"/>
      <c r="S339" s="72"/>
      <c r="T339" s="23"/>
      <c r="U339" s="40"/>
      <c r="V339" s="23"/>
      <c r="W339" s="72"/>
      <c r="X339" s="23"/>
      <c r="Y339" s="40"/>
      <c r="Z339" s="23"/>
      <c r="AA339" s="72"/>
      <c r="AB339" s="23"/>
      <c r="AC339" s="40"/>
      <c r="AD339" s="23"/>
      <c r="AE339" s="23"/>
    </row>
    <row r="340" spans="1:31">
      <c r="A340" s="23"/>
      <c r="B340" s="64"/>
      <c r="C340" s="62"/>
      <c r="D340" s="65"/>
      <c r="E340" s="66"/>
      <c r="F340" s="65"/>
      <c r="G340" s="67"/>
      <c r="H340" s="67"/>
      <c r="I340" s="71"/>
      <c r="J340" s="70"/>
      <c r="K340" s="23"/>
      <c r="L340" s="70"/>
      <c r="M340" s="70"/>
      <c r="N340" s="70"/>
      <c r="O340" s="40"/>
      <c r="P340" s="23"/>
      <c r="Q340" s="23"/>
      <c r="R340" s="72"/>
      <c r="S340" s="72"/>
      <c r="T340" s="23"/>
      <c r="U340" s="40"/>
      <c r="V340" s="23"/>
      <c r="W340" s="72"/>
      <c r="X340" s="23"/>
      <c r="Y340" s="40"/>
      <c r="Z340" s="23"/>
      <c r="AA340" s="72"/>
      <c r="AB340" s="23"/>
      <c r="AC340" s="40"/>
      <c r="AD340" s="23"/>
      <c r="AE340" s="23"/>
    </row>
    <row r="341" spans="1:31">
      <c r="A341" s="23"/>
      <c r="B341" s="64"/>
      <c r="C341" s="62"/>
      <c r="D341" s="65"/>
      <c r="E341" s="66"/>
      <c r="F341" s="65"/>
      <c r="G341" s="67"/>
      <c r="H341" s="67"/>
      <c r="I341" s="71"/>
      <c r="J341" s="70"/>
      <c r="K341" s="23"/>
      <c r="L341" s="70"/>
      <c r="M341" s="70"/>
      <c r="N341" s="70"/>
      <c r="O341" s="40"/>
      <c r="P341" s="23"/>
      <c r="Q341" s="23"/>
      <c r="R341" s="72"/>
      <c r="S341" s="72"/>
      <c r="T341" s="23"/>
      <c r="U341" s="40"/>
      <c r="V341" s="23"/>
      <c r="W341" s="72"/>
      <c r="X341" s="23"/>
      <c r="Y341" s="40"/>
      <c r="Z341" s="23"/>
      <c r="AA341" s="72"/>
      <c r="AB341" s="23"/>
      <c r="AC341" s="40"/>
      <c r="AD341" s="23"/>
      <c r="AE341" s="23"/>
    </row>
    <row r="342" spans="1:31">
      <c r="A342" s="23"/>
      <c r="B342" s="64"/>
      <c r="C342" s="62"/>
      <c r="D342" s="65"/>
      <c r="E342" s="66"/>
      <c r="F342" s="65"/>
      <c r="G342" s="67"/>
      <c r="H342" s="67"/>
      <c r="I342" s="71"/>
      <c r="J342" s="70"/>
      <c r="K342" s="23"/>
      <c r="L342" s="70"/>
      <c r="M342" s="70"/>
      <c r="N342" s="70"/>
      <c r="O342" s="40"/>
      <c r="P342" s="23"/>
      <c r="Q342" s="23"/>
      <c r="R342" s="72"/>
      <c r="S342" s="72"/>
      <c r="T342" s="23"/>
      <c r="U342" s="40"/>
      <c r="V342" s="23"/>
      <c r="W342" s="72"/>
      <c r="X342" s="23"/>
      <c r="Y342" s="40"/>
      <c r="Z342" s="23"/>
      <c r="AA342" s="72"/>
      <c r="AB342" s="23"/>
      <c r="AC342" s="40"/>
      <c r="AD342" s="23"/>
      <c r="AE342" s="23"/>
    </row>
    <row r="343" spans="1:31">
      <c r="A343" s="23"/>
      <c r="B343" s="64"/>
      <c r="C343" s="62"/>
      <c r="D343" s="65"/>
      <c r="E343" s="66"/>
      <c r="F343" s="65"/>
      <c r="G343" s="67"/>
      <c r="H343" s="67"/>
      <c r="I343" s="71"/>
      <c r="J343" s="70"/>
      <c r="K343" s="23"/>
      <c r="L343" s="70"/>
      <c r="M343" s="70"/>
      <c r="N343" s="70"/>
      <c r="O343" s="40"/>
      <c r="P343" s="23"/>
      <c r="Q343" s="23"/>
      <c r="R343" s="72"/>
      <c r="S343" s="72"/>
      <c r="T343" s="23"/>
      <c r="U343" s="40"/>
      <c r="V343" s="23"/>
      <c r="W343" s="72"/>
      <c r="X343" s="23"/>
      <c r="Y343" s="40"/>
      <c r="Z343" s="23"/>
      <c r="AA343" s="72"/>
      <c r="AB343" s="23"/>
      <c r="AC343" s="40"/>
      <c r="AD343" s="23"/>
      <c r="AE343" s="23"/>
    </row>
    <row r="344" spans="1:31">
      <c r="A344" s="23"/>
      <c r="B344" s="64"/>
      <c r="C344" s="62"/>
      <c r="D344" s="65"/>
      <c r="E344" s="66"/>
      <c r="F344" s="65"/>
      <c r="G344" s="67"/>
      <c r="H344" s="67"/>
      <c r="I344" s="71"/>
      <c r="J344" s="70"/>
      <c r="K344" s="23"/>
      <c r="L344" s="70"/>
      <c r="M344" s="70"/>
      <c r="N344" s="70"/>
      <c r="O344" s="40"/>
      <c r="P344" s="23"/>
      <c r="Q344" s="23"/>
      <c r="R344" s="72"/>
      <c r="S344" s="72"/>
      <c r="T344" s="23"/>
      <c r="U344" s="40"/>
      <c r="V344" s="23"/>
      <c r="W344" s="72"/>
      <c r="X344" s="23"/>
      <c r="Y344" s="40"/>
      <c r="Z344" s="23"/>
      <c r="AA344" s="72"/>
      <c r="AB344" s="23"/>
      <c r="AC344" s="40"/>
      <c r="AD344" s="23"/>
      <c r="AE344" s="23"/>
    </row>
    <row r="345" spans="1:31">
      <c r="A345" s="23"/>
      <c r="B345" s="64"/>
      <c r="C345" s="62"/>
      <c r="D345" s="65"/>
      <c r="E345" s="66"/>
      <c r="F345" s="65"/>
      <c r="G345" s="67"/>
      <c r="H345" s="67"/>
      <c r="I345" s="71"/>
      <c r="J345" s="70"/>
      <c r="K345" s="23"/>
      <c r="L345" s="70"/>
      <c r="M345" s="70"/>
      <c r="N345" s="70"/>
      <c r="O345" s="40"/>
      <c r="P345" s="23"/>
      <c r="Q345" s="23"/>
      <c r="R345" s="72"/>
      <c r="S345" s="72"/>
      <c r="T345" s="23"/>
      <c r="U345" s="40"/>
      <c r="V345" s="23"/>
      <c r="W345" s="72"/>
      <c r="X345" s="23"/>
      <c r="Y345" s="40"/>
      <c r="Z345" s="23"/>
      <c r="AA345" s="72"/>
      <c r="AB345" s="23"/>
      <c r="AC345" s="40"/>
      <c r="AD345" s="23"/>
      <c r="AE345" s="23"/>
    </row>
    <row r="346" spans="1:31">
      <c r="A346" s="23"/>
      <c r="B346" s="64"/>
      <c r="C346" s="62"/>
      <c r="D346" s="65"/>
      <c r="E346" s="66"/>
      <c r="F346" s="65"/>
      <c r="G346" s="67"/>
      <c r="H346" s="67"/>
      <c r="I346" s="71"/>
      <c r="J346" s="70"/>
      <c r="K346" s="23"/>
      <c r="L346" s="70"/>
      <c r="M346" s="70"/>
      <c r="N346" s="70"/>
      <c r="O346" s="40"/>
      <c r="P346" s="23"/>
      <c r="Q346" s="23"/>
      <c r="R346" s="72"/>
      <c r="S346" s="72"/>
      <c r="T346" s="23"/>
      <c r="U346" s="40"/>
      <c r="V346" s="23"/>
      <c r="W346" s="72"/>
      <c r="X346" s="23"/>
      <c r="Y346" s="40"/>
      <c r="Z346" s="23"/>
      <c r="AA346" s="72"/>
      <c r="AB346" s="23"/>
      <c r="AC346" s="40"/>
      <c r="AD346" s="23"/>
      <c r="AE346" s="23"/>
    </row>
    <row r="347" spans="1:31" s="56" customFormat="1" ht="36.950000000000003" customHeight="1">
      <c r="A347" s="73"/>
      <c r="B347" s="74"/>
      <c r="C347" s="75"/>
      <c r="D347" s="76"/>
      <c r="E347" s="82"/>
      <c r="F347" s="76"/>
      <c r="G347" s="99"/>
      <c r="H347" s="99"/>
      <c r="I347" s="84"/>
      <c r="J347" s="86"/>
      <c r="K347" s="73"/>
      <c r="L347" s="86"/>
      <c r="M347" s="86"/>
      <c r="N347" s="86"/>
      <c r="O347" s="85"/>
      <c r="P347" s="73"/>
      <c r="Q347" s="73"/>
      <c r="R347" s="90"/>
      <c r="S347" s="90"/>
      <c r="T347" s="73"/>
      <c r="U347" s="85"/>
      <c r="V347" s="73"/>
      <c r="W347" s="90"/>
      <c r="X347" s="73"/>
      <c r="Y347" s="85"/>
      <c r="Z347" s="73"/>
      <c r="AA347" s="90"/>
      <c r="AB347" s="73"/>
      <c r="AC347" s="85"/>
      <c r="AD347" s="73"/>
      <c r="AE347" s="73"/>
    </row>
    <row r="348" spans="1:31" ht="48.95" customHeight="1">
      <c r="A348" s="23"/>
      <c r="B348" s="64"/>
      <c r="C348" s="62"/>
      <c r="D348" s="65"/>
      <c r="E348" s="65"/>
      <c r="F348" s="65"/>
      <c r="G348" s="67"/>
      <c r="H348" s="67"/>
      <c r="I348" s="71"/>
      <c r="J348" s="70"/>
      <c r="K348" s="23"/>
      <c r="L348" s="70"/>
      <c r="M348" s="70"/>
      <c r="N348" s="70"/>
      <c r="O348" s="40"/>
      <c r="P348" s="23"/>
      <c r="Q348" s="23"/>
      <c r="R348" s="72"/>
      <c r="S348" s="72"/>
      <c r="T348" s="23"/>
      <c r="U348" s="40"/>
      <c r="V348" s="23"/>
      <c r="W348" s="72"/>
      <c r="X348" s="23"/>
      <c r="Y348" s="40"/>
      <c r="Z348" s="23"/>
      <c r="AA348" s="72"/>
      <c r="AB348" s="23"/>
      <c r="AC348" s="40"/>
      <c r="AD348" s="23"/>
      <c r="AE348" s="23"/>
    </row>
    <row r="349" spans="1:31">
      <c r="A349" s="23"/>
      <c r="B349" s="64"/>
      <c r="C349" s="62"/>
      <c r="D349" s="65"/>
      <c r="E349" s="65"/>
      <c r="F349" s="65"/>
      <c r="G349" s="67"/>
      <c r="H349" s="67"/>
      <c r="I349" s="71"/>
      <c r="J349" s="70"/>
      <c r="K349" s="23"/>
      <c r="L349" s="70"/>
      <c r="M349" s="70"/>
      <c r="N349" s="70"/>
      <c r="O349" s="40"/>
      <c r="P349" s="23"/>
      <c r="Q349" s="23"/>
      <c r="R349" s="72"/>
      <c r="S349" s="72"/>
      <c r="T349" s="23"/>
      <c r="U349" s="40"/>
      <c r="V349" s="23"/>
      <c r="W349" s="72"/>
      <c r="X349" s="23"/>
      <c r="Y349" s="40"/>
      <c r="Z349" s="23"/>
      <c r="AA349" s="72"/>
      <c r="AB349" s="23"/>
      <c r="AC349" s="40"/>
      <c r="AD349" s="23"/>
      <c r="AE349" s="23"/>
    </row>
    <row r="350" spans="1:31">
      <c r="A350" s="23"/>
      <c r="B350" s="64"/>
      <c r="C350" s="62"/>
      <c r="D350" s="65"/>
      <c r="E350" s="65"/>
      <c r="F350" s="65"/>
      <c r="G350" s="67"/>
      <c r="H350" s="67"/>
      <c r="I350" s="71"/>
      <c r="J350" s="70"/>
      <c r="K350" s="23"/>
      <c r="L350" s="70"/>
      <c r="M350" s="70"/>
      <c r="N350" s="70"/>
      <c r="O350" s="40"/>
      <c r="P350" s="23"/>
      <c r="Q350" s="23"/>
      <c r="R350" s="72"/>
      <c r="S350" s="72"/>
      <c r="T350" s="23"/>
      <c r="U350" s="40"/>
      <c r="V350" s="23"/>
      <c r="W350" s="72"/>
      <c r="X350" s="23"/>
      <c r="Y350" s="40"/>
      <c r="Z350" s="23"/>
      <c r="AA350" s="72"/>
      <c r="AB350" s="23"/>
      <c r="AC350" s="40"/>
      <c r="AD350" s="23"/>
      <c r="AE350" s="23"/>
    </row>
    <row r="351" spans="1:31" ht="30" customHeight="1">
      <c r="A351" s="23"/>
      <c r="B351" s="64"/>
      <c r="C351" s="62"/>
      <c r="D351" s="65"/>
      <c r="E351" s="65"/>
      <c r="F351" s="65"/>
      <c r="G351" s="67"/>
      <c r="H351" s="67"/>
      <c r="I351" s="71"/>
      <c r="J351" s="70"/>
      <c r="K351" s="23"/>
      <c r="L351" s="70"/>
      <c r="M351" s="70"/>
      <c r="N351" s="70"/>
      <c r="O351" s="40"/>
      <c r="P351" s="23"/>
      <c r="Q351" s="23"/>
      <c r="R351" s="72"/>
      <c r="S351" s="72"/>
      <c r="T351" s="23"/>
      <c r="U351" s="40"/>
      <c r="V351" s="23"/>
      <c r="W351" s="72"/>
      <c r="X351" s="23"/>
      <c r="Y351" s="40"/>
      <c r="Z351" s="23"/>
      <c r="AA351" s="72"/>
      <c r="AB351" s="23"/>
      <c r="AC351" s="40"/>
      <c r="AD351" s="23"/>
      <c r="AE351" s="23"/>
    </row>
    <row r="352" spans="1:31" ht="45.95" customHeight="1">
      <c r="A352" s="23"/>
      <c r="B352" s="64"/>
      <c r="C352" s="62"/>
      <c r="D352" s="65"/>
      <c r="E352" s="65"/>
      <c r="F352" s="65"/>
      <c r="G352" s="67"/>
      <c r="H352" s="67"/>
      <c r="I352" s="71"/>
      <c r="J352" s="70"/>
      <c r="K352" s="23"/>
      <c r="L352" s="70"/>
      <c r="M352" s="70"/>
      <c r="N352" s="70"/>
      <c r="O352" s="40"/>
      <c r="P352" s="23"/>
      <c r="Q352" s="23"/>
      <c r="R352" s="72"/>
      <c r="S352" s="72"/>
      <c r="T352" s="23"/>
      <c r="U352" s="40"/>
      <c r="V352" s="23"/>
      <c r="W352" s="72"/>
      <c r="X352" s="23"/>
      <c r="Y352" s="40"/>
      <c r="Z352" s="23"/>
      <c r="AA352" s="72"/>
      <c r="AB352" s="23"/>
      <c r="AC352" s="40"/>
      <c r="AD352" s="23"/>
      <c r="AE352" s="23"/>
    </row>
    <row r="353" spans="1:31">
      <c r="A353" s="23"/>
      <c r="B353" s="64"/>
      <c r="C353" s="62"/>
      <c r="D353" s="65"/>
      <c r="E353" s="65"/>
      <c r="F353" s="65"/>
      <c r="G353" s="67"/>
      <c r="H353" s="67"/>
      <c r="I353" s="71"/>
      <c r="J353" s="70"/>
      <c r="K353" s="23"/>
      <c r="L353" s="70"/>
      <c r="M353" s="70"/>
      <c r="N353" s="70"/>
      <c r="O353" s="40"/>
      <c r="P353" s="23"/>
      <c r="Q353" s="23"/>
      <c r="R353" s="72"/>
      <c r="S353" s="72"/>
      <c r="T353" s="23"/>
      <c r="U353" s="40"/>
      <c r="V353" s="23"/>
      <c r="W353" s="72"/>
      <c r="X353" s="23"/>
      <c r="Y353" s="40"/>
      <c r="Z353" s="23"/>
      <c r="AA353" s="72"/>
      <c r="AB353" s="23"/>
      <c r="AC353" s="40"/>
      <c r="AD353" s="23"/>
      <c r="AE353" s="23"/>
    </row>
    <row r="354" spans="1:31">
      <c r="A354" s="23"/>
      <c r="B354" s="64"/>
      <c r="C354" s="62"/>
      <c r="D354" s="65"/>
      <c r="E354" s="65"/>
      <c r="F354" s="65"/>
      <c r="G354" s="67"/>
      <c r="H354" s="67"/>
      <c r="I354" s="71"/>
      <c r="J354" s="70"/>
      <c r="K354" s="23"/>
      <c r="L354" s="70"/>
      <c r="M354" s="70"/>
      <c r="N354" s="70"/>
      <c r="O354" s="40"/>
      <c r="P354" s="23"/>
      <c r="Q354" s="23"/>
      <c r="R354" s="72"/>
      <c r="S354" s="72"/>
      <c r="T354" s="23"/>
      <c r="U354" s="40"/>
      <c r="V354" s="23"/>
      <c r="W354" s="72"/>
      <c r="X354" s="23"/>
      <c r="Y354" s="40"/>
      <c r="Z354" s="23"/>
      <c r="AA354" s="72"/>
      <c r="AB354" s="23"/>
      <c r="AC354" s="40"/>
      <c r="AD354" s="23"/>
      <c r="AE354" s="23"/>
    </row>
    <row r="355" spans="1:31">
      <c r="A355" s="23"/>
      <c r="B355" s="64"/>
      <c r="C355" s="62"/>
      <c r="D355" s="65"/>
      <c r="E355" s="65"/>
      <c r="F355" s="65"/>
      <c r="G355" s="67"/>
      <c r="H355" s="67"/>
      <c r="I355" s="71"/>
      <c r="J355" s="70"/>
      <c r="K355" s="23"/>
      <c r="L355" s="70"/>
      <c r="M355" s="70"/>
      <c r="N355" s="70"/>
      <c r="O355" s="40"/>
      <c r="P355" s="23"/>
      <c r="Q355" s="23"/>
      <c r="R355" s="72"/>
      <c r="S355" s="72"/>
      <c r="T355" s="23"/>
      <c r="U355" s="40"/>
      <c r="V355" s="23"/>
      <c r="W355" s="72"/>
      <c r="X355" s="23"/>
      <c r="Y355" s="40"/>
      <c r="Z355" s="23"/>
      <c r="AA355" s="72"/>
      <c r="AB355" s="23"/>
      <c r="AC355" s="40"/>
      <c r="AD355" s="23"/>
      <c r="AE355" s="23"/>
    </row>
    <row r="356" spans="1:31">
      <c r="A356" s="23"/>
      <c r="B356" s="64"/>
      <c r="C356" s="62"/>
      <c r="D356" s="65"/>
      <c r="E356" s="65"/>
      <c r="F356" s="65"/>
      <c r="G356" s="67"/>
      <c r="H356" s="67"/>
      <c r="I356" s="71"/>
      <c r="J356" s="70"/>
      <c r="K356" s="23"/>
      <c r="L356" s="70"/>
      <c r="M356" s="70"/>
      <c r="N356" s="70"/>
      <c r="O356" s="40"/>
      <c r="P356" s="23"/>
      <c r="Q356" s="23"/>
      <c r="R356" s="72"/>
      <c r="S356" s="72"/>
      <c r="T356" s="23"/>
      <c r="U356" s="40"/>
      <c r="V356" s="23"/>
      <c r="W356" s="72"/>
      <c r="X356" s="23"/>
      <c r="Y356" s="40"/>
      <c r="Z356" s="23"/>
      <c r="AA356" s="72"/>
      <c r="AB356" s="23"/>
      <c r="AC356" s="40"/>
      <c r="AD356" s="23"/>
      <c r="AE356" s="23"/>
    </row>
    <row r="357" spans="1:31">
      <c r="A357" s="23"/>
      <c r="B357" s="64"/>
      <c r="C357" s="62"/>
      <c r="D357" s="65"/>
      <c r="E357" s="65"/>
      <c r="F357" s="65"/>
      <c r="G357" s="67"/>
      <c r="H357" s="67"/>
      <c r="I357" s="71"/>
      <c r="J357" s="70"/>
      <c r="K357" s="23"/>
      <c r="L357" s="70"/>
      <c r="M357" s="70"/>
      <c r="N357" s="70"/>
      <c r="O357" s="40"/>
      <c r="P357" s="23"/>
      <c r="Q357" s="23"/>
      <c r="R357" s="72"/>
      <c r="S357" s="72"/>
      <c r="T357" s="23"/>
      <c r="U357" s="40"/>
      <c r="V357" s="23"/>
      <c r="W357" s="72"/>
      <c r="X357" s="23"/>
      <c r="Y357" s="40"/>
      <c r="Z357" s="23"/>
      <c r="AA357" s="72"/>
      <c r="AB357" s="23"/>
      <c r="AC357" s="40"/>
      <c r="AD357" s="23"/>
      <c r="AE357" s="23"/>
    </row>
    <row r="358" spans="1:31">
      <c r="A358" s="23"/>
      <c r="B358" s="64"/>
      <c r="C358" s="62"/>
      <c r="D358" s="65"/>
      <c r="E358" s="65"/>
      <c r="F358" s="65"/>
      <c r="G358" s="67"/>
      <c r="H358" s="71"/>
      <c r="I358" s="71"/>
      <c r="J358" s="70"/>
      <c r="K358" s="23"/>
      <c r="L358" s="70"/>
      <c r="M358" s="70"/>
      <c r="N358" s="70"/>
      <c r="O358" s="40"/>
      <c r="P358" s="23"/>
      <c r="Q358" s="23"/>
      <c r="R358" s="72"/>
      <c r="S358" s="72"/>
      <c r="T358" s="23"/>
      <c r="U358" s="40"/>
      <c r="V358" s="23"/>
      <c r="W358" s="72"/>
      <c r="X358" s="23"/>
      <c r="Y358" s="40"/>
      <c r="Z358" s="23"/>
      <c r="AA358" s="72"/>
      <c r="AB358" s="23"/>
      <c r="AC358" s="40"/>
      <c r="AD358" s="23"/>
      <c r="AE358" s="23"/>
    </row>
    <row r="359" spans="1:31">
      <c r="A359" s="23"/>
      <c r="B359" s="64"/>
      <c r="C359" s="62"/>
      <c r="D359" s="65"/>
      <c r="E359" s="65"/>
      <c r="F359" s="65"/>
      <c r="G359" s="67"/>
      <c r="H359" s="83"/>
      <c r="I359" s="71"/>
      <c r="J359" s="70"/>
      <c r="K359" s="23"/>
      <c r="L359" s="70"/>
      <c r="M359" s="70"/>
      <c r="N359" s="70"/>
      <c r="O359" s="40"/>
      <c r="P359" s="23"/>
      <c r="Q359" s="23"/>
      <c r="R359" s="72"/>
      <c r="S359" s="72"/>
      <c r="T359" s="23"/>
      <c r="U359" s="40"/>
      <c r="V359" s="23"/>
      <c r="W359" s="72"/>
      <c r="X359" s="23"/>
      <c r="Y359" s="40"/>
      <c r="Z359" s="23"/>
      <c r="AA359" s="72"/>
      <c r="AB359" s="23"/>
      <c r="AC359" s="40"/>
      <c r="AD359" s="23"/>
      <c r="AE359" s="23"/>
    </row>
    <row r="360" spans="1:31">
      <c r="A360" s="23"/>
      <c r="B360" s="64"/>
      <c r="C360" s="62"/>
      <c r="D360" s="65"/>
      <c r="E360" s="65"/>
      <c r="F360" s="65"/>
      <c r="G360" s="67"/>
      <c r="H360" s="67"/>
      <c r="I360" s="71"/>
      <c r="J360" s="70"/>
      <c r="K360" s="23"/>
      <c r="L360" s="70"/>
      <c r="M360" s="70"/>
      <c r="N360" s="70"/>
      <c r="O360" s="40"/>
      <c r="P360" s="23"/>
      <c r="Q360" s="23"/>
      <c r="R360" s="72"/>
      <c r="S360" s="72"/>
      <c r="T360" s="23"/>
      <c r="U360" s="40"/>
      <c r="V360" s="23"/>
      <c r="W360" s="72"/>
      <c r="X360" s="23"/>
      <c r="Y360" s="40"/>
      <c r="Z360" s="23"/>
      <c r="AA360" s="72"/>
      <c r="AB360" s="23"/>
      <c r="AC360" s="40"/>
      <c r="AD360" s="23"/>
      <c r="AE360" s="23"/>
    </row>
    <row r="361" spans="1:31">
      <c r="A361" s="23"/>
      <c r="B361" s="64"/>
      <c r="C361" s="62"/>
      <c r="D361" s="65"/>
      <c r="E361" s="65"/>
      <c r="F361" s="65"/>
      <c r="G361" s="67"/>
      <c r="H361" s="67"/>
      <c r="I361" s="71"/>
      <c r="J361" s="70"/>
      <c r="K361" s="23"/>
      <c r="L361" s="70"/>
      <c r="M361" s="70"/>
      <c r="N361" s="70"/>
      <c r="O361" s="40"/>
      <c r="P361" s="23"/>
      <c r="Q361" s="23"/>
      <c r="R361" s="72"/>
      <c r="S361" s="72"/>
      <c r="T361" s="23"/>
      <c r="U361" s="40"/>
      <c r="V361" s="23"/>
      <c r="W361" s="72"/>
      <c r="X361" s="23"/>
      <c r="Y361" s="40"/>
      <c r="Z361" s="23"/>
      <c r="AA361" s="72"/>
      <c r="AB361" s="23"/>
      <c r="AC361" s="40"/>
      <c r="AD361" s="23"/>
      <c r="AE361" s="23"/>
    </row>
    <row r="362" spans="1:31">
      <c r="A362" s="23"/>
      <c r="B362" s="64"/>
      <c r="C362" s="62"/>
      <c r="D362" s="65"/>
      <c r="E362" s="65"/>
      <c r="F362" s="65"/>
      <c r="G362" s="67"/>
      <c r="H362" s="67"/>
      <c r="I362" s="71"/>
      <c r="J362" s="70"/>
      <c r="K362" s="23"/>
      <c r="L362" s="70"/>
      <c r="M362" s="70"/>
      <c r="N362" s="70"/>
      <c r="O362" s="40"/>
      <c r="P362" s="23"/>
      <c r="Q362" s="23"/>
      <c r="R362" s="72"/>
      <c r="S362" s="72"/>
      <c r="T362" s="23"/>
      <c r="U362" s="40"/>
      <c r="V362" s="23"/>
      <c r="W362" s="72"/>
      <c r="X362" s="23"/>
      <c r="Y362" s="40"/>
      <c r="Z362" s="23"/>
      <c r="AA362" s="72"/>
      <c r="AB362" s="23"/>
      <c r="AC362" s="40"/>
      <c r="AD362" s="23"/>
      <c r="AE362" s="23"/>
    </row>
    <row r="363" spans="1:31">
      <c r="A363" s="23"/>
      <c r="B363" s="64"/>
      <c r="C363" s="62"/>
      <c r="D363" s="65"/>
      <c r="E363" s="65"/>
      <c r="F363" s="65"/>
      <c r="G363" s="67"/>
      <c r="H363" s="83"/>
      <c r="I363" s="71"/>
      <c r="J363" s="70"/>
      <c r="K363" s="23"/>
      <c r="L363" s="70"/>
      <c r="M363" s="70"/>
      <c r="N363" s="70"/>
      <c r="O363" s="40"/>
      <c r="P363" s="23"/>
      <c r="Q363" s="23"/>
      <c r="R363" s="72"/>
      <c r="S363" s="72"/>
      <c r="T363" s="23"/>
      <c r="U363" s="40"/>
      <c r="V363" s="23"/>
      <c r="W363" s="72"/>
      <c r="X363" s="23"/>
      <c r="Y363" s="40"/>
      <c r="Z363" s="23"/>
      <c r="AA363" s="72"/>
      <c r="AB363" s="23"/>
      <c r="AC363" s="40"/>
      <c r="AD363" s="23"/>
      <c r="AE363" s="23"/>
    </row>
    <row r="364" spans="1:31">
      <c r="A364" s="23"/>
      <c r="B364" s="64"/>
      <c r="C364" s="62"/>
      <c r="D364" s="65"/>
      <c r="E364" s="65"/>
      <c r="F364" s="65"/>
      <c r="G364" s="67"/>
      <c r="H364" s="83"/>
      <c r="I364" s="71"/>
      <c r="J364" s="70"/>
      <c r="K364" s="23"/>
      <c r="L364" s="70"/>
      <c r="M364" s="70"/>
      <c r="N364" s="70"/>
      <c r="O364" s="40"/>
      <c r="P364" s="23"/>
      <c r="Q364" s="23"/>
      <c r="R364" s="72"/>
      <c r="S364" s="72"/>
      <c r="T364" s="23"/>
      <c r="U364" s="40"/>
      <c r="V364" s="23"/>
      <c r="W364" s="72"/>
      <c r="X364" s="23"/>
      <c r="Y364" s="40"/>
      <c r="Z364" s="23"/>
      <c r="AA364" s="72"/>
      <c r="AB364" s="23"/>
      <c r="AC364" s="40"/>
      <c r="AD364" s="23"/>
      <c r="AE364" s="23"/>
    </row>
    <row r="365" spans="1:31">
      <c r="A365" s="23"/>
      <c r="B365" s="64"/>
      <c r="C365" s="62"/>
      <c r="D365" s="65"/>
      <c r="E365" s="65"/>
      <c r="F365" s="65"/>
      <c r="G365" s="67"/>
      <c r="H365" s="67"/>
      <c r="I365" s="71"/>
      <c r="J365" s="70"/>
      <c r="K365" s="23"/>
      <c r="L365" s="70"/>
      <c r="M365" s="70"/>
      <c r="N365" s="70"/>
      <c r="O365" s="40"/>
      <c r="P365" s="23"/>
      <c r="Q365" s="23"/>
      <c r="R365" s="72"/>
      <c r="S365" s="72"/>
      <c r="T365" s="23"/>
      <c r="U365" s="40"/>
      <c r="V365" s="23"/>
      <c r="W365" s="72"/>
      <c r="X365" s="23"/>
      <c r="Y365" s="40"/>
      <c r="Z365" s="23"/>
      <c r="AA365" s="72"/>
      <c r="AB365" s="23"/>
      <c r="AC365" s="40"/>
      <c r="AD365" s="23"/>
      <c r="AE365" s="23"/>
    </row>
    <row r="366" spans="1:31">
      <c r="A366" s="23"/>
      <c r="B366" s="64"/>
      <c r="C366" s="62"/>
      <c r="D366" s="65"/>
      <c r="E366" s="65"/>
      <c r="F366" s="65"/>
      <c r="G366" s="67"/>
      <c r="H366" s="67"/>
      <c r="I366" s="71"/>
      <c r="J366" s="70"/>
      <c r="K366" s="23"/>
      <c r="L366" s="70"/>
      <c r="M366" s="70"/>
      <c r="N366" s="70"/>
      <c r="O366" s="40"/>
      <c r="P366" s="23"/>
      <c r="Q366" s="23"/>
      <c r="R366" s="72"/>
      <c r="S366" s="72"/>
      <c r="T366" s="23"/>
      <c r="U366" s="40"/>
      <c r="V366" s="23"/>
      <c r="W366" s="72"/>
      <c r="X366" s="23"/>
      <c r="Y366" s="40"/>
      <c r="Z366" s="23"/>
      <c r="AA366" s="72"/>
      <c r="AB366" s="23"/>
      <c r="AC366" s="40"/>
      <c r="AD366" s="23"/>
      <c r="AE366" s="23"/>
    </row>
    <row r="367" spans="1:31">
      <c r="A367" s="23"/>
      <c r="B367" s="64"/>
      <c r="C367" s="62"/>
      <c r="D367" s="65"/>
      <c r="E367" s="65"/>
      <c r="F367" s="65"/>
      <c r="G367" s="67"/>
      <c r="H367" s="67"/>
      <c r="I367" s="71"/>
      <c r="J367" s="70"/>
      <c r="K367" s="23"/>
      <c r="L367" s="70"/>
      <c r="M367" s="70"/>
      <c r="N367" s="70"/>
      <c r="O367" s="40"/>
      <c r="P367" s="23"/>
      <c r="Q367" s="23"/>
      <c r="R367" s="72"/>
      <c r="S367" s="72"/>
      <c r="T367" s="23"/>
      <c r="U367" s="40"/>
      <c r="V367" s="23"/>
      <c r="W367" s="72"/>
      <c r="X367" s="23"/>
      <c r="Y367" s="40"/>
      <c r="Z367" s="23"/>
      <c r="AA367" s="72"/>
      <c r="AB367" s="23"/>
      <c r="AC367" s="40"/>
      <c r="AD367" s="23"/>
      <c r="AE367" s="23"/>
    </row>
    <row r="368" spans="1:31">
      <c r="A368" s="23"/>
      <c r="B368" s="64"/>
      <c r="C368" s="62"/>
      <c r="D368" s="65"/>
      <c r="E368" s="65"/>
      <c r="F368" s="65"/>
      <c r="G368" s="67"/>
      <c r="H368" s="83"/>
      <c r="I368" s="71"/>
      <c r="J368" s="70"/>
      <c r="K368" s="23"/>
      <c r="L368" s="70"/>
      <c r="M368" s="70"/>
      <c r="N368" s="70"/>
      <c r="O368" s="40"/>
      <c r="P368" s="23"/>
      <c r="Q368" s="23"/>
      <c r="R368" s="72"/>
      <c r="S368" s="72"/>
      <c r="T368" s="23"/>
      <c r="U368" s="40"/>
      <c r="V368" s="23"/>
      <c r="W368" s="72"/>
      <c r="X368" s="23"/>
      <c r="Y368" s="40"/>
      <c r="Z368" s="23"/>
      <c r="AA368" s="72"/>
      <c r="AB368" s="23"/>
      <c r="AC368" s="40"/>
      <c r="AD368" s="23"/>
      <c r="AE368" s="23"/>
    </row>
    <row r="369" spans="1:31">
      <c r="A369" s="23"/>
      <c r="B369" s="64"/>
      <c r="C369" s="62"/>
      <c r="D369" s="65"/>
      <c r="E369" s="65"/>
      <c r="F369" s="65"/>
      <c r="G369" s="67"/>
      <c r="H369" s="83"/>
      <c r="I369" s="71"/>
      <c r="J369" s="70"/>
      <c r="K369" s="23"/>
      <c r="L369" s="70"/>
      <c r="M369" s="70"/>
      <c r="N369" s="70"/>
      <c r="O369" s="40"/>
      <c r="P369" s="23"/>
      <c r="Q369" s="23"/>
      <c r="R369" s="72"/>
      <c r="S369" s="72"/>
      <c r="T369" s="23"/>
      <c r="U369" s="40"/>
      <c r="V369" s="23"/>
      <c r="W369" s="72"/>
      <c r="X369" s="23"/>
      <c r="Y369" s="40"/>
      <c r="Z369" s="23"/>
      <c r="AA369" s="72"/>
      <c r="AB369" s="23"/>
      <c r="AC369" s="40"/>
      <c r="AD369" s="23"/>
      <c r="AE369" s="23"/>
    </row>
    <row r="370" spans="1:31">
      <c r="A370" s="23"/>
      <c r="B370" s="64"/>
      <c r="C370" s="62"/>
      <c r="D370" s="65"/>
      <c r="E370" s="65"/>
      <c r="F370" s="65"/>
      <c r="G370" s="67"/>
      <c r="H370" s="67"/>
      <c r="I370" s="71"/>
      <c r="J370" s="70"/>
      <c r="K370" s="23"/>
      <c r="L370" s="70"/>
      <c r="M370" s="70"/>
      <c r="N370" s="70"/>
      <c r="O370" s="40"/>
      <c r="P370" s="23"/>
      <c r="Q370" s="23"/>
      <c r="R370" s="72"/>
      <c r="S370" s="72"/>
      <c r="T370" s="23"/>
      <c r="U370" s="40"/>
      <c r="V370" s="23"/>
      <c r="W370" s="72"/>
      <c r="X370" s="23"/>
      <c r="Y370" s="40"/>
      <c r="Z370" s="23"/>
      <c r="AA370" s="72"/>
      <c r="AB370" s="23"/>
      <c r="AC370" s="40"/>
      <c r="AD370" s="23"/>
      <c r="AE370" s="23"/>
    </row>
    <row r="371" spans="1:31">
      <c r="A371" s="23"/>
      <c r="B371" s="64"/>
      <c r="C371" s="62"/>
      <c r="D371" s="65"/>
      <c r="E371" s="65"/>
      <c r="F371" s="65"/>
      <c r="G371" s="67"/>
      <c r="H371" s="67"/>
      <c r="I371" s="71"/>
      <c r="J371" s="70"/>
      <c r="K371" s="23"/>
      <c r="L371" s="70"/>
      <c r="M371" s="70"/>
      <c r="N371" s="70"/>
      <c r="O371" s="40"/>
      <c r="P371" s="23"/>
      <c r="Q371" s="23"/>
      <c r="R371" s="72"/>
      <c r="S371" s="72"/>
      <c r="T371" s="23"/>
      <c r="U371" s="40"/>
      <c r="V371" s="23"/>
      <c r="W371" s="72"/>
      <c r="X371" s="23"/>
      <c r="Y371" s="40"/>
      <c r="Z371" s="23"/>
      <c r="AA371" s="72"/>
      <c r="AB371" s="23"/>
      <c r="AC371" s="40"/>
      <c r="AD371" s="23"/>
      <c r="AE371" s="23"/>
    </row>
    <row r="372" spans="1:31">
      <c r="A372" s="23"/>
      <c r="B372" s="64"/>
      <c r="C372" s="62"/>
      <c r="D372" s="65"/>
      <c r="E372" s="65"/>
      <c r="F372" s="65"/>
      <c r="G372" s="67"/>
      <c r="H372" s="67"/>
      <c r="I372" s="71"/>
      <c r="J372" s="70"/>
      <c r="K372" s="23"/>
      <c r="L372" s="70"/>
      <c r="M372" s="70"/>
      <c r="N372" s="70"/>
      <c r="O372" s="40"/>
      <c r="P372" s="23"/>
      <c r="Q372" s="23"/>
      <c r="R372" s="72"/>
      <c r="S372" s="72"/>
      <c r="T372" s="23"/>
      <c r="U372" s="40"/>
      <c r="V372" s="23"/>
      <c r="W372" s="72"/>
      <c r="X372" s="23"/>
      <c r="Y372" s="40"/>
      <c r="Z372" s="23"/>
      <c r="AA372" s="72"/>
      <c r="AB372" s="23"/>
      <c r="AC372" s="40"/>
      <c r="AD372" s="23"/>
      <c r="AE372" s="23"/>
    </row>
    <row r="373" spans="1:31">
      <c r="A373" s="23"/>
      <c r="B373" s="64"/>
      <c r="C373" s="62"/>
      <c r="D373" s="65"/>
      <c r="E373" s="65"/>
      <c r="F373" s="65"/>
      <c r="G373" s="67"/>
      <c r="H373" s="67"/>
      <c r="I373" s="71"/>
      <c r="J373" s="70"/>
      <c r="K373" s="23"/>
      <c r="L373" s="70"/>
      <c r="M373" s="70"/>
      <c r="N373" s="70"/>
      <c r="O373" s="40"/>
      <c r="P373" s="23"/>
      <c r="Q373" s="23"/>
      <c r="R373" s="72"/>
      <c r="S373" s="72"/>
      <c r="T373" s="23"/>
      <c r="U373" s="40"/>
      <c r="V373" s="23"/>
      <c r="W373" s="72"/>
      <c r="X373" s="23"/>
      <c r="Y373" s="40"/>
      <c r="Z373" s="23"/>
      <c r="AA373" s="72"/>
      <c r="AB373" s="23"/>
      <c r="AC373" s="40"/>
      <c r="AD373" s="23"/>
      <c r="AE373" s="23"/>
    </row>
    <row r="374" spans="1:31">
      <c r="A374" s="23"/>
      <c r="B374" s="64"/>
      <c r="C374" s="62"/>
      <c r="D374" s="65"/>
      <c r="E374" s="65"/>
      <c r="F374" s="65"/>
      <c r="G374" s="67"/>
      <c r="H374" s="67"/>
      <c r="I374" s="71"/>
      <c r="J374" s="70"/>
      <c r="K374" s="23"/>
      <c r="L374" s="70"/>
      <c r="M374" s="70"/>
      <c r="N374" s="70"/>
      <c r="O374" s="40"/>
      <c r="P374" s="23"/>
      <c r="Q374" s="23"/>
      <c r="R374" s="72"/>
      <c r="S374" s="72"/>
      <c r="T374" s="23"/>
      <c r="U374" s="40"/>
      <c r="V374" s="23"/>
      <c r="W374" s="72"/>
      <c r="X374" s="23"/>
      <c r="Y374" s="40"/>
      <c r="Z374" s="23"/>
      <c r="AA374" s="72"/>
      <c r="AB374" s="23"/>
      <c r="AC374" s="40"/>
      <c r="AD374" s="23"/>
      <c r="AE374" s="23"/>
    </row>
    <row r="375" spans="1:31">
      <c r="A375" s="23"/>
      <c r="B375" s="64"/>
      <c r="C375" s="62"/>
      <c r="D375" s="65"/>
      <c r="E375" s="65"/>
      <c r="F375" s="65"/>
      <c r="G375" s="67"/>
      <c r="H375" s="67"/>
      <c r="I375" s="71"/>
      <c r="J375" s="70"/>
      <c r="K375" s="23"/>
      <c r="L375" s="70"/>
      <c r="M375" s="70"/>
      <c r="N375" s="70"/>
      <c r="O375" s="40"/>
      <c r="P375" s="23"/>
      <c r="Q375" s="23"/>
      <c r="R375" s="72"/>
      <c r="S375" s="72"/>
      <c r="T375" s="23"/>
      <c r="U375" s="40"/>
      <c r="V375" s="23"/>
      <c r="W375" s="72"/>
      <c r="X375" s="23"/>
      <c r="Y375" s="40"/>
      <c r="Z375" s="23"/>
      <c r="AA375" s="72"/>
      <c r="AB375" s="23"/>
      <c r="AC375" s="40"/>
      <c r="AD375" s="23"/>
      <c r="AE375" s="23"/>
    </row>
    <row r="376" spans="1:31">
      <c r="A376" s="23"/>
      <c r="B376" s="64"/>
      <c r="C376" s="62"/>
      <c r="D376" s="65"/>
      <c r="E376" s="65"/>
      <c r="F376" s="65"/>
      <c r="G376" s="67"/>
      <c r="H376" s="67"/>
      <c r="I376" s="71"/>
      <c r="J376" s="70"/>
      <c r="K376" s="23"/>
      <c r="L376" s="70"/>
      <c r="M376" s="70"/>
      <c r="N376" s="70"/>
      <c r="O376" s="40"/>
      <c r="P376" s="23"/>
      <c r="Q376" s="23"/>
      <c r="R376" s="72"/>
      <c r="S376" s="72"/>
      <c r="T376" s="23"/>
      <c r="U376" s="40"/>
      <c r="V376" s="23"/>
      <c r="W376" s="72"/>
      <c r="X376" s="23"/>
      <c r="Y376" s="40"/>
      <c r="Z376" s="23"/>
      <c r="AA376" s="72"/>
      <c r="AB376" s="23"/>
      <c r="AC376" s="40"/>
      <c r="AD376" s="23"/>
      <c r="AE376" s="23"/>
    </row>
    <row r="377" spans="1:31">
      <c r="A377" s="23"/>
      <c r="B377" s="64"/>
      <c r="C377" s="62"/>
      <c r="D377" s="65"/>
      <c r="E377" s="65"/>
      <c r="F377" s="65"/>
      <c r="G377" s="67"/>
      <c r="H377" s="67"/>
      <c r="I377" s="71"/>
      <c r="J377" s="70"/>
      <c r="K377" s="23"/>
      <c r="L377" s="70"/>
      <c r="M377" s="70"/>
      <c r="N377" s="70"/>
      <c r="O377" s="40"/>
      <c r="P377" s="23"/>
      <c r="Q377" s="23"/>
      <c r="R377" s="72"/>
      <c r="S377" s="72"/>
      <c r="T377" s="23"/>
      <c r="U377" s="40"/>
      <c r="V377" s="23"/>
      <c r="W377" s="72"/>
      <c r="X377" s="23"/>
      <c r="Y377" s="40"/>
      <c r="Z377" s="23"/>
      <c r="AA377" s="72"/>
      <c r="AB377" s="23"/>
      <c r="AC377" s="40"/>
      <c r="AD377" s="23"/>
      <c r="AE377" s="23"/>
    </row>
    <row r="378" spans="1:31">
      <c r="A378" s="23"/>
      <c r="B378" s="64"/>
      <c r="C378" s="62"/>
      <c r="D378" s="65"/>
      <c r="E378" s="65"/>
      <c r="F378" s="65"/>
      <c r="G378" s="67"/>
      <c r="H378" s="83"/>
      <c r="I378" s="71"/>
      <c r="J378" s="70"/>
      <c r="K378" s="23"/>
      <c r="L378" s="70"/>
      <c r="M378" s="70"/>
      <c r="N378" s="70"/>
      <c r="O378" s="40"/>
      <c r="P378" s="23"/>
      <c r="Q378" s="23"/>
      <c r="R378" s="72"/>
      <c r="S378" s="72"/>
      <c r="T378" s="23"/>
      <c r="U378" s="40"/>
      <c r="V378" s="23"/>
      <c r="W378" s="72"/>
      <c r="X378" s="23"/>
      <c r="Y378" s="40"/>
      <c r="Z378" s="23"/>
      <c r="AA378" s="72"/>
      <c r="AB378" s="23"/>
      <c r="AC378" s="40"/>
      <c r="AD378" s="23"/>
      <c r="AE378" s="23"/>
    </row>
    <row r="379" spans="1:31">
      <c r="A379" s="23"/>
      <c r="B379" s="64"/>
      <c r="C379" s="62"/>
      <c r="D379" s="65"/>
      <c r="E379" s="65"/>
      <c r="F379" s="65"/>
      <c r="G379" s="67"/>
      <c r="H379" s="67"/>
      <c r="I379" s="71"/>
      <c r="J379" s="70"/>
      <c r="K379" s="23"/>
      <c r="L379" s="70"/>
      <c r="M379" s="70"/>
      <c r="N379" s="70"/>
      <c r="O379" s="40"/>
      <c r="P379" s="23"/>
      <c r="Q379" s="23"/>
      <c r="R379" s="72"/>
      <c r="S379" s="72"/>
      <c r="T379" s="23"/>
      <c r="U379" s="40"/>
      <c r="V379" s="23"/>
      <c r="W379" s="72"/>
      <c r="X379" s="23"/>
      <c r="Y379" s="40"/>
      <c r="Z379" s="23"/>
      <c r="AA379" s="72"/>
      <c r="AB379" s="23"/>
      <c r="AC379" s="40"/>
      <c r="AD379" s="23"/>
      <c r="AE379" s="23"/>
    </row>
    <row r="380" spans="1:31">
      <c r="A380" s="23"/>
      <c r="B380" s="64"/>
      <c r="C380" s="62"/>
      <c r="D380" s="65"/>
      <c r="E380" s="65"/>
      <c r="F380" s="65"/>
      <c r="G380" s="67"/>
      <c r="H380" s="67"/>
      <c r="I380" s="71"/>
      <c r="J380" s="70"/>
      <c r="K380" s="23"/>
      <c r="L380" s="70"/>
      <c r="M380" s="70"/>
      <c r="N380" s="70"/>
      <c r="O380" s="40"/>
      <c r="P380" s="23"/>
      <c r="Q380" s="23"/>
      <c r="R380" s="72"/>
      <c r="S380" s="72"/>
      <c r="T380" s="23"/>
      <c r="U380" s="40"/>
      <c r="V380" s="23"/>
      <c r="W380" s="72"/>
      <c r="X380" s="23"/>
      <c r="Y380" s="40"/>
      <c r="Z380" s="23"/>
      <c r="AA380" s="72"/>
      <c r="AB380" s="23"/>
      <c r="AC380" s="40"/>
      <c r="AD380" s="23"/>
      <c r="AE380" s="23"/>
    </row>
    <row r="381" spans="1:31">
      <c r="A381" s="23"/>
      <c r="B381" s="64"/>
      <c r="C381" s="62"/>
      <c r="D381" s="65"/>
      <c r="E381" s="65"/>
      <c r="F381" s="65"/>
      <c r="G381" s="67"/>
      <c r="H381" s="67"/>
      <c r="I381" s="71"/>
      <c r="J381" s="70"/>
      <c r="K381" s="23"/>
      <c r="L381" s="70"/>
      <c r="M381" s="70"/>
      <c r="N381" s="70"/>
      <c r="O381" s="40"/>
      <c r="P381" s="23"/>
      <c r="Q381" s="23"/>
      <c r="R381" s="72"/>
      <c r="S381" s="72"/>
      <c r="T381" s="23"/>
      <c r="U381" s="40"/>
      <c r="V381" s="23"/>
      <c r="W381" s="72"/>
      <c r="X381" s="23"/>
      <c r="Y381" s="40"/>
      <c r="Z381" s="23"/>
      <c r="AA381" s="72"/>
      <c r="AB381" s="23"/>
      <c r="AC381" s="40"/>
      <c r="AD381" s="23"/>
      <c r="AE381" s="23"/>
    </row>
    <row r="382" spans="1:31">
      <c r="A382" s="23"/>
      <c r="B382" s="64"/>
      <c r="C382" s="62"/>
      <c r="D382" s="65"/>
      <c r="E382" s="65"/>
      <c r="F382" s="65"/>
      <c r="G382" s="67"/>
      <c r="H382" s="67"/>
      <c r="I382" s="71"/>
      <c r="J382" s="70"/>
      <c r="K382" s="23"/>
      <c r="L382" s="70"/>
      <c r="M382" s="70"/>
      <c r="N382" s="70"/>
      <c r="O382" s="40"/>
      <c r="P382" s="23"/>
      <c r="Q382" s="23"/>
      <c r="R382" s="72"/>
      <c r="S382" s="72"/>
      <c r="T382" s="23"/>
      <c r="U382" s="40"/>
      <c r="V382" s="23"/>
      <c r="W382" s="72"/>
      <c r="X382" s="23"/>
      <c r="Y382" s="40"/>
      <c r="Z382" s="23"/>
      <c r="AA382" s="72"/>
      <c r="AB382" s="23"/>
      <c r="AC382" s="40"/>
      <c r="AD382" s="23"/>
      <c r="AE382" s="23"/>
    </row>
    <row r="383" spans="1:31">
      <c r="A383" s="23"/>
      <c r="B383" s="64"/>
      <c r="C383" s="62"/>
      <c r="D383" s="65"/>
      <c r="E383" s="65"/>
      <c r="F383" s="65"/>
      <c r="G383" s="67"/>
      <c r="H383" s="67"/>
      <c r="I383" s="71"/>
      <c r="J383" s="70"/>
      <c r="K383" s="23"/>
      <c r="L383" s="70"/>
      <c r="M383" s="70"/>
      <c r="N383" s="70"/>
      <c r="O383" s="40"/>
      <c r="P383" s="23"/>
      <c r="Q383" s="23"/>
      <c r="R383" s="72"/>
      <c r="S383" s="72"/>
      <c r="T383" s="23"/>
      <c r="U383" s="40"/>
      <c r="V383" s="23"/>
      <c r="W383" s="72"/>
      <c r="X383" s="23"/>
      <c r="Y383" s="40"/>
      <c r="Z383" s="23"/>
      <c r="AA383" s="72"/>
      <c r="AB383" s="23"/>
      <c r="AC383" s="40"/>
      <c r="AD383" s="23"/>
      <c r="AE383" s="23"/>
    </row>
    <row r="384" spans="1:31">
      <c r="A384" s="23"/>
      <c r="B384" s="64"/>
      <c r="C384" s="62"/>
      <c r="D384" s="65"/>
      <c r="E384" s="65"/>
      <c r="F384" s="65"/>
      <c r="G384" s="67"/>
      <c r="H384" s="67"/>
      <c r="I384" s="71"/>
      <c r="J384" s="70"/>
      <c r="K384" s="23"/>
      <c r="L384" s="70"/>
      <c r="M384" s="70"/>
      <c r="N384" s="70"/>
      <c r="O384" s="40"/>
      <c r="P384" s="23"/>
      <c r="Q384" s="23"/>
      <c r="R384" s="72"/>
      <c r="S384" s="72"/>
      <c r="T384" s="23"/>
      <c r="U384" s="40"/>
      <c r="V384" s="23"/>
      <c r="W384" s="72"/>
      <c r="X384" s="23"/>
      <c r="Y384" s="40"/>
      <c r="Z384" s="23"/>
      <c r="AA384" s="72"/>
      <c r="AB384" s="23"/>
      <c r="AC384" s="40"/>
      <c r="AD384" s="23"/>
      <c r="AE384" s="23"/>
    </row>
    <row r="385" spans="1:31">
      <c r="A385" s="23"/>
      <c r="B385" s="64"/>
      <c r="C385" s="62"/>
      <c r="D385" s="65"/>
      <c r="E385" s="65"/>
      <c r="F385" s="65"/>
      <c r="G385" s="67"/>
      <c r="H385" s="67"/>
      <c r="I385" s="71"/>
      <c r="J385" s="70"/>
      <c r="K385" s="23"/>
      <c r="L385" s="70"/>
      <c r="M385" s="70"/>
      <c r="N385" s="70"/>
      <c r="O385" s="40"/>
      <c r="P385" s="23"/>
      <c r="Q385" s="23"/>
      <c r="R385" s="72"/>
      <c r="S385" s="72"/>
      <c r="T385" s="23"/>
      <c r="U385" s="40"/>
      <c r="V385" s="23"/>
      <c r="W385" s="72"/>
      <c r="X385" s="23"/>
      <c r="Y385" s="40"/>
      <c r="Z385" s="23"/>
      <c r="AA385" s="72"/>
      <c r="AB385" s="23"/>
      <c r="AC385" s="40"/>
      <c r="AD385" s="23"/>
      <c r="AE385" s="23"/>
    </row>
    <row r="386" spans="1:31">
      <c r="A386" s="23"/>
      <c r="B386" s="64"/>
      <c r="C386" s="62"/>
      <c r="D386" s="65"/>
      <c r="E386" s="65"/>
      <c r="F386" s="65"/>
      <c r="G386" s="67"/>
      <c r="H386" s="67"/>
      <c r="I386" s="71"/>
      <c r="J386" s="70"/>
      <c r="K386" s="23"/>
      <c r="L386" s="70"/>
      <c r="M386" s="70"/>
      <c r="N386" s="70"/>
      <c r="O386" s="40"/>
      <c r="P386" s="23"/>
      <c r="Q386" s="23"/>
      <c r="R386" s="72"/>
      <c r="S386" s="72"/>
      <c r="T386" s="23"/>
      <c r="U386" s="40"/>
      <c r="V386" s="23"/>
      <c r="W386" s="72"/>
      <c r="X386" s="23"/>
      <c r="Y386" s="40"/>
      <c r="Z386" s="23"/>
      <c r="AA386" s="72"/>
      <c r="AB386" s="23"/>
      <c r="AC386" s="40"/>
      <c r="AD386" s="23"/>
      <c r="AE386" s="23"/>
    </row>
    <row r="387" spans="1:31">
      <c r="A387" s="23"/>
      <c r="B387" s="64"/>
      <c r="C387" s="62"/>
      <c r="D387" s="65"/>
      <c r="E387" s="65"/>
      <c r="F387" s="65"/>
      <c r="G387" s="67"/>
      <c r="H387" s="67"/>
      <c r="I387" s="71"/>
      <c r="J387" s="70"/>
      <c r="K387" s="23"/>
      <c r="L387" s="70"/>
      <c r="M387" s="70"/>
      <c r="N387" s="70"/>
      <c r="O387" s="40"/>
      <c r="P387" s="23"/>
      <c r="Q387" s="23"/>
      <c r="R387" s="72"/>
      <c r="S387" s="72"/>
      <c r="T387" s="23"/>
      <c r="U387" s="40"/>
      <c r="V387" s="23"/>
      <c r="W387" s="72"/>
      <c r="X387" s="23"/>
      <c r="Y387" s="40"/>
      <c r="Z387" s="23"/>
      <c r="AA387" s="72"/>
      <c r="AB387" s="23"/>
      <c r="AC387" s="40"/>
      <c r="AD387" s="23"/>
      <c r="AE387" s="23"/>
    </row>
    <row r="388" spans="1:31">
      <c r="A388" s="23"/>
      <c r="B388" s="64"/>
      <c r="C388" s="62"/>
      <c r="D388" s="65"/>
      <c r="E388" s="65"/>
      <c r="F388" s="65"/>
      <c r="G388" s="67"/>
      <c r="H388" s="67"/>
      <c r="I388" s="71"/>
      <c r="J388" s="70"/>
      <c r="K388" s="23"/>
      <c r="L388" s="70"/>
      <c r="M388" s="70"/>
      <c r="N388" s="70"/>
      <c r="O388" s="40"/>
      <c r="P388" s="23"/>
      <c r="Q388" s="23"/>
      <c r="R388" s="72"/>
      <c r="S388" s="72"/>
      <c r="T388" s="23"/>
      <c r="U388" s="40"/>
      <c r="V388" s="23"/>
      <c r="W388" s="72"/>
      <c r="X388" s="23"/>
      <c r="Y388" s="40"/>
      <c r="Z388" s="23"/>
      <c r="AA388" s="72"/>
      <c r="AB388" s="23"/>
      <c r="AC388" s="40"/>
      <c r="AD388" s="23"/>
      <c r="AE388" s="23"/>
    </row>
    <row r="389" spans="1:31">
      <c r="A389" s="23"/>
      <c r="B389" s="64"/>
      <c r="C389" s="62"/>
      <c r="D389" s="65"/>
      <c r="E389" s="65"/>
      <c r="F389" s="65"/>
      <c r="G389" s="67"/>
      <c r="H389" s="67"/>
      <c r="I389" s="71"/>
      <c r="J389" s="70"/>
      <c r="K389" s="23"/>
      <c r="L389" s="70"/>
      <c r="M389" s="70"/>
      <c r="N389" s="70"/>
      <c r="O389" s="40"/>
      <c r="P389" s="23"/>
      <c r="Q389" s="23"/>
      <c r="R389" s="72"/>
      <c r="S389" s="72"/>
      <c r="T389" s="23"/>
      <c r="U389" s="40"/>
      <c r="V389" s="23"/>
      <c r="W389" s="72"/>
      <c r="X389" s="23"/>
      <c r="Y389" s="40"/>
      <c r="Z389" s="23"/>
      <c r="AA389" s="72"/>
      <c r="AB389" s="23"/>
      <c r="AC389" s="40"/>
      <c r="AD389" s="23"/>
      <c r="AE389" s="23"/>
    </row>
    <row r="390" spans="1:31">
      <c r="A390" s="23"/>
      <c r="B390" s="64"/>
      <c r="C390" s="62"/>
      <c r="D390" s="65"/>
      <c r="E390" s="65"/>
      <c r="F390" s="65"/>
      <c r="G390" s="67"/>
      <c r="H390" s="67"/>
      <c r="I390" s="71"/>
      <c r="J390" s="70"/>
      <c r="K390" s="23"/>
      <c r="L390" s="70"/>
      <c r="M390" s="70"/>
      <c r="N390" s="70"/>
      <c r="O390" s="40"/>
      <c r="P390" s="23"/>
      <c r="Q390" s="23"/>
      <c r="R390" s="72"/>
      <c r="S390" s="72"/>
      <c r="T390" s="23"/>
      <c r="U390" s="40"/>
      <c r="V390" s="23"/>
      <c r="W390" s="72"/>
      <c r="X390" s="23"/>
      <c r="Y390" s="40"/>
      <c r="Z390" s="23"/>
      <c r="AA390" s="72"/>
      <c r="AB390" s="23"/>
      <c r="AC390" s="40"/>
      <c r="AD390" s="23"/>
      <c r="AE390" s="23"/>
    </row>
    <row r="391" spans="1:31">
      <c r="A391" s="23"/>
      <c r="B391" s="64"/>
      <c r="C391" s="62"/>
      <c r="D391" s="65"/>
      <c r="E391" s="65"/>
      <c r="F391" s="65"/>
      <c r="G391" s="67"/>
      <c r="H391" s="67"/>
      <c r="I391" s="71"/>
      <c r="J391" s="70"/>
      <c r="K391" s="23"/>
      <c r="L391" s="70"/>
      <c r="M391" s="70"/>
      <c r="N391" s="70"/>
      <c r="O391" s="40"/>
      <c r="P391" s="23"/>
      <c r="Q391" s="23"/>
      <c r="R391" s="72"/>
      <c r="S391" s="72"/>
      <c r="T391" s="23"/>
      <c r="U391" s="40"/>
      <c r="V391" s="23"/>
      <c r="W391" s="72"/>
      <c r="X391" s="23"/>
      <c r="Y391" s="40"/>
      <c r="Z391" s="23"/>
      <c r="AA391" s="72"/>
      <c r="AB391" s="23"/>
      <c r="AC391" s="40"/>
      <c r="AD391" s="23"/>
      <c r="AE391" s="23"/>
    </row>
    <row r="392" spans="1:31">
      <c r="A392" s="23"/>
      <c r="B392" s="64"/>
      <c r="C392" s="62"/>
      <c r="D392" s="65"/>
      <c r="E392" s="65"/>
      <c r="F392" s="65"/>
      <c r="G392" s="67"/>
      <c r="H392" s="67"/>
      <c r="I392" s="71"/>
      <c r="J392" s="70"/>
      <c r="K392" s="23"/>
      <c r="L392" s="70"/>
      <c r="M392" s="70"/>
      <c r="N392" s="70"/>
      <c r="O392" s="40"/>
      <c r="P392" s="23"/>
      <c r="Q392" s="23"/>
      <c r="R392" s="72"/>
      <c r="S392" s="72"/>
      <c r="T392" s="23"/>
      <c r="U392" s="40"/>
      <c r="V392" s="23"/>
      <c r="W392" s="72"/>
      <c r="X392" s="23"/>
      <c r="Y392" s="40"/>
      <c r="Z392" s="23"/>
      <c r="AA392" s="72"/>
      <c r="AB392" s="23"/>
      <c r="AC392" s="40"/>
      <c r="AD392" s="23"/>
      <c r="AE392" s="23"/>
    </row>
    <row r="393" spans="1:31">
      <c r="A393" s="23"/>
      <c r="B393" s="64"/>
      <c r="C393" s="62"/>
      <c r="D393" s="65"/>
      <c r="E393" s="65"/>
      <c r="F393" s="65"/>
      <c r="G393" s="67"/>
      <c r="H393" s="67"/>
      <c r="I393" s="71"/>
      <c r="J393" s="70"/>
      <c r="K393" s="23"/>
      <c r="L393" s="70"/>
      <c r="M393" s="70"/>
      <c r="N393" s="70"/>
      <c r="O393" s="40"/>
      <c r="P393" s="23"/>
      <c r="Q393" s="23"/>
      <c r="R393" s="72"/>
      <c r="S393" s="72"/>
      <c r="T393" s="23"/>
      <c r="U393" s="40"/>
      <c r="V393" s="23"/>
      <c r="W393" s="72"/>
      <c r="X393" s="23"/>
      <c r="Y393" s="40"/>
      <c r="Z393" s="23"/>
      <c r="AA393" s="72"/>
      <c r="AB393" s="23"/>
      <c r="AC393" s="40"/>
      <c r="AD393" s="23"/>
      <c r="AE393" s="23"/>
    </row>
    <row r="394" spans="1:31">
      <c r="A394" s="23"/>
      <c r="B394" s="64"/>
      <c r="C394" s="62"/>
      <c r="D394" s="65"/>
      <c r="E394" s="65"/>
      <c r="F394" s="65"/>
      <c r="G394" s="67"/>
      <c r="H394" s="67"/>
      <c r="I394" s="71"/>
      <c r="J394" s="70"/>
      <c r="K394" s="23"/>
      <c r="L394" s="70"/>
      <c r="M394" s="70"/>
      <c r="N394" s="70"/>
      <c r="O394" s="40"/>
      <c r="P394" s="23"/>
      <c r="Q394" s="23"/>
      <c r="R394" s="72"/>
      <c r="S394" s="72"/>
      <c r="T394" s="23"/>
      <c r="U394" s="40"/>
      <c r="V394" s="23"/>
      <c r="W394" s="72"/>
      <c r="X394" s="23"/>
      <c r="Y394" s="40"/>
      <c r="Z394" s="23"/>
      <c r="AA394" s="72"/>
      <c r="AB394" s="23"/>
      <c r="AC394" s="40"/>
      <c r="AD394" s="23"/>
      <c r="AE394" s="23"/>
    </row>
    <row r="395" spans="1:31">
      <c r="A395" s="23"/>
      <c r="B395" s="64"/>
      <c r="C395" s="62"/>
      <c r="D395" s="65"/>
      <c r="E395" s="65"/>
      <c r="F395" s="65"/>
      <c r="G395" s="67"/>
      <c r="H395" s="67"/>
      <c r="I395" s="71"/>
      <c r="J395" s="70"/>
      <c r="K395" s="23"/>
      <c r="L395" s="70"/>
      <c r="M395" s="70"/>
      <c r="N395" s="70"/>
      <c r="O395" s="40"/>
      <c r="P395" s="23"/>
      <c r="Q395" s="23"/>
      <c r="R395" s="72"/>
      <c r="S395" s="72"/>
      <c r="T395" s="23"/>
      <c r="U395" s="40"/>
      <c r="V395" s="23"/>
      <c r="W395" s="72"/>
      <c r="X395" s="23"/>
      <c r="Y395" s="40"/>
      <c r="Z395" s="23"/>
      <c r="AA395" s="72"/>
      <c r="AB395" s="23"/>
      <c r="AC395" s="40"/>
      <c r="AD395" s="23"/>
      <c r="AE395" s="23"/>
    </row>
    <row r="396" spans="1:31">
      <c r="A396" s="23"/>
      <c r="B396" s="64"/>
      <c r="C396" s="62"/>
      <c r="D396" s="65"/>
      <c r="E396" s="65"/>
      <c r="F396" s="65"/>
      <c r="G396" s="67"/>
      <c r="H396" s="67"/>
      <c r="I396" s="71"/>
      <c r="J396" s="70"/>
      <c r="K396" s="23"/>
      <c r="L396" s="70"/>
      <c r="M396" s="70"/>
      <c r="N396" s="70"/>
      <c r="O396" s="40"/>
      <c r="P396" s="23"/>
      <c r="Q396" s="23"/>
      <c r="R396" s="72"/>
      <c r="S396" s="72"/>
      <c r="T396" s="23"/>
      <c r="U396" s="40"/>
      <c r="V396" s="23"/>
      <c r="W396" s="72"/>
      <c r="X396" s="23"/>
      <c r="Y396" s="40"/>
      <c r="Z396" s="23"/>
      <c r="AA396" s="72"/>
      <c r="AB396" s="23"/>
      <c r="AC396" s="40"/>
      <c r="AD396" s="23"/>
      <c r="AE396" s="23"/>
    </row>
    <row r="397" spans="1:31">
      <c r="A397" s="23"/>
      <c r="B397" s="64"/>
      <c r="C397" s="62"/>
      <c r="D397" s="65"/>
      <c r="E397" s="65"/>
      <c r="F397" s="65"/>
      <c r="G397" s="67"/>
      <c r="H397" s="67"/>
      <c r="I397" s="71"/>
      <c r="J397" s="70"/>
      <c r="K397" s="23"/>
      <c r="L397" s="70"/>
      <c r="M397" s="70"/>
      <c r="N397" s="70"/>
      <c r="O397" s="40"/>
      <c r="P397" s="23"/>
      <c r="Q397" s="23"/>
      <c r="R397" s="72"/>
      <c r="S397" s="72"/>
      <c r="T397" s="23"/>
      <c r="U397" s="40"/>
      <c r="V397" s="23"/>
      <c r="W397" s="72"/>
      <c r="X397" s="23"/>
      <c r="Y397" s="40"/>
      <c r="Z397" s="23"/>
      <c r="AA397" s="72"/>
      <c r="AB397" s="23"/>
      <c r="AC397" s="40"/>
      <c r="AD397" s="23"/>
      <c r="AE397" s="23"/>
    </row>
    <row r="398" spans="1:31">
      <c r="A398" s="23"/>
      <c r="B398" s="64"/>
      <c r="C398" s="62"/>
      <c r="D398" s="65"/>
      <c r="E398" s="65"/>
      <c r="F398" s="65"/>
      <c r="G398" s="67"/>
      <c r="H398" s="67"/>
      <c r="I398" s="71"/>
      <c r="J398" s="70"/>
      <c r="K398" s="23"/>
      <c r="L398" s="70"/>
      <c r="M398" s="70"/>
      <c r="N398" s="70"/>
      <c r="O398" s="40"/>
      <c r="P398" s="23"/>
      <c r="Q398" s="23"/>
      <c r="R398" s="72"/>
      <c r="S398" s="72"/>
      <c r="T398" s="23"/>
      <c r="U398" s="40"/>
      <c r="V398" s="23"/>
      <c r="W398" s="72"/>
      <c r="X398" s="23"/>
      <c r="Y398" s="40"/>
      <c r="Z398" s="23"/>
      <c r="AA398" s="72"/>
      <c r="AB398" s="23"/>
      <c r="AC398" s="40"/>
      <c r="AD398" s="23"/>
      <c r="AE398" s="23"/>
    </row>
    <row r="399" spans="1:31">
      <c r="A399" s="23"/>
      <c r="B399" s="64"/>
      <c r="C399" s="62"/>
      <c r="D399" s="65"/>
      <c r="E399" s="65"/>
      <c r="F399" s="65"/>
      <c r="G399" s="67"/>
      <c r="H399" s="67"/>
      <c r="I399" s="71"/>
      <c r="J399" s="70"/>
      <c r="K399" s="23"/>
      <c r="L399" s="70"/>
      <c r="M399" s="70"/>
      <c r="N399" s="70"/>
      <c r="O399" s="40"/>
      <c r="P399" s="23"/>
      <c r="Q399" s="23"/>
      <c r="R399" s="72"/>
      <c r="S399" s="72"/>
      <c r="T399" s="23"/>
      <c r="U399" s="40"/>
      <c r="V399" s="23"/>
      <c r="W399" s="72"/>
      <c r="X399" s="23"/>
      <c r="Y399" s="40"/>
      <c r="Z399" s="23"/>
      <c r="AA399" s="72"/>
      <c r="AB399" s="23"/>
      <c r="AC399" s="40"/>
      <c r="AD399" s="23"/>
      <c r="AE399" s="23"/>
    </row>
    <row r="400" spans="1:31">
      <c r="A400" s="23"/>
      <c r="B400" s="64"/>
      <c r="C400" s="62"/>
      <c r="D400" s="65"/>
      <c r="E400" s="65"/>
      <c r="F400" s="65"/>
      <c r="G400" s="67"/>
      <c r="H400" s="67"/>
      <c r="I400" s="71"/>
      <c r="J400" s="70"/>
      <c r="K400" s="23"/>
      <c r="L400" s="70"/>
      <c r="M400" s="70"/>
      <c r="N400" s="70"/>
      <c r="O400" s="40"/>
      <c r="P400" s="23"/>
      <c r="Q400" s="23"/>
      <c r="R400" s="72"/>
      <c r="S400" s="72"/>
      <c r="T400" s="23"/>
      <c r="U400" s="40"/>
      <c r="V400" s="23"/>
      <c r="W400" s="72"/>
      <c r="X400" s="23"/>
      <c r="Y400" s="40"/>
      <c r="Z400" s="23"/>
      <c r="AA400" s="72"/>
      <c r="AB400" s="23"/>
      <c r="AC400" s="40"/>
      <c r="AD400" s="23"/>
      <c r="AE400" s="23"/>
    </row>
    <row r="401" spans="1:31">
      <c r="A401" s="23"/>
      <c r="B401" s="64"/>
      <c r="C401" s="62"/>
      <c r="D401" s="65"/>
      <c r="E401" s="65"/>
      <c r="F401" s="65"/>
      <c r="G401" s="67"/>
      <c r="H401" s="67"/>
      <c r="I401" s="71"/>
      <c r="J401" s="70"/>
      <c r="K401" s="23"/>
      <c r="L401" s="70"/>
      <c r="M401" s="70"/>
      <c r="N401" s="70"/>
      <c r="O401" s="40"/>
      <c r="P401" s="23"/>
      <c r="Q401" s="23"/>
      <c r="R401" s="72"/>
      <c r="S401" s="72"/>
      <c r="T401" s="23"/>
      <c r="U401" s="40"/>
      <c r="V401" s="23"/>
      <c r="W401" s="72"/>
      <c r="X401" s="23"/>
      <c r="Y401" s="40"/>
      <c r="Z401" s="23"/>
      <c r="AA401" s="72"/>
      <c r="AB401" s="23"/>
      <c r="AC401" s="40"/>
      <c r="AD401" s="23"/>
      <c r="AE401" s="23"/>
    </row>
    <row r="402" spans="1:31">
      <c r="A402" s="23"/>
      <c r="B402" s="64"/>
      <c r="C402" s="62"/>
      <c r="D402" s="65"/>
      <c r="E402" s="65"/>
      <c r="F402" s="65"/>
      <c r="G402" s="67"/>
      <c r="H402" s="67"/>
      <c r="I402" s="71"/>
      <c r="J402" s="70"/>
      <c r="K402" s="23"/>
      <c r="L402" s="70"/>
      <c r="M402" s="70"/>
      <c r="N402" s="70"/>
      <c r="O402" s="40"/>
      <c r="P402" s="23"/>
      <c r="Q402" s="23"/>
      <c r="R402" s="72"/>
      <c r="S402" s="72"/>
      <c r="T402" s="23"/>
      <c r="U402" s="40"/>
      <c r="V402" s="23"/>
      <c r="W402" s="72"/>
      <c r="X402" s="23"/>
      <c r="Y402" s="40"/>
      <c r="Z402" s="23"/>
      <c r="AA402" s="72"/>
      <c r="AB402" s="23"/>
      <c r="AC402" s="40"/>
      <c r="AD402" s="23"/>
      <c r="AE402" s="23"/>
    </row>
    <row r="403" spans="1:31">
      <c r="A403" s="23"/>
      <c r="B403" s="64"/>
      <c r="C403" s="62"/>
      <c r="D403" s="65"/>
      <c r="E403" s="65"/>
      <c r="F403" s="65"/>
      <c r="G403" s="67"/>
      <c r="H403" s="67"/>
      <c r="I403" s="71"/>
      <c r="J403" s="70"/>
      <c r="K403" s="23"/>
      <c r="L403" s="70"/>
      <c r="M403" s="70"/>
      <c r="N403" s="70"/>
      <c r="O403" s="40"/>
      <c r="P403" s="23"/>
      <c r="Q403" s="23"/>
      <c r="R403" s="72"/>
      <c r="S403" s="72"/>
      <c r="T403" s="23"/>
      <c r="U403" s="40"/>
      <c r="V403" s="23"/>
      <c r="W403" s="72"/>
      <c r="X403" s="23"/>
      <c r="Y403" s="40"/>
      <c r="Z403" s="23"/>
      <c r="AA403" s="72"/>
      <c r="AB403" s="23"/>
      <c r="AC403" s="40"/>
      <c r="AD403" s="23"/>
      <c r="AE403" s="23"/>
    </row>
    <row r="404" spans="1:31">
      <c r="A404" s="23"/>
      <c r="B404" s="64"/>
      <c r="C404" s="62"/>
      <c r="D404" s="65"/>
      <c r="E404" s="65"/>
      <c r="F404" s="65"/>
      <c r="G404" s="67"/>
      <c r="H404" s="67"/>
      <c r="I404" s="71"/>
      <c r="J404" s="70"/>
      <c r="K404" s="23"/>
      <c r="L404" s="70"/>
      <c r="M404" s="70"/>
      <c r="N404" s="70"/>
      <c r="O404" s="40"/>
      <c r="P404" s="23"/>
      <c r="Q404" s="23"/>
      <c r="R404" s="72"/>
      <c r="S404" s="72"/>
      <c r="T404" s="23"/>
      <c r="U404" s="40"/>
      <c r="V404" s="23"/>
      <c r="W404" s="72"/>
      <c r="X404" s="23"/>
      <c r="Y404" s="40"/>
      <c r="Z404" s="23"/>
      <c r="AA404" s="72"/>
      <c r="AB404" s="23"/>
      <c r="AC404" s="40"/>
      <c r="AD404" s="23"/>
      <c r="AE404" s="23"/>
    </row>
    <row r="405" spans="1:31">
      <c r="A405" s="23"/>
      <c r="B405" s="64"/>
      <c r="C405" s="62"/>
      <c r="D405" s="65"/>
      <c r="E405" s="65"/>
      <c r="F405" s="65"/>
      <c r="G405" s="67"/>
      <c r="H405" s="67"/>
      <c r="I405" s="71"/>
      <c r="J405" s="70"/>
      <c r="K405" s="23"/>
      <c r="L405" s="70"/>
      <c r="M405" s="70"/>
      <c r="N405" s="70"/>
      <c r="O405" s="40"/>
      <c r="P405" s="23"/>
      <c r="Q405" s="23"/>
      <c r="R405" s="72"/>
      <c r="S405" s="72"/>
      <c r="T405" s="23"/>
      <c r="U405" s="40"/>
      <c r="V405" s="23"/>
      <c r="W405" s="72"/>
      <c r="X405" s="23"/>
      <c r="Y405" s="40"/>
      <c r="Z405" s="23"/>
      <c r="AA405" s="72"/>
      <c r="AB405" s="23"/>
      <c r="AC405" s="40"/>
      <c r="AD405" s="23"/>
      <c r="AE405" s="23"/>
    </row>
    <row r="406" spans="1:31" ht="24" customHeight="1">
      <c r="A406" s="23"/>
      <c r="B406" s="64"/>
      <c r="C406" s="62"/>
      <c r="D406" s="65"/>
      <c r="E406" s="65"/>
      <c r="F406" s="65"/>
      <c r="G406" s="67"/>
      <c r="H406" s="83"/>
      <c r="I406" s="71"/>
      <c r="J406" s="70"/>
      <c r="K406" s="23"/>
      <c r="L406" s="70"/>
      <c r="M406" s="70"/>
      <c r="N406" s="70"/>
      <c r="O406" s="40"/>
      <c r="P406" s="23"/>
      <c r="Q406" s="23"/>
      <c r="R406" s="72"/>
      <c r="S406" s="72"/>
      <c r="T406" s="23"/>
      <c r="U406" s="40"/>
      <c r="V406" s="23"/>
      <c r="W406" s="72"/>
      <c r="X406" s="23"/>
      <c r="Y406" s="40"/>
      <c r="Z406" s="23"/>
      <c r="AA406" s="72"/>
      <c r="AB406" s="23"/>
      <c r="AC406" s="40"/>
      <c r="AD406" s="23"/>
      <c r="AE406" s="23"/>
    </row>
    <row r="407" spans="1:31">
      <c r="A407" s="23"/>
      <c r="B407" s="64"/>
      <c r="C407" s="62"/>
      <c r="D407" s="65"/>
      <c r="E407" s="65"/>
      <c r="F407" s="65"/>
      <c r="G407" s="67"/>
      <c r="H407" s="67"/>
      <c r="I407" s="71"/>
      <c r="J407" s="70"/>
      <c r="K407" s="23"/>
      <c r="L407" s="70"/>
      <c r="M407" s="70"/>
      <c r="N407" s="70"/>
      <c r="O407" s="40"/>
      <c r="P407" s="23"/>
      <c r="Q407" s="23"/>
      <c r="R407" s="72"/>
      <c r="S407" s="72"/>
      <c r="T407" s="23"/>
      <c r="U407" s="40"/>
      <c r="V407" s="23"/>
      <c r="W407" s="72"/>
      <c r="X407" s="23"/>
      <c r="Y407" s="40"/>
      <c r="Z407" s="23"/>
      <c r="AA407" s="72"/>
      <c r="AB407" s="23"/>
      <c r="AC407" s="40"/>
      <c r="AD407" s="23"/>
      <c r="AE407" s="23"/>
    </row>
    <row r="408" spans="1:31" ht="24" customHeight="1">
      <c r="A408" s="23"/>
      <c r="B408" s="64"/>
      <c r="C408" s="62"/>
      <c r="D408" s="65"/>
      <c r="E408" s="65"/>
      <c r="F408" s="65"/>
      <c r="G408" s="67"/>
      <c r="H408" s="83"/>
      <c r="I408" s="71"/>
      <c r="J408" s="70"/>
      <c r="K408" s="23"/>
      <c r="L408" s="70"/>
      <c r="M408" s="70"/>
      <c r="N408" s="70"/>
      <c r="O408" s="40"/>
      <c r="P408" s="23"/>
      <c r="Q408" s="23"/>
      <c r="R408" s="72"/>
      <c r="S408" s="72"/>
      <c r="T408" s="23"/>
      <c r="U408" s="40"/>
      <c r="V408" s="23"/>
      <c r="W408" s="72"/>
      <c r="X408" s="23"/>
      <c r="Y408" s="40"/>
      <c r="Z408" s="23"/>
      <c r="AA408" s="72"/>
      <c r="AB408" s="23"/>
      <c r="AC408" s="40"/>
      <c r="AD408" s="23"/>
      <c r="AE408" s="23"/>
    </row>
    <row r="409" spans="1:31">
      <c r="A409" s="23"/>
      <c r="B409" s="64"/>
      <c r="C409" s="62"/>
      <c r="D409" s="65"/>
      <c r="E409" s="65"/>
      <c r="F409" s="65"/>
      <c r="G409" s="67"/>
      <c r="H409" s="67"/>
      <c r="I409" s="71"/>
      <c r="J409" s="70"/>
      <c r="K409" s="23"/>
      <c r="L409" s="70"/>
      <c r="M409" s="70"/>
      <c r="N409" s="70"/>
      <c r="O409" s="40"/>
      <c r="P409" s="23"/>
      <c r="Q409" s="23"/>
      <c r="R409" s="72"/>
      <c r="S409" s="72"/>
      <c r="T409" s="23"/>
      <c r="U409" s="40"/>
      <c r="V409" s="23"/>
      <c r="W409" s="72"/>
      <c r="X409" s="23"/>
      <c r="Y409" s="40"/>
      <c r="Z409" s="23"/>
      <c r="AA409" s="72"/>
      <c r="AB409" s="23"/>
      <c r="AC409" s="40"/>
      <c r="AD409" s="23"/>
      <c r="AE409" s="23"/>
    </row>
    <row r="410" spans="1:31" ht="24" customHeight="1">
      <c r="A410" s="23"/>
      <c r="B410" s="64"/>
      <c r="C410" s="62"/>
      <c r="D410" s="65"/>
      <c r="E410" s="65"/>
      <c r="F410" s="65"/>
      <c r="G410" s="67"/>
      <c r="H410" s="83"/>
      <c r="I410" s="71"/>
      <c r="J410" s="70"/>
      <c r="K410" s="23"/>
      <c r="L410" s="70"/>
      <c r="M410" s="70"/>
      <c r="N410" s="70"/>
      <c r="O410" s="40"/>
      <c r="P410" s="23"/>
      <c r="Q410" s="23"/>
      <c r="R410" s="72"/>
      <c r="S410" s="72"/>
      <c r="T410" s="23"/>
      <c r="U410" s="40"/>
      <c r="V410" s="23"/>
      <c r="W410" s="72"/>
      <c r="X410" s="23"/>
      <c r="Y410" s="40"/>
      <c r="Z410" s="23"/>
      <c r="AA410" s="72"/>
      <c r="AB410" s="23"/>
      <c r="AC410" s="40"/>
      <c r="AD410" s="23"/>
      <c r="AE410" s="23"/>
    </row>
    <row r="411" spans="1:31">
      <c r="A411" s="23"/>
      <c r="B411" s="64"/>
      <c r="C411" s="62"/>
      <c r="D411" s="65"/>
      <c r="E411" s="65"/>
      <c r="F411" s="65"/>
      <c r="G411" s="67"/>
      <c r="H411" s="67"/>
      <c r="I411" s="71"/>
      <c r="J411" s="70"/>
      <c r="K411" s="23"/>
      <c r="L411" s="70"/>
      <c r="M411" s="70"/>
      <c r="N411" s="70"/>
      <c r="O411" s="40"/>
      <c r="P411" s="23"/>
      <c r="Q411" s="23"/>
      <c r="R411" s="72"/>
      <c r="S411" s="72"/>
      <c r="T411" s="23"/>
      <c r="U411" s="40"/>
      <c r="V411" s="23"/>
      <c r="W411" s="72"/>
      <c r="X411" s="23"/>
      <c r="Y411" s="40"/>
      <c r="Z411" s="23"/>
      <c r="AA411" s="72"/>
      <c r="AB411" s="23"/>
      <c r="AC411" s="40"/>
      <c r="AD411" s="23"/>
      <c r="AE411" s="23"/>
    </row>
    <row r="412" spans="1:31">
      <c r="A412" s="23"/>
      <c r="B412" s="64"/>
      <c r="C412" s="62"/>
      <c r="D412" s="65"/>
      <c r="E412" s="65"/>
      <c r="F412" s="65"/>
      <c r="G412" s="67"/>
      <c r="H412" s="67"/>
      <c r="I412" s="71"/>
      <c r="J412" s="70"/>
      <c r="K412" s="23"/>
      <c r="L412" s="70"/>
      <c r="M412" s="70"/>
      <c r="N412" s="70"/>
      <c r="O412" s="40"/>
      <c r="P412" s="23"/>
      <c r="Q412" s="23"/>
      <c r="R412" s="72"/>
      <c r="S412" s="72"/>
      <c r="T412" s="23"/>
      <c r="U412" s="40"/>
      <c r="V412" s="23"/>
      <c r="W412" s="72"/>
      <c r="X412" s="23"/>
      <c r="Y412" s="40"/>
      <c r="Z412" s="23"/>
      <c r="AA412" s="72"/>
      <c r="AB412" s="23"/>
      <c r="AC412" s="40"/>
      <c r="AD412" s="23"/>
      <c r="AE412" s="23"/>
    </row>
    <row r="413" spans="1:31">
      <c r="A413" s="23"/>
      <c r="B413" s="64"/>
      <c r="C413" s="62"/>
      <c r="D413" s="65"/>
      <c r="E413" s="65"/>
      <c r="F413" s="65"/>
      <c r="G413" s="67"/>
      <c r="H413" s="67"/>
      <c r="I413" s="71"/>
      <c r="J413" s="70"/>
      <c r="K413" s="23"/>
      <c r="L413" s="70"/>
      <c r="M413" s="70"/>
      <c r="N413" s="70"/>
      <c r="O413" s="40"/>
      <c r="P413" s="23"/>
      <c r="Q413" s="23"/>
      <c r="R413" s="72"/>
      <c r="S413" s="72"/>
      <c r="T413" s="23"/>
      <c r="U413" s="40"/>
      <c r="V413" s="23"/>
      <c r="W413" s="72"/>
      <c r="X413" s="23"/>
      <c r="Y413" s="40"/>
      <c r="Z413" s="23"/>
      <c r="AA413" s="72"/>
      <c r="AB413" s="23"/>
      <c r="AC413" s="40"/>
      <c r="AD413" s="23"/>
      <c r="AE413" s="23"/>
    </row>
    <row r="414" spans="1:31">
      <c r="A414" s="23"/>
      <c r="B414" s="64"/>
      <c r="C414" s="62"/>
      <c r="D414" s="65"/>
      <c r="E414" s="65"/>
      <c r="F414" s="65"/>
      <c r="G414" s="67"/>
      <c r="H414" s="67"/>
      <c r="I414" s="71"/>
      <c r="J414" s="70"/>
      <c r="K414" s="23"/>
      <c r="L414" s="70"/>
      <c r="M414" s="70"/>
      <c r="N414" s="70"/>
      <c r="O414" s="40"/>
      <c r="P414" s="23"/>
      <c r="Q414" s="23"/>
      <c r="R414" s="72"/>
      <c r="S414" s="72"/>
      <c r="T414" s="23"/>
      <c r="U414" s="40"/>
      <c r="V414" s="23"/>
      <c r="W414" s="72"/>
      <c r="X414" s="23"/>
      <c r="Y414" s="40"/>
      <c r="Z414" s="23"/>
      <c r="AA414" s="72"/>
      <c r="AB414" s="23"/>
      <c r="AC414" s="40"/>
      <c r="AD414" s="23"/>
      <c r="AE414" s="23"/>
    </row>
    <row r="415" spans="1:31">
      <c r="A415" s="23"/>
      <c r="B415" s="64"/>
      <c r="C415" s="62"/>
      <c r="D415" s="65"/>
      <c r="E415" s="65"/>
      <c r="F415" s="65"/>
      <c r="G415" s="67"/>
      <c r="H415" s="67"/>
      <c r="I415" s="71"/>
      <c r="J415" s="70"/>
      <c r="K415" s="23"/>
      <c r="L415" s="70"/>
      <c r="M415" s="70"/>
      <c r="N415" s="70"/>
      <c r="O415" s="40"/>
      <c r="P415" s="23"/>
      <c r="Q415" s="23"/>
      <c r="R415" s="72"/>
      <c r="S415" s="72"/>
      <c r="T415" s="23"/>
      <c r="U415" s="40"/>
      <c r="V415" s="23"/>
      <c r="W415" s="72"/>
      <c r="X415" s="23"/>
      <c r="Y415" s="40"/>
      <c r="Z415" s="23"/>
      <c r="AA415" s="72"/>
      <c r="AB415" s="23"/>
      <c r="AC415" s="40"/>
      <c r="AD415" s="23"/>
      <c r="AE415" s="23"/>
    </row>
    <row r="416" spans="1:31">
      <c r="A416" s="23"/>
      <c r="B416" s="64"/>
      <c r="C416" s="62"/>
      <c r="D416" s="65"/>
      <c r="E416" s="65"/>
      <c r="F416" s="65"/>
      <c r="G416" s="67"/>
      <c r="H416" s="67"/>
      <c r="I416" s="71"/>
      <c r="J416" s="70"/>
      <c r="K416" s="23"/>
      <c r="L416" s="70"/>
      <c r="M416" s="70"/>
      <c r="N416" s="70"/>
      <c r="O416" s="40"/>
      <c r="P416" s="23"/>
      <c r="Q416" s="23"/>
      <c r="R416" s="72"/>
      <c r="S416" s="72"/>
      <c r="T416" s="23"/>
      <c r="U416" s="40"/>
      <c r="V416" s="23"/>
      <c r="W416" s="72"/>
      <c r="X416" s="23"/>
      <c r="Y416" s="40"/>
      <c r="Z416" s="23"/>
      <c r="AA416" s="72"/>
      <c r="AB416" s="23"/>
      <c r="AC416" s="40"/>
      <c r="AD416" s="23"/>
      <c r="AE416" s="23"/>
    </row>
    <row r="417" spans="1:31">
      <c r="A417" s="23"/>
      <c r="B417" s="64"/>
      <c r="C417" s="62"/>
      <c r="D417" s="65"/>
      <c r="E417" s="65"/>
      <c r="F417" s="65"/>
      <c r="G417" s="67"/>
      <c r="H417" s="67"/>
      <c r="I417" s="71"/>
      <c r="J417" s="70"/>
      <c r="K417" s="23"/>
      <c r="L417" s="70"/>
      <c r="M417" s="70"/>
      <c r="N417" s="70"/>
      <c r="O417" s="40"/>
      <c r="P417" s="23"/>
      <c r="Q417" s="23"/>
      <c r="R417" s="72"/>
      <c r="S417" s="72"/>
      <c r="T417" s="23"/>
      <c r="U417" s="40"/>
      <c r="V417" s="23"/>
      <c r="W417" s="72"/>
      <c r="X417" s="23"/>
      <c r="Y417" s="40"/>
      <c r="Z417" s="23"/>
      <c r="AA417" s="72"/>
      <c r="AB417" s="23"/>
      <c r="AC417" s="40"/>
      <c r="AD417" s="23"/>
      <c r="AE417" s="23"/>
    </row>
    <row r="418" spans="1:31">
      <c r="A418" s="23"/>
      <c r="B418" s="64"/>
      <c r="C418" s="62"/>
      <c r="D418" s="65"/>
      <c r="E418" s="65"/>
      <c r="F418" s="65"/>
      <c r="G418" s="67"/>
      <c r="H418" s="67"/>
      <c r="I418" s="71"/>
      <c r="J418" s="70"/>
      <c r="K418" s="23"/>
      <c r="L418" s="70"/>
      <c r="M418" s="70"/>
      <c r="N418" s="70"/>
      <c r="O418" s="40"/>
      <c r="P418" s="23"/>
      <c r="Q418" s="23"/>
      <c r="R418" s="72"/>
      <c r="S418" s="72"/>
      <c r="T418" s="23"/>
      <c r="U418" s="40"/>
      <c r="V418" s="23"/>
      <c r="W418" s="72"/>
      <c r="X418" s="23"/>
      <c r="Y418" s="40"/>
      <c r="Z418" s="23"/>
      <c r="AA418" s="72"/>
      <c r="AB418" s="23"/>
      <c r="AC418" s="40"/>
      <c r="AD418" s="23"/>
      <c r="AE418" s="23"/>
    </row>
    <row r="419" spans="1:31">
      <c r="A419" s="23"/>
      <c r="B419" s="64"/>
      <c r="C419" s="62"/>
      <c r="D419" s="65"/>
      <c r="E419" s="65"/>
      <c r="F419" s="65"/>
      <c r="G419" s="67"/>
      <c r="H419" s="67"/>
      <c r="I419" s="71"/>
      <c r="J419" s="70"/>
      <c r="K419" s="23"/>
      <c r="L419" s="70"/>
      <c r="M419" s="70"/>
      <c r="N419" s="70"/>
      <c r="O419" s="40"/>
      <c r="P419" s="23"/>
      <c r="Q419" s="23"/>
      <c r="R419" s="72"/>
      <c r="S419" s="72"/>
      <c r="T419" s="23"/>
      <c r="U419" s="40"/>
      <c r="V419" s="23"/>
      <c r="W419" s="72"/>
      <c r="X419" s="23"/>
      <c r="Y419" s="40"/>
      <c r="Z419" s="23"/>
      <c r="AA419" s="72"/>
      <c r="AB419" s="23"/>
      <c r="AC419" s="40"/>
      <c r="AD419" s="23"/>
      <c r="AE419" s="23"/>
    </row>
    <row r="420" spans="1:31">
      <c r="A420" s="23"/>
      <c r="B420" s="64"/>
      <c r="C420" s="62"/>
      <c r="D420" s="65"/>
      <c r="E420" s="65"/>
      <c r="F420" s="65"/>
      <c r="G420" s="67"/>
      <c r="H420" s="67"/>
      <c r="I420" s="71"/>
      <c r="J420" s="70"/>
      <c r="K420" s="23"/>
      <c r="L420" s="70"/>
      <c r="M420" s="70"/>
      <c r="N420" s="70"/>
      <c r="O420" s="40"/>
      <c r="P420" s="23"/>
      <c r="Q420" s="23"/>
      <c r="R420" s="72"/>
      <c r="S420" s="72"/>
      <c r="T420" s="23"/>
      <c r="U420" s="40"/>
      <c r="V420" s="23"/>
      <c r="W420" s="72"/>
      <c r="X420" s="23"/>
      <c r="Y420" s="40"/>
      <c r="Z420" s="23"/>
      <c r="AA420" s="72"/>
      <c r="AB420" s="23"/>
      <c r="AC420" s="40"/>
      <c r="AD420" s="23"/>
      <c r="AE420" s="23"/>
    </row>
    <row r="421" spans="1:31">
      <c r="A421" s="23"/>
      <c r="B421" s="64"/>
      <c r="C421" s="62"/>
      <c r="D421" s="65"/>
      <c r="E421" s="65"/>
      <c r="F421" s="65"/>
      <c r="G421" s="67"/>
      <c r="H421" s="67"/>
      <c r="I421" s="71"/>
      <c r="J421" s="70"/>
      <c r="K421" s="23"/>
      <c r="L421" s="70"/>
      <c r="M421" s="70"/>
      <c r="N421" s="70"/>
      <c r="O421" s="40"/>
      <c r="P421" s="23"/>
      <c r="Q421" s="23"/>
      <c r="R421" s="72"/>
      <c r="S421" s="72"/>
      <c r="T421" s="23"/>
      <c r="U421" s="40"/>
      <c r="V421" s="23"/>
      <c r="W421" s="72"/>
      <c r="X421" s="23"/>
      <c r="Y421" s="40"/>
      <c r="Z421" s="23"/>
      <c r="AA421" s="72"/>
      <c r="AB421" s="23"/>
      <c r="AC421" s="40"/>
      <c r="AD421" s="23"/>
      <c r="AE421" s="23"/>
    </row>
    <row r="422" spans="1:31">
      <c r="A422" s="23"/>
      <c r="B422" s="64"/>
      <c r="C422" s="62"/>
      <c r="D422" s="65"/>
      <c r="E422" s="65"/>
      <c r="F422" s="65"/>
      <c r="G422" s="67"/>
      <c r="H422" s="67"/>
      <c r="I422" s="71"/>
      <c r="J422" s="70"/>
      <c r="K422" s="23"/>
      <c r="L422" s="70"/>
      <c r="M422" s="70"/>
      <c r="N422" s="70"/>
      <c r="O422" s="40"/>
      <c r="P422" s="23"/>
      <c r="Q422" s="23"/>
      <c r="R422" s="72"/>
      <c r="S422" s="72"/>
      <c r="T422" s="23"/>
      <c r="U422" s="40"/>
      <c r="V422" s="23"/>
      <c r="W422" s="72"/>
      <c r="X422" s="23"/>
      <c r="Y422" s="40"/>
      <c r="Z422" s="23"/>
      <c r="AA422" s="72"/>
      <c r="AB422" s="23"/>
      <c r="AC422" s="40"/>
      <c r="AD422" s="23"/>
      <c r="AE422" s="23"/>
    </row>
    <row r="423" spans="1:31">
      <c r="A423" s="23"/>
      <c r="B423" s="64"/>
      <c r="C423" s="62"/>
      <c r="D423" s="65"/>
      <c r="E423" s="65"/>
      <c r="F423" s="65"/>
      <c r="G423" s="67"/>
      <c r="H423" s="67"/>
      <c r="I423" s="71"/>
      <c r="J423" s="70"/>
      <c r="K423" s="23"/>
      <c r="L423" s="70"/>
      <c r="M423" s="70"/>
      <c r="N423" s="70"/>
      <c r="O423" s="40"/>
      <c r="P423" s="23"/>
      <c r="Q423" s="23"/>
      <c r="R423" s="72"/>
      <c r="S423" s="72"/>
      <c r="T423" s="23"/>
      <c r="U423" s="40"/>
      <c r="V423" s="23"/>
      <c r="W423" s="72"/>
      <c r="X423" s="23"/>
      <c r="Y423" s="40"/>
      <c r="Z423" s="23"/>
      <c r="AA423" s="72"/>
      <c r="AB423" s="23"/>
      <c r="AC423" s="40"/>
      <c r="AD423" s="23"/>
      <c r="AE423" s="23"/>
    </row>
    <row r="424" spans="1:31">
      <c r="A424" s="23"/>
      <c r="B424" s="64"/>
      <c r="C424" s="62"/>
      <c r="D424" s="65"/>
      <c r="E424" s="65"/>
      <c r="F424" s="65"/>
      <c r="G424" s="67"/>
      <c r="H424" s="67"/>
      <c r="I424" s="71"/>
      <c r="J424" s="70"/>
      <c r="K424" s="23"/>
      <c r="L424" s="70"/>
      <c r="M424" s="70"/>
      <c r="N424" s="70"/>
      <c r="O424" s="40"/>
      <c r="P424" s="23"/>
      <c r="Q424" s="23"/>
      <c r="R424" s="72" t="s">
        <v>63</v>
      </c>
      <c r="S424" s="72"/>
      <c r="T424" s="23"/>
      <c r="U424" s="40"/>
      <c r="V424" s="23"/>
      <c r="W424" s="72"/>
      <c r="X424" s="23"/>
      <c r="Y424" s="40"/>
      <c r="Z424" s="23"/>
      <c r="AA424" s="72"/>
      <c r="AB424" s="23"/>
      <c r="AC424" s="40"/>
      <c r="AD424" s="23"/>
      <c r="AE424" s="23"/>
    </row>
    <row r="425" spans="1:31">
      <c r="A425" s="23"/>
      <c r="B425" s="64"/>
      <c r="C425" s="62"/>
      <c r="D425" s="65"/>
      <c r="E425" s="65"/>
      <c r="F425" s="65"/>
      <c r="G425" s="67"/>
      <c r="H425" s="67"/>
      <c r="I425" s="71"/>
      <c r="J425" s="70"/>
      <c r="K425" s="23"/>
      <c r="L425" s="70"/>
      <c r="M425" s="70"/>
      <c r="N425" s="70"/>
      <c r="O425" s="40"/>
      <c r="P425" s="23"/>
      <c r="Q425" s="23"/>
      <c r="R425" s="72"/>
      <c r="S425" s="72"/>
      <c r="T425" s="23"/>
      <c r="U425" s="40"/>
      <c r="V425" s="23"/>
      <c r="W425" s="72"/>
      <c r="X425" s="23"/>
      <c r="Y425" s="40"/>
      <c r="Z425" s="23"/>
      <c r="AA425" s="72"/>
      <c r="AB425" s="23"/>
      <c r="AC425" s="40"/>
      <c r="AD425" s="23"/>
      <c r="AE425" s="23"/>
    </row>
    <row r="426" spans="1:31" ht="12.75">
      <c r="A426" s="23"/>
      <c r="B426" s="64"/>
      <c r="C426" s="62"/>
      <c r="D426" s="92"/>
      <c r="E426" s="65"/>
      <c r="F426" s="65"/>
      <c r="G426" s="67"/>
      <c r="H426" s="67"/>
      <c r="I426" s="71"/>
      <c r="J426" s="70"/>
      <c r="K426" s="23"/>
      <c r="L426" s="70"/>
      <c r="M426" s="70"/>
      <c r="N426" s="70"/>
      <c r="O426" s="40"/>
      <c r="P426" s="23"/>
      <c r="Q426" s="23"/>
      <c r="R426" s="72"/>
      <c r="S426" s="72"/>
      <c r="T426" s="23"/>
      <c r="U426" s="40"/>
      <c r="V426" s="23"/>
      <c r="W426" s="72"/>
      <c r="X426" s="23"/>
      <c r="Y426" s="40"/>
      <c r="Z426" s="23"/>
      <c r="AA426" s="72"/>
      <c r="AB426" s="23"/>
      <c r="AC426" s="40"/>
      <c r="AD426" s="23"/>
      <c r="AE426" s="23"/>
    </row>
    <row r="427" spans="1:31" ht="12.75">
      <c r="A427" s="23"/>
      <c r="B427" s="64"/>
      <c r="C427" s="62"/>
      <c r="D427" s="92"/>
      <c r="E427" s="65"/>
      <c r="F427" s="65"/>
      <c r="G427" s="67"/>
      <c r="H427" s="67"/>
      <c r="I427" s="71"/>
      <c r="J427" s="70"/>
      <c r="K427" s="23"/>
      <c r="L427" s="70"/>
      <c r="M427" s="70"/>
      <c r="N427" s="70"/>
      <c r="O427" s="40"/>
      <c r="P427" s="23"/>
      <c r="Q427" s="23"/>
      <c r="R427" s="72"/>
      <c r="S427" s="72"/>
      <c r="T427" s="23"/>
      <c r="U427" s="40"/>
      <c r="V427" s="23"/>
      <c r="W427" s="72"/>
      <c r="X427" s="23"/>
      <c r="Y427" s="40"/>
      <c r="Z427" s="23"/>
      <c r="AA427" s="72"/>
      <c r="AB427" s="23"/>
      <c r="AC427" s="40"/>
      <c r="AD427" s="23"/>
      <c r="AE427" s="23"/>
    </row>
    <row r="428" spans="1:31" ht="12.75">
      <c r="A428" s="23"/>
      <c r="B428" s="64"/>
      <c r="C428" s="62"/>
      <c r="D428" s="92"/>
      <c r="E428" s="65"/>
      <c r="F428" s="65"/>
      <c r="G428" s="67"/>
      <c r="H428" s="67"/>
      <c r="I428" s="71"/>
      <c r="J428" s="70"/>
      <c r="K428" s="23"/>
      <c r="L428" s="70"/>
      <c r="M428" s="70"/>
      <c r="N428" s="70"/>
      <c r="O428" s="40"/>
      <c r="P428" s="23"/>
      <c r="Q428" s="23"/>
      <c r="R428" s="72"/>
      <c r="S428" s="72"/>
      <c r="T428" s="23"/>
      <c r="U428" s="40"/>
      <c r="V428" s="23"/>
      <c r="W428" s="72"/>
      <c r="X428" s="23"/>
      <c r="Y428" s="40"/>
      <c r="Z428" s="23"/>
      <c r="AA428" s="72"/>
      <c r="AB428" s="23"/>
      <c r="AC428" s="40"/>
      <c r="AD428" s="23"/>
      <c r="AE428" s="23"/>
    </row>
    <row r="429" spans="1:31" ht="12.75">
      <c r="A429" s="23"/>
      <c r="B429" s="64"/>
      <c r="C429" s="62"/>
      <c r="D429" s="92"/>
      <c r="E429" s="65"/>
      <c r="F429" s="65"/>
      <c r="G429" s="67"/>
      <c r="H429" s="67"/>
      <c r="I429" s="71"/>
      <c r="J429" s="70"/>
      <c r="K429" s="23"/>
      <c r="L429" s="70"/>
      <c r="M429" s="70"/>
      <c r="N429" s="70"/>
      <c r="O429" s="40"/>
      <c r="P429" s="23"/>
      <c r="Q429" s="23"/>
      <c r="R429" s="72"/>
      <c r="S429" s="72"/>
      <c r="T429" s="23"/>
      <c r="U429" s="40"/>
      <c r="V429" s="23"/>
      <c r="W429" s="72"/>
      <c r="X429" s="23"/>
      <c r="Y429" s="40"/>
      <c r="Z429" s="23"/>
      <c r="AA429" s="72"/>
      <c r="AB429" s="23"/>
      <c r="AC429" s="40"/>
      <c r="AD429" s="23"/>
      <c r="AE429" s="23"/>
    </row>
    <row r="430" spans="1:31" ht="12.75">
      <c r="A430" s="23"/>
      <c r="B430" s="64"/>
      <c r="C430" s="62"/>
      <c r="D430" s="92"/>
      <c r="E430" s="65"/>
      <c r="F430" s="65"/>
      <c r="G430" s="67"/>
      <c r="H430" s="67"/>
      <c r="I430" s="71"/>
      <c r="J430" s="70"/>
      <c r="K430" s="23"/>
      <c r="L430" s="70"/>
      <c r="M430" s="70"/>
      <c r="N430" s="70"/>
      <c r="O430" s="40"/>
      <c r="P430" s="23"/>
      <c r="Q430" s="23"/>
      <c r="R430" s="72"/>
      <c r="S430" s="72"/>
      <c r="T430" s="23"/>
      <c r="U430" s="40"/>
      <c r="V430" s="23"/>
      <c r="W430" s="72"/>
      <c r="X430" s="23"/>
      <c r="Y430" s="40"/>
      <c r="Z430" s="23"/>
      <c r="AA430" s="72"/>
      <c r="AB430" s="23"/>
      <c r="AC430" s="40"/>
      <c r="AD430" s="23"/>
      <c r="AE430" s="23"/>
    </row>
    <row r="431" spans="1:31" ht="12.75">
      <c r="A431" s="23"/>
      <c r="B431" s="64"/>
      <c r="C431" s="62"/>
      <c r="D431" s="92"/>
      <c r="E431" s="65"/>
      <c r="F431" s="65"/>
      <c r="G431" s="67"/>
      <c r="H431" s="67"/>
      <c r="I431" s="71"/>
      <c r="J431" s="70"/>
      <c r="K431" s="23"/>
      <c r="L431" s="70"/>
      <c r="M431" s="70"/>
      <c r="N431" s="70"/>
      <c r="O431" s="40"/>
      <c r="P431" s="23"/>
      <c r="Q431" s="23"/>
      <c r="R431" s="72"/>
      <c r="S431" s="72"/>
      <c r="T431" s="23"/>
      <c r="U431" s="40"/>
      <c r="V431" s="23"/>
      <c r="W431" s="72"/>
      <c r="X431" s="23"/>
      <c r="Y431" s="40"/>
      <c r="Z431" s="23"/>
      <c r="AA431" s="72"/>
      <c r="AB431" s="23"/>
      <c r="AC431" s="40"/>
      <c r="AD431" s="23"/>
      <c r="AE431" s="23"/>
    </row>
    <row r="432" spans="1:31" ht="12.75">
      <c r="A432" s="23"/>
      <c r="B432" s="64"/>
      <c r="C432" s="62"/>
      <c r="D432" s="92"/>
      <c r="E432" s="65"/>
      <c r="F432" s="65"/>
      <c r="G432" s="67"/>
      <c r="H432" s="67"/>
      <c r="I432" s="71"/>
      <c r="J432" s="70"/>
      <c r="K432" s="23"/>
      <c r="L432" s="70"/>
      <c r="M432" s="70"/>
      <c r="N432" s="70"/>
      <c r="O432" s="40"/>
      <c r="P432" s="23"/>
      <c r="Q432" s="23"/>
      <c r="R432" s="72"/>
      <c r="S432" s="72"/>
      <c r="T432" s="23"/>
      <c r="U432" s="40"/>
      <c r="V432" s="23"/>
      <c r="W432" s="72"/>
      <c r="X432" s="23"/>
      <c r="Y432" s="40"/>
      <c r="Z432" s="23"/>
      <c r="AA432" s="72"/>
      <c r="AB432" s="23"/>
      <c r="AC432" s="40"/>
      <c r="AD432" s="23"/>
      <c r="AE432" s="23"/>
    </row>
    <row r="433" spans="1:31" ht="12.75">
      <c r="A433" s="23"/>
      <c r="B433" s="64"/>
      <c r="C433" s="62"/>
      <c r="D433" s="92"/>
      <c r="E433" s="65"/>
      <c r="F433" s="65"/>
      <c r="G433" s="67"/>
      <c r="H433" s="67"/>
      <c r="I433" s="71"/>
      <c r="J433" s="70"/>
      <c r="K433" s="23"/>
      <c r="L433" s="70"/>
      <c r="M433" s="70"/>
      <c r="N433" s="70"/>
      <c r="O433" s="40"/>
      <c r="P433" s="23"/>
      <c r="Q433" s="23"/>
      <c r="R433" s="72"/>
      <c r="S433" s="72"/>
      <c r="T433" s="23"/>
      <c r="U433" s="40"/>
      <c r="V433" s="23"/>
      <c r="W433" s="72"/>
      <c r="X433" s="23"/>
      <c r="Y433" s="40"/>
      <c r="Z433" s="23"/>
      <c r="AA433" s="72"/>
      <c r="AB433" s="23"/>
      <c r="AC433" s="40"/>
      <c r="AD433" s="23"/>
      <c r="AE433" s="23"/>
    </row>
    <row r="434" spans="1:31" ht="12.75">
      <c r="A434" s="23"/>
      <c r="B434" s="64"/>
      <c r="C434" s="62"/>
      <c r="D434" s="92"/>
      <c r="E434" s="65"/>
      <c r="F434" s="65"/>
      <c r="G434" s="67"/>
      <c r="H434" s="67"/>
      <c r="I434" s="71"/>
      <c r="J434" s="70"/>
      <c r="K434" s="23"/>
      <c r="L434" s="70"/>
      <c r="M434" s="70"/>
      <c r="N434" s="70"/>
      <c r="O434" s="40"/>
      <c r="P434" s="23"/>
      <c r="Q434" s="23"/>
      <c r="R434" s="72"/>
      <c r="S434" s="72"/>
      <c r="T434" s="23"/>
      <c r="U434" s="40"/>
      <c r="V434" s="23"/>
      <c r="W434" s="72"/>
      <c r="X434" s="23"/>
      <c r="Y434" s="40"/>
      <c r="Z434" s="23"/>
      <c r="AA434" s="72"/>
      <c r="AB434" s="23"/>
      <c r="AC434" s="40"/>
      <c r="AD434" s="23"/>
      <c r="AE434" s="23"/>
    </row>
    <row r="435" spans="1:31" ht="12.75">
      <c r="A435" s="23"/>
      <c r="B435" s="64"/>
      <c r="C435" s="62"/>
      <c r="D435" s="92"/>
      <c r="E435" s="65"/>
      <c r="F435" s="65"/>
      <c r="G435" s="67"/>
      <c r="H435" s="67"/>
      <c r="I435" s="71"/>
      <c r="J435" s="70"/>
      <c r="K435" s="23"/>
      <c r="L435" s="70"/>
      <c r="M435" s="70"/>
      <c r="N435" s="70"/>
      <c r="O435" s="40"/>
      <c r="P435" s="23"/>
      <c r="Q435" s="23"/>
      <c r="R435" s="72"/>
      <c r="S435" s="72"/>
      <c r="T435" s="23"/>
      <c r="U435" s="40"/>
      <c r="V435" s="23"/>
      <c r="W435" s="72"/>
      <c r="X435" s="23"/>
      <c r="Y435" s="40"/>
      <c r="Z435" s="23"/>
      <c r="AA435" s="72"/>
      <c r="AB435" s="23"/>
      <c r="AC435" s="40"/>
      <c r="AD435" s="23"/>
      <c r="AE435" s="23"/>
    </row>
    <row r="436" spans="1:31" ht="12.75">
      <c r="A436" s="23"/>
      <c r="B436" s="64"/>
      <c r="C436" s="62"/>
      <c r="D436" s="92"/>
      <c r="E436" s="65"/>
      <c r="F436" s="65"/>
      <c r="G436" s="67"/>
      <c r="H436" s="67"/>
      <c r="I436" s="71"/>
      <c r="J436" s="70"/>
      <c r="K436" s="23"/>
      <c r="L436" s="70"/>
      <c r="M436" s="70"/>
      <c r="N436" s="70"/>
      <c r="O436" s="40"/>
      <c r="P436" s="23"/>
      <c r="Q436" s="23"/>
      <c r="R436" s="72"/>
      <c r="S436" s="72"/>
      <c r="T436" s="23"/>
      <c r="U436" s="40"/>
      <c r="V436" s="23"/>
      <c r="W436" s="72"/>
      <c r="X436" s="23"/>
      <c r="Y436" s="40"/>
      <c r="Z436" s="23"/>
      <c r="AA436" s="72"/>
      <c r="AB436" s="23"/>
      <c r="AC436" s="40"/>
      <c r="AD436" s="23"/>
      <c r="AE436" s="23"/>
    </row>
    <row r="437" spans="1:31" ht="12.75">
      <c r="A437" s="23"/>
      <c r="B437" s="64"/>
      <c r="C437" s="62"/>
      <c r="D437" s="92"/>
      <c r="E437" s="65"/>
      <c r="F437" s="65"/>
      <c r="G437" s="67"/>
      <c r="H437" s="67"/>
      <c r="I437" s="71"/>
      <c r="J437" s="70"/>
      <c r="K437" s="23"/>
      <c r="L437" s="70"/>
      <c r="M437" s="70"/>
      <c r="N437" s="70"/>
      <c r="O437" s="40"/>
      <c r="P437" s="23"/>
      <c r="Q437" s="23"/>
      <c r="R437" s="72"/>
      <c r="S437" s="72"/>
      <c r="T437" s="23"/>
      <c r="U437" s="40"/>
      <c r="V437" s="23"/>
      <c r="W437" s="72"/>
      <c r="X437" s="23"/>
      <c r="Y437" s="40"/>
      <c r="Z437" s="23"/>
      <c r="AA437" s="72"/>
      <c r="AB437" s="23"/>
      <c r="AC437" s="40"/>
      <c r="AD437" s="23"/>
      <c r="AE437" s="23"/>
    </row>
    <row r="438" spans="1:31" ht="12.75">
      <c r="A438" s="23"/>
      <c r="B438" s="64"/>
      <c r="C438" s="62"/>
      <c r="D438" s="92"/>
      <c r="E438" s="65"/>
      <c r="F438" s="65"/>
      <c r="G438" s="67"/>
      <c r="H438" s="67"/>
      <c r="I438" s="71"/>
      <c r="J438" s="70"/>
      <c r="K438" s="23"/>
      <c r="L438" s="70"/>
      <c r="M438" s="70"/>
      <c r="N438" s="70"/>
      <c r="O438" s="40"/>
      <c r="P438" s="23"/>
      <c r="Q438" s="23"/>
      <c r="R438" s="72"/>
      <c r="S438" s="72"/>
      <c r="T438" s="23"/>
      <c r="U438" s="40"/>
      <c r="V438" s="23"/>
      <c r="W438" s="72"/>
      <c r="X438" s="23"/>
      <c r="Y438" s="40"/>
      <c r="Z438" s="23"/>
      <c r="AA438" s="72"/>
      <c r="AB438" s="23"/>
      <c r="AC438" s="40"/>
      <c r="AD438" s="23"/>
      <c r="AE438" s="23"/>
    </row>
    <row r="439" spans="1:31" ht="12.75">
      <c r="A439" s="23"/>
      <c r="B439" s="64"/>
      <c r="C439" s="62"/>
      <c r="D439" s="92"/>
      <c r="E439" s="65"/>
      <c r="F439" s="65"/>
      <c r="G439" s="67"/>
      <c r="H439" s="67"/>
      <c r="I439" s="71"/>
      <c r="J439" s="70"/>
      <c r="K439" s="23"/>
      <c r="L439" s="70"/>
      <c r="M439" s="70"/>
      <c r="N439" s="70"/>
      <c r="O439" s="40"/>
      <c r="P439" s="23"/>
      <c r="Q439" s="23"/>
      <c r="R439" s="72"/>
      <c r="S439" s="72"/>
      <c r="T439" s="23"/>
      <c r="U439" s="40"/>
      <c r="V439" s="23"/>
      <c r="W439" s="72"/>
      <c r="X439" s="23"/>
      <c r="Y439" s="40"/>
      <c r="Z439" s="23"/>
      <c r="AA439" s="72"/>
      <c r="AB439" s="23"/>
      <c r="AC439" s="40"/>
      <c r="AD439" s="23"/>
      <c r="AE439" s="23"/>
    </row>
    <row r="440" spans="1:31" ht="12.75">
      <c r="A440" s="23"/>
      <c r="B440" s="64"/>
      <c r="C440" s="62"/>
      <c r="D440" s="92"/>
      <c r="E440" s="65"/>
      <c r="F440" s="65"/>
      <c r="G440" s="67"/>
      <c r="H440" s="67"/>
      <c r="I440" s="71"/>
      <c r="J440" s="70"/>
      <c r="K440" s="23"/>
      <c r="L440" s="70"/>
      <c r="M440" s="70"/>
      <c r="N440" s="70"/>
      <c r="O440" s="40"/>
      <c r="P440" s="23"/>
      <c r="Q440" s="23"/>
      <c r="R440" s="72"/>
      <c r="S440" s="72"/>
      <c r="T440" s="23"/>
      <c r="U440" s="40"/>
      <c r="V440" s="23"/>
      <c r="W440" s="72"/>
      <c r="X440" s="23"/>
      <c r="Y440" s="40"/>
      <c r="Z440" s="23"/>
      <c r="AA440" s="72"/>
      <c r="AB440" s="23"/>
      <c r="AC440" s="40"/>
      <c r="AD440" s="23"/>
      <c r="AE440" s="23"/>
    </row>
    <row r="441" spans="1:31" ht="12.75">
      <c r="A441" s="23"/>
      <c r="B441" s="64"/>
      <c r="C441" s="62"/>
      <c r="D441" s="92"/>
      <c r="E441" s="65"/>
      <c r="F441" s="65"/>
      <c r="G441" s="67"/>
      <c r="H441" s="67"/>
      <c r="I441" s="71"/>
      <c r="J441" s="70"/>
      <c r="K441" s="23"/>
      <c r="L441" s="70"/>
      <c r="M441" s="70"/>
      <c r="N441" s="70"/>
      <c r="O441" s="40"/>
      <c r="P441" s="23"/>
      <c r="Q441" s="23"/>
      <c r="R441" s="72"/>
      <c r="S441" s="72"/>
      <c r="T441" s="23"/>
      <c r="U441" s="40"/>
      <c r="V441" s="23"/>
      <c r="W441" s="72"/>
      <c r="X441" s="23"/>
      <c r="Y441" s="40"/>
      <c r="Z441" s="23"/>
      <c r="AA441" s="72"/>
      <c r="AB441" s="23"/>
      <c r="AC441" s="40"/>
      <c r="AD441" s="23"/>
      <c r="AE441" s="23"/>
    </row>
    <row r="442" spans="1:31" ht="12.75">
      <c r="A442" s="23"/>
      <c r="B442" s="64"/>
      <c r="C442" s="62"/>
      <c r="D442" s="92"/>
      <c r="E442" s="65"/>
      <c r="F442" s="65"/>
      <c r="G442" s="67"/>
      <c r="H442" s="67"/>
      <c r="I442" s="71"/>
      <c r="J442" s="70"/>
      <c r="K442" s="23"/>
      <c r="L442" s="70"/>
      <c r="M442" s="70"/>
      <c r="N442" s="70"/>
      <c r="O442" s="40"/>
      <c r="P442" s="23"/>
      <c r="Q442" s="23"/>
      <c r="R442" s="72"/>
      <c r="S442" s="72"/>
      <c r="T442" s="23"/>
      <c r="U442" s="40"/>
      <c r="V442" s="23"/>
      <c r="W442" s="72"/>
      <c r="X442" s="23"/>
      <c r="Y442" s="40"/>
      <c r="Z442" s="23"/>
      <c r="AA442" s="72"/>
      <c r="AB442" s="23"/>
      <c r="AC442" s="40"/>
      <c r="AD442" s="23"/>
      <c r="AE442" s="23"/>
    </row>
    <row r="443" spans="1:31" ht="12.75">
      <c r="A443" s="23"/>
      <c r="B443" s="64"/>
      <c r="C443" s="62"/>
      <c r="D443" s="92"/>
      <c r="E443" s="65"/>
      <c r="F443" s="65"/>
      <c r="G443" s="67"/>
      <c r="H443" s="67"/>
      <c r="I443" s="71"/>
      <c r="J443" s="70"/>
      <c r="K443" s="23"/>
      <c r="L443" s="70"/>
      <c r="M443" s="70"/>
      <c r="N443" s="70"/>
      <c r="O443" s="40"/>
      <c r="P443" s="23"/>
      <c r="Q443" s="23"/>
      <c r="R443" s="72"/>
      <c r="S443" s="72"/>
      <c r="T443" s="23"/>
      <c r="U443" s="40"/>
      <c r="V443" s="23"/>
      <c r="W443" s="72"/>
      <c r="X443" s="23"/>
      <c r="Y443" s="40"/>
      <c r="Z443" s="23"/>
      <c r="AA443" s="72"/>
      <c r="AB443" s="23"/>
      <c r="AC443" s="40"/>
      <c r="AD443" s="23"/>
      <c r="AE443" s="23"/>
    </row>
    <row r="444" spans="1:31" ht="12.75">
      <c r="A444" s="23"/>
      <c r="B444" s="64"/>
      <c r="C444" s="62"/>
      <c r="D444" s="92"/>
      <c r="E444" s="65"/>
      <c r="F444" s="65"/>
      <c r="G444" s="67"/>
      <c r="H444" s="67"/>
      <c r="I444" s="71"/>
      <c r="J444" s="70"/>
      <c r="K444" s="23"/>
      <c r="L444" s="70"/>
      <c r="M444" s="70"/>
      <c r="N444" s="70"/>
      <c r="O444" s="40"/>
      <c r="P444" s="23"/>
      <c r="Q444" s="23"/>
      <c r="R444" s="72"/>
      <c r="S444" s="72"/>
      <c r="T444" s="23"/>
      <c r="U444" s="40"/>
      <c r="V444" s="23"/>
      <c r="W444" s="72"/>
      <c r="X444" s="23"/>
      <c r="Y444" s="40"/>
      <c r="Z444" s="23"/>
      <c r="AA444" s="72"/>
      <c r="AB444" s="23"/>
      <c r="AC444" s="40"/>
      <c r="AD444" s="23"/>
      <c r="AE444" s="23"/>
    </row>
    <row r="445" spans="1:31" ht="12.75">
      <c r="A445" s="23"/>
      <c r="B445" s="64"/>
      <c r="C445" s="62"/>
      <c r="D445" s="92"/>
      <c r="E445" s="65"/>
      <c r="F445" s="65"/>
      <c r="G445" s="67"/>
      <c r="H445" s="67"/>
      <c r="I445" s="71"/>
      <c r="J445" s="70"/>
      <c r="K445" s="23"/>
      <c r="L445" s="70"/>
      <c r="M445" s="70"/>
      <c r="N445" s="70"/>
      <c r="O445" s="40"/>
      <c r="P445" s="23"/>
      <c r="Q445" s="23"/>
      <c r="R445" s="72"/>
      <c r="S445" s="72"/>
      <c r="T445" s="23"/>
      <c r="U445" s="40"/>
      <c r="V445" s="23"/>
      <c r="W445" s="72"/>
      <c r="X445" s="23"/>
      <c r="Y445" s="40"/>
      <c r="Z445" s="23"/>
      <c r="AA445" s="72"/>
      <c r="AB445" s="23"/>
      <c r="AC445" s="40"/>
      <c r="AD445" s="23"/>
      <c r="AE445" s="23"/>
    </row>
    <row r="446" spans="1:31" ht="12.75">
      <c r="A446" s="23"/>
      <c r="B446" s="64"/>
      <c r="C446" s="62"/>
      <c r="D446" s="92"/>
      <c r="E446" s="65"/>
      <c r="F446" s="65"/>
      <c r="G446" s="67"/>
      <c r="H446" s="67"/>
      <c r="I446" s="71"/>
      <c r="J446" s="70"/>
      <c r="K446" s="23"/>
      <c r="L446" s="70"/>
      <c r="M446" s="70"/>
      <c r="N446" s="70"/>
      <c r="O446" s="40"/>
      <c r="P446" s="23"/>
      <c r="Q446" s="23"/>
      <c r="R446" s="72"/>
      <c r="S446" s="72"/>
      <c r="T446" s="23"/>
      <c r="U446" s="40"/>
      <c r="V446" s="23"/>
      <c r="W446" s="72"/>
      <c r="X446" s="23"/>
      <c r="Y446" s="40"/>
      <c r="Z446" s="23"/>
      <c r="AA446" s="72"/>
      <c r="AB446" s="23"/>
      <c r="AC446" s="40"/>
      <c r="AD446" s="23"/>
      <c r="AE446" s="23"/>
    </row>
    <row r="447" spans="1:31" ht="12.75">
      <c r="A447" s="23"/>
      <c r="B447" s="64"/>
      <c r="C447" s="62"/>
      <c r="D447" s="92"/>
      <c r="E447" s="65"/>
      <c r="F447" s="65"/>
      <c r="G447" s="67"/>
      <c r="H447" s="67"/>
      <c r="I447" s="71"/>
      <c r="J447" s="70"/>
      <c r="K447" s="23"/>
      <c r="L447" s="70"/>
      <c r="M447" s="70"/>
      <c r="N447" s="70"/>
      <c r="O447" s="40"/>
      <c r="P447" s="23"/>
      <c r="Q447" s="23"/>
      <c r="R447" s="72"/>
      <c r="S447" s="72"/>
      <c r="T447" s="23"/>
      <c r="U447" s="40"/>
      <c r="V447" s="23"/>
      <c r="W447" s="72"/>
      <c r="X447" s="23"/>
      <c r="Y447" s="40"/>
      <c r="Z447" s="23"/>
      <c r="AA447" s="72"/>
      <c r="AB447" s="23"/>
      <c r="AC447" s="40"/>
      <c r="AD447" s="23"/>
      <c r="AE447" s="23"/>
    </row>
    <row r="448" spans="1:31" ht="12.75">
      <c r="A448" s="23"/>
      <c r="B448" s="64"/>
      <c r="C448" s="62"/>
      <c r="D448" s="92"/>
      <c r="E448" s="65"/>
      <c r="F448" s="65"/>
      <c r="G448" s="67"/>
      <c r="H448" s="67"/>
      <c r="I448" s="71"/>
      <c r="J448" s="70"/>
      <c r="K448" s="23"/>
      <c r="L448" s="70"/>
      <c r="M448" s="70"/>
      <c r="N448" s="70"/>
      <c r="O448" s="40"/>
      <c r="P448" s="23"/>
      <c r="Q448" s="23"/>
      <c r="R448" s="72"/>
      <c r="S448" s="72"/>
      <c r="T448" s="23"/>
      <c r="U448" s="40"/>
      <c r="V448" s="23"/>
      <c r="W448" s="72"/>
      <c r="X448" s="23"/>
      <c r="Y448" s="40"/>
      <c r="Z448" s="23"/>
      <c r="AA448" s="72"/>
      <c r="AB448" s="23"/>
      <c r="AC448" s="40"/>
      <c r="AD448" s="23"/>
      <c r="AE448" s="23"/>
    </row>
    <row r="449" spans="1:31" ht="39" customHeight="1">
      <c r="A449" s="23"/>
      <c r="B449" s="64"/>
      <c r="C449" s="62"/>
      <c r="D449" s="92"/>
      <c r="E449" s="65"/>
      <c r="F449" s="65"/>
      <c r="G449" s="67"/>
      <c r="H449" s="67"/>
      <c r="I449" s="71"/>
      <c r="J449" s="70"/>
      <c r="K449" s="23"/>
      <c r="L449" s="70"/>
      <c r="M449" s="70"/>
      <c r="N449" s="70"/>
      <c r="O449" s="40"/>
      <c r="P449" s="23"/>
      <c r="Q449" s="23"/>
      <c r="R449" s="72"/>
      <c r="S449" s="72"/>
      <c r="T449" s="23"/>
      <c r="U449" s="40"/>
      <c r="V449" s="23"/>
      <c r="W449" s="72"/>
      <c r="X449" s="23"/>
      <c r="Y449" s="40"/>
      <c r="Z449" s="23"/>
      <c r="AA449" s="72"/>
      <c r="AB449" s="23"/>
      <c r="AC449" s="40"/>
      <c r="AD449" s="23"/>
      <c r="AE449" s="23"/>
    </row>
    <row r="450" spans="1:31" ht="39" customHeight="1">
      <c r="A450" s="23"/>
      <c r="B450" s="64"/>
      <c r="C450" s="62"/>
      <c r="D450" s="92"/>
      <c r="E450" s="65"/>
      <c r="F450" s="65"/>
      <c r="G450" s="67"/>
      <c r="H450" s="67"/>
      <c r="I450" s="71"/>
      <c r="J450" s="70"/>
      <c r="K450" s="23"/>
      <c r="L450" s="70"/>
      <c r="M450" s="70"/>
      <c r="N450" s="70"/>
      <c r="O450" s="40"/>
      <c r="P450" s="23"/>
      <c r="Q450" s="23"/>
      <c r="R450" s="72"/>
      <c r="S450" s="72"/>
      <c r="T450" s="23"/>
      <c r="U450" s="40"/>
      <c r="V450" s="23"/>
      <c r="W450" s="72"/>
      <c r="X450" s="23"/>
      <c r="Y450" s="40"/>
      <c r="Z450" s="23"/>
      <c r="AA450" s="72"/>
      <c r="AB450" s="23"/>
      <c r="AC450" s="40"/>
      <c r="AD450" s="23"/>
      <c r="AE450" s="23"/>
    </row>
    <row r="451" spans="1:31" ht="39" customHeight="1">
      <c r="A451" s="23"/>
      <c r="B451" s="64"/>
      <c r="C451" s="62"/>
      <c r="D451" s="92"/>
      <c r="E451" s="65"/>
      <c r="F451" s="65"/>
      <c r="G451" s="67"/>
      <c r="H451" s="67"/>
      <c r="I451" s="71"/>
      <c r="J451" s="70"/>
      <c r="K451" s="23"/>
      <c r="L451" s="70"/>
      <c r="M451" s="70"/>
      <c r="N451" s="70"/>
      <c r="O451" s="40"/>
      <c r="P451" s="23"/>
      <c r="Q451" s="23"/>
      <c r="R451" s="72"/>
      <c r="S451" s="72"/>
      <c r="T451" s="23"/>
      <c r="U451" s="40"/>
      <c r="V451" s="23"/>
      <c r="W451" s="72"/>
      <c r="X451" s="23"/>
      <c r="Y451" s="40"/>
      <c r="Z451" s="23"/>
      <c r="AA451" s="72"/>
      <c r="AB451" s="23"/>
      <c r="AC451" s="40"/>
      <c r="AD451" s="23"/>
      <c r="AE451" s="23"/>
    </row>
    <row r="452" spans="1:31" ht="12.75">
      <c r="A452" s="23"/>
      <c r="B452" s="64"/>
      <c r="C452" s="62"/>
      <c r="D452" s="92"/>
      <c r="E452" s="65"/>
      <c r="F452" s="65"/>
      <c r="G452" s="67"/>
      <c r="H452" s="67"/>
      <c r="I452" s="71"/>
      <c r="J452" s="70"/>
      <c r="K452" s="23"/>
      <c r="L452" s="70"/>
      <c r="M452" s="70"/>
      <c r="N452" s="70"/>
      <c r="O452" s="40"/>
      <c r="P452" s="23"/>
      <c r="Q452" s="23"/>
      <c r="R452" s="72"/>
      <c r="S452" s="72"/>
      <c r="T452" s="23"/>
      <c r="U452" s="40"/>
      <c r="V452" s="23"/>
      <c r="W452" s="72"/>
      <c r="X452" s="23"/>
      <c r="Y452" s="40"/>
      <c r="Z452" s="23"/>
      <c r="AA452" s="72"/>
      <c r="AB452" s="23"/>
      <c r="AC452" s="40"/>
      <c r="AD452" s="23"/>
      <c r="AE452" s="23"/>
    </row>
    <row r="453" spans="1:31" ht="12.75">
      <c r="A453" s="23"/>
      <c r="B453" s="64"/>
      <c r="C453" s="62"/>
      <c r="D453" s="92"/>
      <c r="E453" s="65"/>
      <c r="F453" s="65"/>
      <c r="G453" s="67"/>
      <c r="H453" s="67"/>
      <c r="I453" s="71"/>
      <c r="J453" s="70"/>
      <c r="K453" s="23"/>
      <c r="L453" s="70"/>
      <c r="M453" s="70"/>
      <c r="N453" s="70"/>
      <c r="O453" s="40"/>
      <c r="P453" s="23"/>
      <c r="Q453" s="23"/>
      <c r="R453" s="72"/>
      <c r="S453" s="72"/>
      <c r="T453" s="23"/>
      <c r="U453" s="40"/>
      <c r="V453" s="23"/>
      <c r="W453" s="72"/>
      <c r="X453" s="23"/>
      <c r="Y453" s="40"/>
      <c r="Z453" s="23"/>
      <c r="AA453" s="72"/>
      <c r="AB453" s="23"/>
      <c r="AC453" s="40"/>
      <c r="AD453" s="23"/>
      <c r="AE453" s="23"/>
    </row>
    <row r="454" spans="1:31" ht="12.75">
      <c r="A454" s="23"/>
      <c r="B454" s="64"/>
      <c r="C454" s="62"/>
      <c r="D454" s="92"/>
      <c r="E454" s="65"/>
      <c r="F454" s="65"/>
      <c r="G454" s="67"/>
      <c r="H454" s="67"/>
      <c r="I454" s="71"/>
      <c r="J454" s="70"/>
      <c r="K454" s="23"/>
      <c r="L454" s="70"/>
      <c r="M454" s="70"/>
      <c r="N454" s="70"/>
      <c r="O454" s="40"/>
      <c r="P454" s="23"/>
      <c r="Q454" s="23"/>
      <c r="R454" s="72"/>
      <c r="S454" s="72"/>
      <c r="T454" s="23"/>
      <c r="U454" s="40"/>
      <c r="V454" s="23"/>
      <c r="W454" s="72"/>
      <c r="X454" s="23"/>
      <c r="Y454" s="40"/>
      <c r="Z454" s="23"/>
      <c r="AA454" s="72"/>
      <c r="AB454" s="23"/>
      <c r="AC454" s="40"/>
      <c r="AD454" s="23"/>
      <c r="AE454" s="23"/>
    </row>
    <row r="455" spans="1:31" ht="12.75">
      <c r="A455" s="23"/>
      <c r="B455" s="64"/>
      <c r="C455" s="62"/>
      <c r="D455" s="92"/>
      <c r="E455" s="65"/>
      <c r="F455" s="65"/>
      <c r="G455" s="67"/>
      <c r="H455" s="67"/>
      <c r="I455" s="71"/>
      <c r="J455" s="70"/>
      <c r="K455" s="23"/>
      <c r="L455" s="70"/>
      <c r="M455" s="70"/>
      <c r="N455" s="70"/>
      <c r="O455" s="40"/>
      <c r="P455" s="23"/>
      <c r="Q455" s="23"/>
      <c r="R455" s="72"/>
      <c r="S455" s="72"/>
      <c r="T455" s="23"/>
      <c r="U455" s="40"/>
      <c r="V455" s="23"/>
      <c r="W455" s="72"/>
      <c r="X455" s="23"/>
      <c r="Y455" s="40"/>
      <c r="Z455" s="23"/>
      <c r="AA455" s="72"/>
      <c r="AB455" s="23"/>
      <c r="AC455" s="40"/>
      <c r="AD455" s="23"/>
      <c r="AE455" s="23"/>
    </row>
    <row r="456" spans="1:31" ht="12.75">
      <c r="A456" s="23"/>
      <c r="B456" s="64"/>
      <c r="C456" s="62"/>
      <c r="D456" s="92"/>
      <c r="E456" s="65"/>
      <c r="F456" s="65"/>
      <c r="G456" s="67"/>
      <c r="H456" s="67"/>
      <c r="I456" s="71"/>
      <c r="J456" s="70"/>
      <c r="K456" s="23"/>
      <c r="L456" s="70"/>
      <c r="M456" s="70"/>
      <c r="N456" s="70"/>
      <c r="O456" s="40"/>
      <c r="P456" s="23"/>
      <c r="Q456" s="23"/>
      <c r="R456" s="72"/>
      <c r="S456" s="72"/>
      <c r="T456" s="23"/>
      <c r="U456" s="40"/>
      <c r="V456" s="23"/>
      <c r="W456" s="72"/>
      <c r="X456" s="23"/>
      <c r="Y456" s="40"/>
      <c r="Z456" s="23"/>
      <c r="AA456" s="72"/>
      <c r="AB456" s="23"/>
      <c r="AC456" s="40"/>
      <c r="AD456" s="23"/>
      <c r="AE456" s="23"/>
    </row>
    <row r="457" spans="1:31" ht="12.75">
      <c r="A457" s="23"/>
      <c r="B457" s="64"/>
      <c r="C457" s="62"/>
      <c r="D457" s="92"/>
      <c r="E457" s="65"/>
      <c r="F457" s="65"/>
      <c r="G457" s="67"/>
      <c r="H457" s="67"/>
      <c r="I457" s="71"/>
      <c r="J457" s="70"/>
      <c r="K457" s="23"/>
      <c r="L457" s="70"/>
      <c r="M457" s="70"/>
      <c r="N457" s="70"/>
      <c r="O457" s="40"/>
      <c r="P457" s="23"/>
      <c r="Q457" s="23"/>
      <c r="R457" s="72"/>
      <c r="S457" s="72"/>
      <c r="T457" s="23"/>
      <c r="U457" s="40"/>
      <c r="V457" s="23"/>
      <c r="W457" s="72"/>
      <c r="X457" s="23"/>
      <c r="Y457" s="40"/>
      <c r="Z457" s="23"/>
      <c r="AA457" s="72"/>
      <c r="AB457" s="23"/>
      <c r="AC457" s="40"/>
      <c r="AD457" s="23"/>
      <c r="AE457" s="23"/>
    </row>
    <row r="458" spans="1:31" ht="12.75">
      <c r="A458" s="23"/>
      <c r="B458" s="64"/>
      <c r="C458" s="62"/>
      <c r="D458" s="92"/>
      <c r="E458" s="65"/>
      <c r="F458" s="65"/>
      <c r="G458" s="67"/>
      <c r="H458" s="67"/>
      <c r="I458" s="71"/>
      <c r="J458" s="70"/>
      <c r="K458" s="23"/>
      <c r="L458" s="70"/>
      <c r="M458" s="70"/>
      <c r="N458" s="70"/>
      <c r="O458" s="40"/>
      <c r="P458" s="23"/>
      <c r="Q458" s="23"/>
      <c r="R458" s="72"/>
      <c r="S458" s="72"/>
      <c r="T458" s="23"/>
      <c r="U458" s="40"/>
      <c r="V458" s="23"/>
      <c r="W458" s="72"/>
      <c r="X458" s="23"/>
      <c r="Y458" s="40"/>
      <c r="Z458" s="23"/>
      <c r="AA458" s="72"/>
      <c r="AB458" s="23"/>
      <c r="AC458" s="40"/>
      <c r="AD458" s="23"/>
      <c r="AE458" s="23"/>
    </row>
    <row r="459" spans="1:31" ht="12.75">
      <c r="A459" s="23"/>
      <c r="B459" s="64"/>
      <c r="C459" s="62"/>
      <c r="D459" s="92"/>
      <c r="E459" s="65"/>
      <c r="F459" s="65"/>
      <c r="G459" s="67"/>
      <c r="H459" s="67"/>
      <c r="I459" s="71"/>
      <c r="J459" s="70"/>
      <c r="K459" s="23"/>
      <c r="L459" s="70"/>
      <c r="M459" s="70"/>
      <c r="N459" s="70"/>
      <c r="O459" s="40"/>
      <c r="P459" s="23"/>
      <c r="Q459" s="23"/>
      <c r="R459" s="72"/>
      <c r="S459" s="72"/>
      <c r="T459" s="23"/>
      <c r="U459" s="40"/>
      <c r="V459" s="23"/>
      <c r="W459" s="72"/>
      <c r="X459" s="23"/>
      <c r="Y459" s="40"/>
      <c r="Z459" s="23"/>
      <c r="AA459" s="72"/>
      <c r="AB459" s="23"/>
      <c r="AC459" s="40"/>
      <c r="AD459" s="23"/>
      <c r="AE459" s="23"/>
    </row>
    <row r="460" spans="1:31" ht="12.75">
      <c r="A460" s="23"/>
      <c r="B460" s="64"/>
      <c r="C460" s="62"/>
      <c r="D460" s="92"/>
      <c r="E460" s="65"/>
      <c r="F460" s="65"/>
      <c r="G460" s="67"/>
      <c r="H460" s="67"/>
      <c r="I460" s="71"/>
      <c r="J460" s="70"/>
      <c r="K460" s="23"/>
      <c r="L460" s="70"/>
      <c r="M460" s="70"/>
      <c r="N460" s="70"/>
      <c r="O460" s="40"/>
      <c r="P460" s="23"/>
      <c r="Q460" s="23"/>
      <c r="R460" s="72"/>
      <c r="S460" s="72"/>
      <c r="T460" s="23"/>
      <c r="U460" s="40"/>
      <c r="V460" s="23"/>
      <c r="W460" s="72"/>
      <c r="X460" s="23"/>
      <c r="Y460" s="40"/>
      <c r="Z460" s="23"/>
      <c r="AA460" s="72"/>
      <c r="AB460" s="23"/>
      <c r="AC460" s="40"/>
      <c r="AD460" s="23"/>
      <c r="AE460" s="23"/>
    </row>
    <row r="461" spans="1:31" ht="12.75">
      <c r="A461" s="23"/>
      <c r="B461" s="64"/>
      <c r="C461" s="62"/>
      <c r="D461" s="92"/>
      <c r="E461" s="65"/>
      <c r="F461" s="65"/>
      <c r="G461" s="67"/>
      <c r="H461" s="67"/>
      <c r="I461" s="71"/>
      <c r="J461" s="70"/>
      <c r="K461" s="23"/>
      <c r="L461" s="70"/>
      <c r="M461" s="70"/>
      <c r="N461" s="70"/>
      <c r="O461" s="40"/>
      <c r="P461" s="23"/>
      <c r="Q461" s="23"/>
      <c r="R461" s="72"/>
      <c r="S461" s="72"/>
      <c r="T461" s="23"/>
      <c r="U461" s="40"/>
      <c r="V461" s="23"/>
      <c r="W461" s="72"/>
      <c r="X461" s="23"/>
      <c r="Y461" s="40"/>
      <c r="Z461" s="23"/>
      <c r="AA461" s="72"/>
      <c r="AB461" s="23"/>
      <c r="AC461" s="40"/>
      <c r="AD461" s="23"/>
      <c r="AE461" s="23"/>
    </row>
    <row r="462" spans="1:31" ht="12.75">
      <c r="A462" s="23"/>
      <c r="B462" s="64"/>
      <c r="C462" s="62"/>
      <c r="D462" s="92"/>
      <c r="E462" s="65"/>
      <c r="F462" s="65"/>
      <c r="G462" s="67"/>
      <c r="H462" s="67"/>
      <c r="I462" s="71"/>
      <c r="J462" s="70"/>
      <c r="K462" s="23"/>
      <c r="L462" s="70"/>
      <c r="M462" s="70"/>
      <c r="N462" s="70"/>
      <c r="O462" s="40"/>
      <c r="P462" s="23"/>
      <c r="Q462" s="23"/>
      <c r="R462" s="72"/>
      <c r="S462" s="72"/>
      <c r="T462" s="23"/>
      <c r="U462" s="40"/>
      <c r="V462" s="23"/>
      <c r="W462" s="72"/>
      <c r="X462" s="23"/>
      <c r="Y462" s="40"/>
      <c r="Z462" s="23"/>
      <c r="AA462" s="72"/>
      <c r="AB462" s="23"/>
      <c r="AC462" s="40"/>
      <c r="AD462" s="23"/>
      <c r="AE462" s="23"/>
    </row>
    <row r="463" spans="1:31" ht="12.75">
      <c r="A463" s="23"/>
      <c r="B463" s="64"/>
      <c r="C463" s="62"/>
      <c r="D463" s="92"/>
      <c r="E463" s="65"/>
      <c r="F463" s="65"/>
      <c r="G463" s="67"/>
      <c r="H463" s="67"/>
      <c r="I463" s="71"/>
      <c r="J463" s="70"/>
      <c r="K463" s="23"/>
      <c r="L463" s="70"/>
      <c r="M463" s="70"/>
      <c r="N463" s="70"/>
      <c r="O463" s="40"/>
      <c r="P463" s="23"/>
      <c r="Q463" s="23"/>
      <c r="R463" s="72"/>
      <c r="S463" s="72"/>
      <c r="T463" s="23"/>
      <c r="U463" s="40"/>
      <c r="V463" s="23"/>
      <c r="W463" s="72"/>
      <c r="X463" s="23"/>
      <c r="Y463" s="40"/>
      <c r="Z463" s="23"/>
      <c r="AA463" s="72"/>
      <c r="AB463" s="23"/>
      <c r="AC463" s="40"/>
      <c r="AD463" s="23"/>
      <c r="AE463" s="23"/>
    </row>
    <row r="464" spans="1:31" ht="12.75">
      <c r="A464" s="23"/>
      <c r="B464" s="64"/>
      <c r="C464" s="62"/>
      <c r="D464" s="92"/>
      <c r="E464" s="65"/>
      <c r="F464" s="65"/>
      <c r="G464" s="67"/>
      <c r="H464" s="67"/>
      <c r="I464" s="71"/>
      <c r="J464" s="70"/>
      <c r="K464" s="23"/>
      <c r="L464" s="70"/>
      <c r="M464" s="70"/>
      <c r="N464" s="70"/>
      <c r="O464" s="40"/>
      <c r="P464" s="23"/>
      <c r="Q464" s="23"/>
      <c r="R464" s="72"/>
      <c r="S464" s="72"/>
      <c r="T464" s="23"/>
      <c r="U464" s="40"/>
      <c r="V464" s="23"/>
      <c r="W464" s="72"/>
      <c r="X464" s="23"/>
      <c r="Y464" s="40"/>
      <c r="Z464" s="23"/>
      <c r="AA464" s="72"/>
      <c r="AB464" s="23"/>
      <c r="AC464" s="40"/>
      <c r="AD464" s="23"/>
      <c r="AE464" s="23"/>
    </row>
    <row r="465" spans="1:32" ht="12.75">
      <c r="A465" s="23"/>
      <c r="B465" s="64"/>
      <c r="C465" s="62"/>
      <c r="D465" s="92"/>
      <c r="E465" s="65"/>
      <c r="F465" s="65"/>
      <c r="G465" s="67"/>
      <c r="H465" s="67"/>
      <c r="I465" s="71"/>
      <c r="J465" s="70"/>
      <c r="K465" s="23"/>
      <c r="L465" s="70"/>
      <c r="M465" s="70"/>
      <c r="N465" s="70"/>
      <c r="O465" s="40"/>
      <c r="P465" s="23"/>
      <c r="Q465" s="23"/>
      <c r="R465" s="72"/>
      <c r="S465" s="72"/>
      <c r="T465" s="23"/>
      <c r="U465" s="40"/>
      <c r="V465" s="23"/>
      <c r="W465" s="72"/>
      <c r="X465" s="23"/>
      <c r="Y465" s="40"/>
      <c r="Z465" s="23"/>
      <c r="AA465" s="72"/>
      <c r="AB465" s="23"/>
      <c r="AC465" s="40"/>
      <c r="AD465" s="23"/>
      <c r="AE465" s="23"/>
    </row>
    <row r="466" spans="1:32" s="23" customFormat="1" ht="12.75">
      <c r="B466" s="64"/>
      <c r="C466" s="62"/>
      <c r="D466" s="92"/>
      <c r="E466" s="65"/>
      <c r="F466" s="65"/>
      <c r="G466" s="67"/>
      <c r="H466" s="67"/>
      <c r="I466" s="71"/>
      <c r="J466" s="70"/>
      <c r="L466" s="70"/>
      <c r="M466" s="70"/>
      <c r="N466" s="70"/>
      <c r="O466" s="40"/>
      <c r="R466" s="72"/>
      <c r="S466" s="72"/>
      <c r="U466" s="40"/>
      <c r="W466" s="72"/>
      <c r="Y466" s="40"/>
      <c r="AA466" s="72"/>
      <c r="AC466" s="40"/>
      <c r="AF466" s="93"/>
    </row>
    <row r="467" spans="1:32" s="23" customFormat="1" ht="12.75">
      <c r="B467" s="64"/>
      <c r="C467" s="62"/>
      <c r="D467" s="92"/>
      <c r="E467" s="65"/>
      <c r="F467" s="65"/>
      <c r="G467" s="67"/>
      <c r="H467" s="67"/>
      <c r="I467" s="71"/>
      <c r="J467" s="70"/>
      <c r="L467" s="70"/>
      <c r="M467" s="70"/>
      <c r="N467" s="70"/>
      <c r="O467" s="40"/>
      <c r="R467" s="72"/>
      <c r="S467" s="72"/>
      <c r="U467" s="40"/>
      <c r="W467" s="72"/>
      <c r="Y467" s="40"/>
      <c r="AA467" s="72"/>
      <c r="AC467" s="40"/>
      <c r="AF467" s="93"/>
    </row>
    <row r="468" spans="1:32" s="23" customFormat="1" ht="12.75">
      <c r="B468" s="64"/>
      <c r="C468" s="62"/>
      <c r="D468" s="92"/>
      <c r="E468" s="65"/>
      <c r="F468" s="65"/>
      <c r="G468" s="67"/>
      <c r="H468" s="67"/>
      <c r="I468" s="71"/>
      <c r="J468" s="70"/>
      <c r="L468" s="70"/>
      <c r="M468" s="70"/>
      <c r="O468" s="40"/>
      <c r="R468" s="72"/>
      <c r="S468" s="72"/>
      <c r="U468" s="40"/>
      <c r="W468" s="72"/>
      <c r="Y468" s="40"/>
      <c r="AA468" s="72"/>
      <c r="AC468" s="40"/>
      <c r="AF468" s="93"/>
    </row>
    <row r="469" spans="1:32" s="23" customFormat="1" ht="12.75">
      <c r="B469" s="64"/>
      <c r="C469" s="62"/>
      <c r="D469" s="92"/>
      <c r="E469" s="65"/>
      <c r="F469" s="65"/>
      <c r="G469" s="67"/>
      <c r="H469" s="67"/>
      <c r="I469" s="71"/>
      <c r="J469" s="70"/>
      <c r="L469" s="70"/>
      <c r="M469" s="70"/>
      <c r="N469" s="70"/>
      <c r="O469" s="40"/>
      <c r="R469" s="72"/>
      <c r="S469" s="72"/>
      <c r="U469" s="40"/>
      <c r="W469" s="72"/>
      <c r="Y469" s="40"/>
      <c r="AA469" s="72"/>
      <c r="AC469" s="40"/>
      <c r="AF469" s="93"/>
    </row>
    <row r="470" spans="1:32" s="23" customFormat="1" ht="12.75">
      <c r="B470" s="64"/>
      <c r="C470" s="62"/>
      <c r="D470" s="92"/>
      <c r="E470" s="65"/>
      <c r="F470" s="65"/>
      <c r="G470" s="67"/>
      <c r="H470" s="67"/>
      <c r="I470" s="71"/>
      <c r="J470" s="70"/>
      <c r="L470" s="70"/>
      <c r="M470" s="70"/>
      <c r="N470" s="70"/>
      <c r="O470" s="40"/>
      <c r="R470" s="72"/>
      <c r="S470" s="72"/>
      <c r="U470" s="40"/>
      <c r="W470" s="72"/>
      <c r="Y470" s="40"/>
      <c r="AA470" s="72"/>
      <c r="AC470" s="40"/>
      <c r="AF470" s="93"/>
    </row>
    <row r="471" spans="1:32" s="23" customFormat="1" ht="12.75">
      <c r="B471" s="64"/>
      <c r="C471" s="62"/>
      <c r="D471" s="92"/>
      <c r="E471" s="65"/>
      <c r="F471" s="65"/>
      <c r="G471" s="67"/>
      <c r="H471" s="67"/>
      <c r="I471" s="71"/>
      <c r="J471" s="70"/>
      <c r="L471" s="70"/>
      <c r="M471" s="70"/>
      <c r="N471" s="70"/>
      <c r="O471" s="40"/>
      <c r="R471" s="72"/>
      <c r="S471" s="72"/>
      <c r="U471" s="40"/>
      <c r="W471" s="72"/>
      <c r="Y471" s="40"/>
      <c r="AA471" s="72"/>
      <c r="AC471" s="40"/>
      <c r="AF471" s="93"/>
    </row>
    <row r="472" spans="1:32" s="23" customFormat="1" ht="12.75">
      <c r="B472" s="64"/>
      <c r="C472" s="62"/>
      <c r="D472" s="92"/>
      <c r="E472" s="65"/>
      <c r="F472" s="65"/>
      <c r="G472" s="67"/>
      <c r="H472" s="67"/>
      <c r="I472" s="71"/>
      <c r="J472" s="70"/>
      <c r="L472" s="70"/>
      <c r="M472" s="70"/>
      <c r="N472" s="70"/>
      <c r="O472" s="40"/>
      <c r="R472" s="72"/>
      <c r="S472" s="72"/>
      <c r="U472" s="40"/>
      <c r="W472" s="72"/>
      <c r="Y472" s="40"/>
      <c r="AA472" s="72"/>
      <c r="AC472" s="40"/>
      <c r="AF472" s="93"/>
    </row>
    <row r="473" spans="1:32" s="23" customFormat="1" ht="12.75">
      <c r="B473" s="64"/>
      <c r="C473" s="62"/>
      <c r="D473" s="92"/>
      <c r="E473" s="65"/>
      <c r="F473" s="65"/>
      <c r="G473" s="67"/>
      <c r="H473" s="67"/>
      <c r="I473" s="71"/>
      <c r="J473" s="70"/>
      <c r="L473" s="70"/>
      <c r="M473" s="70"/>
      <c r="N473" s="70"/>
      <c r="O473" s="40"/>
      <c r="R473" s="72"/>
      <c r="S473" s="72"/>
      <c r="U473" s="40"/>
      <c r="W473" s="72"/>
      <c r="Y473" s="40"/>
      <c r="AA473" s="72"/>
      <c r="AC473" s="40"/>
      <c r="AF473" s="93"/>
    </row>
    <row r="474" spans="1:32" s="23" customFormat="1" ht="12.75">
      <c r="B474" s="64"/>
      <c r="C474" s="62"/>
      <c r="D474" s="92"/>
      <c r="E474" s="65"/>
      <c r="F474" s="65"/>
      <c r="G474" s="67"/>
      <c r="H474" s="67"/>
      <c r="I474" s="71"/>
      <c r="J474" s="70"/>
      <c r="L474" s="70"/>
      <c r="M474" s="70"/>
      <c r="N474" s="70"/>
      <c r="O474" s="40"/>
      <c r="R474" s="72"/>
      <c r="S474" s="72"/>
      <c r="U474" s="40"/>
      <c r="W474" s="72"/>
      <c r="Y474" s="40"/>
      <c r="AA474" s="72"/>
      <c r="AC474" s="40"/>
      <c r="AF474" s="93"/>
    </row>
    <row r="475" spans="1:32" s="23" customFormat="1" ht="12.75">
      <c r="B475" s="64"/>
      <c r="C475" s="62"/>
      <c r="D475" s="92"/>
      <c r="E475" s="65"/>
      <c r="F475" s="65"/>
      <c r="G475" s="67"/>
      <c r="H475" s="67"/>
      <c r="I475" s="71"/>
      <c r="J475" s="70"/>
      <c r="L475" s="70"/>
      <c r="M475" s="70"/>
      <c r="N475" s="70"/>
      <c r="O475" s="40"/>
      <c r="R475" s="72"/>
      <c r="S475" s="72"/>
      <c r="U475" s="40"/>
      <c r="W475" s="72"/>
      <c r="Y475" s="40"/>
      <c r="AA475" s="72"/>
      <c r="AC475" s="40"/>
      <c r="AF475" s="93"/>
    </row>
    <row r="476" spans="1:32" s="23" customFormat="1" ht="12.75">
      <c r="B476" s="64"/>
      <c r="C476" s="62"/>
      <c r="D476" s="92"/>
      <c r="E476" s="65"/>
      <c r="F476" s="65"/>
      <c r="G476" s="67"/>
      <c r="H476" s="67"/>
      <c r="I476" s="71"/>
      <c r="J476" s="70"/>
      <c r="L476" s="70"/>
      <c r="M476" s="70"/>
      <c r="N476" s="70"/>
      <c r="O476" s="40"/>
      <c r="R476" s="72"/>
      <c r="S476" s="72"/>
      <c r="U476" s="40"/>
      <c r="W476" s="72"/>
      <c r="Y476" s="40"/>
      <c r="AA476" s="72"/>
      <c r="AC476" s="40"/>
      <c r="AF476" s="93"/>
    </row>
    <row r="477" spans="1:32" s="23" customFormat="1" ht="12.75">
      <c r="B477" s="64"/>
      <c r="C477" s="62"/>
      <c r="D477" s="92"/>
      <c r="E477" s="65"/>
      <c r="F477" s="65"/>
      <c r="G477" s="67"/>
      <c r="H477" s="67"/>
      <c r="I477" s="71"/>
      <c r="J477" s="70"/>
      <c r="L477" s="70"/>
      <c r="M477" s="70"/>
      <c r="N477" s="70"/>
      <c r="O477" s="40"/>
      <c r="R477" s="72"/>
      <c r="S477" s="72"/>
      <c r="U477" s="40"/>
      <c r="W477" s="72"/>
      <c r="Y477" s="40"/>
      <c r="AA477" s="72"/>
      <c r="AC477" s="40"/>
      <c r="AF477" s="93"/>
    </row>
    <row r="478" spans="1:32" s="23" customFormat="1" ht="12.75">
      <c r="B478" s="64"/>
      <c r="C478" s="62"/>
      <c r="D478" s="92"/>
      <c r="E478" s="65"/>
      <c r="F478" s="65"/>
      <c r="G478" s="67"/>
      <c r="H478" s="67"/>
      <c r="I478" s="71"/>
      <c r="J478" s="70"/>
      <c r="L478" s="70"/>
      <c r="M478" s="70"/>
      <c r="N478" s="70"/>
      <c r="O478" s="40"/>
      <c r="R478" s="72"/>
      <c r="S478" s="72"/>
      <c r="U478" s="40"/>
      <c r="W478" s="72"/>
      <c r="Y478" s="40"/>
      <c r="AA478" s="72"/>
      <c r="AC478" s="40"/>
      <c r="AF478" s="93"/>
    </row>
    <row r="479" spans="1:32" s="23" customFormat="1" ht="12.75">
      <c r="B479" s="64"/>
      <c r="C479" s="62"/>
      <c r="D479" s="92"/>
      <c r="E479" s="65"/>
      <c r="F479" s="65"/>
      <c r="G479" s="67"/>
      <c r="H479" s="67"/>
      <c r="I479" s="71"/>
      <c r="J479" s="70"/>
      <c r="L479" s="70"/>
      <c r="M479" s="70"/>
      <c r="N479" s="70"/>
      <c r="O479" s="40"/>
      <c r="R479" s="72"/>
      <c r="S479" s="72"/>
      <c r="U479" s="40"/>
      <c r="W479" s="72"/>
      <c r="Y479" s="40"/>
      <c r="AA479" s="72"/>
      <c r="AC479" s="40"/>
      <c r="AF479" s="93"/>
    </row>
    <row r="480" spans="1:32" s="23" customFormat="1" ht="12.75">
      <c r="B480" s="64"/>
      <c r="C480" s="62"/>
      <c r="D480" s="92"/>
      <c r="E480" s="65"/>
      <c r="F480" s="65"/>
      <c r="G480" s="67"/>
      <c r="H480" s="67"/>
      <c r="I480" s="71"/>
      <c r="J480" s="70"/>
      <c r="L480" s="70"/>
      <c r="M480" s="70"/>
      <c r="N480" s="70"/>
      <c r="O480" s="40"/>
      <c r="R480" s="72"/>
      <c r="S480" s="72"/>
      <c r="U480" s="40"/>
      <c r="W480" s="72"/>
      <c r="Y480" s="40"/>
      <c r="AA480" s="72"/>
      <c r="AC480" s="40"/>
      <c r="AF480" s="93"/>
    </row>
    <row r="481" spans="1:32" s="23" customFormat="1" ht="12.75">
      <c r="B481" s="64"/>
      <c r="C481" s="62"/>
      <c r="D481" s="92"/>
      <c r="E481" s="65"/>
      <c r="F481" s="65"/>
      <c r="G481" s="67"/>
      <c r="H481" s="67"/>
      <c r="I481" s="71"/>
      <c r="J481" s="70"/>
      <c r="L481" s="70"/>
      <c r="M481" s="70"/>
      <c r="N481" s="70"/>
      <c r="O481" s="40"/>
      <c r="R481" s="72"/>
      <c r="S481" s="72"/>
      <c r="U481" s="40"/>
      <c r="W481" s="72"/>
      <c r="Y481" s="40"/>
      <c r="AA481" s="72"/>
      <c r="AC481" s="40"/>
      <c r="AF481" s="93"/>
    </row>
    <row r="482" spans="1:32" s="23" customFormat="1" ht="12.75">
      <c r="B482" s="64"/>
      <c r="C482" s="62"/>
      <c r="D482" s="92"/>
      <c r="E482" s="65"/>
      <c r="F482" s="65"/>
      <c r="G482" s="67"/>
      <c r="H482" s="67"/>
      <c r="I482" s="71"/>
      <c r="J482" s="70"/>
      <c r="L482" s="70"/>
      <c r="M482" s="70"/>
      <c r="N482" s="70"/>
      <c r="O482" s="40"/>
      <c r="R482" s="72"/>
      <c r="S482" s="72"/>
      <c r="U482" s="40"/>
      <c r="W482" s="72"/>
      <c r="Y482" s="40"/>
      <c r="AA482" s="72"/>
      <c r="AC482" s="40"/>
      <c r="AF482" s="93"/>
    </row>
    <row r="483" spans="1:32" s="23" customFormat="1" ht="12.75">
      <c r="B483" s="64"/>
      <c r="C483" s="62"/>
      <c r="D483" s="92"/>
      <c r="E483" s="65"/>
      <c r="F483" s="65"/>
      <c r="G483" s="67"/>
      <c r="H483" s="67"/>
      <c r="I483" s="71"/>
      <c r="J483" s="70"/>
      <c r="L483" s="70"/>
      <c r="M483" s="70"/>
      <c r="N483" s="70"/>
      <c r="O483" s="40"/>
      <c r="R483" s="72"/>
      <c r="S483" s="72"/>
      <c r="U483" s="40"/>
      <c r="W483" s="72"/>
      <c r="Y483" s="40"/>
      <c r="AA483" s="72"/>
      <c r="AC483" s="40"/>
      <c r="AF483" s="93"/>
    </row>
    <row r="484" spans="1:32" ht="12.75">
      <c r="A484" s="23"/>
      <c r="B484" s="64"/>
      <c r="C484" s="62"/>
      <c r="D484" s="92"/>
      <c r="E484" s="65"/>
      <c r="F484" s="65"/>
      <c r="G484" s="67"/>
      <c r="H484" s="67"/>
      <c r="I484" s="71"/>
      <c r="J484" s="70"/>
      <c r="K484" s="23"/>
      <c r="L484" s="70"/>
      <c r="M484" s="70"/>
      <c r="N484" s="70"/>
      <c r="O484" s="40"/>
      <c r="P484" s="23"/>
      <c r="Q484" s="23"/>
      <c r="R484" s="72"/>
      <c r="S484" s="72"/>
      <c r="T484" s="23"/>
      <c r="U484" s="40"/>
      <c r="V484" s="23"/>
      <c r="W484" s="72"/>
      <c r="X484" s="23"/>
      <c r="Y484" s="40"/>
      <c r="Z484" s="23"/>
      <c r="AA484" s="72"/>
      <c r="AB484" s="23"/>
      <c r="AC484" s="40"/>
      <c r="AD484" s="23"/>
      <c r="AE484" s="23"/>
    </row>
    <row r="485" spans="1:32" ht="12.75">
      <c r="A485" s="23"/>
      <c r="B485" s="64"/>
      <c r="C485" s="62"/>
      <c r="D485" s="92"/>
      <c r="E485" s="65"/>
      <c r="F485" s="65"/>
      <c r="G485" s="67"/>
      <c r="H485" s="67"/>
      <c r="I485" s="71"/>
      <c r="J485" s="70"/>
      <c r="K485" s="23"/>
      <c r="L485" s="70"/>
      <c r="M485" s="70"/>
      <c r="N485" s="70"/>
      <c r="O485" s="40"/>
      <c r="P485" s="23"/>
      <c r="Q485" s="23"/>
      <c r="R485" s="72"/>
      <c r="S485" s="72"/>
      <c r="T485" s="23"/>
      <c r="U485" s="40"/>
      <c r="V485" s="23"/>
      <c r="W485" s="72"/>
      <c r="X485" s="23"/>
      <c r="Y485" s="40"/>
      <c r="Z485" s="23"/>
      <c r="AA485" s="72"/>
      <c r="AB485" s="23"/>
      <c r="AC485" s="40"/>
      <c r="AD485" s="23"/>
      <c r="AE485" s="23"/>
    </row>
    <row r="486" spans="1:32" ht="12.75">
      <c r="A486" s="23"/>
      <c r="B486" s="64"/>
      <c r="C486" s="62"/>
      <c r="D486" s="92"/>
      <c r="E486" s="65"/>
      <c r="F486" s="65"/>
      <c r="G486" s="67"/>
      <c r="H486" s="67"/>
      <c r="I486" s="71"/>
      <c r="J486" s="70"/>
      <c r="K486" s="23"/>
      <c r="L486" s="70"/>
      <c r="M486" s="70"/>
      <c r="N486" s="70"/>
      <c r="O486" s="40"/>
      <c r="P486" s="23"/>
      <c r="Q486" s="23"/>
      <c r="R486" s="72"/>
      <c r="S486" s="72"/>
      <c r="T486" s="23"/>
      <c r="U486" s="40"/>
      <c r="V486" s="23"/>
      <c r="W486" s="72"/>
      <c r="X486" s="23"/>
      <c r="Y486" s="40"/>
      <c r="Z486" s="23"/>
      <c r="AA486" s="72"/>
      <c r="AB486" s="23"/>
      <c r="AC486" s="40"/>
      <c r="AD486" s="23"/>
      <c r="AE486" s="23"/>
    </row>
    <row r="487" spans="1:32" ht="12.75">
      <c r="A487" s="23"/>
      <c r="B487" s="64"/>
      <c r="C487" s="62"/>
      <c r="D487" s="92"/>
      <c r="E487" s="65"/>
      <c r="F487" s="65"/>
      <c r="G487" s="67"/>
      <c r="H487" s="67"/>
      <c r="I487" s="71"/>
      <c r="J487" s="70"/>
      <c r="K487" s="23"/>
      <c r="L487" s="70"/>
      <c r="M487" s="70"/>
      <c r="N487" s="70"/>
      <c r="O487" s="40"/>
      <c r="P487" s="23"/>
      <c r="Q487" s="23"/>
      <c r="R487" s="72"/>
      <c r="S487" s="72"/>
      <c r="T487" s="23"/>
      <c r="U487" s="40"/>
      <c r="V487" s="23"/>
      <c r="W487" s="72"/>
      <c r="X487" s="23"/>
      <c r="Y487" s="40"/>
      <c r="Z487" s="23"/>
      <c r="AA487" s="72"/>
      <c r="AB487" s="23"/>
      <c r="AC487" s="40"/>
      <c r="AD487" s="23"/>
      <c r="AE487" s="23"/>
    </row>
    <row r="488" spans="1:32" ht="12.75">
      <c r="A488" s="23"/>
      <c r="B488" s="64"/>
      <c r="C488" s="62"/>
      <c r="D488" s="92"/>
      <c r="E488" s="65"/>
      <c r="F488" s="65"/>
      <c r="G488" s="67"/>
      <c r="H488" s="67"/>
      <c r="I488" s="71"/>
      <c r="J488" s="70"/>
      <c r="K488" s="23"/>
      <c r="L488" s="70"/>
      <c r="M488" s="70"/>
      <c r="N488" s="70"/>
      <c r="O488" s="40"/>
      <c r="P488" s="23"/>
      <c r="Q488" s="23"/>
      <c r="R488" s="72"/>
      <c r="S488" s="72"/>
      <c r="T488" s="23"/>
      <c r="U488" s="40"/>
      <c r="V488" s="23"/>
      <c r="W488" s="72"/>
      <c r="X488" s="23"/>
      <c r="Y488" s="40"/>
      <c r="Z488" s="23"/>
      <c r="AA488" s="72"/>
      <c r="AB488" s="23"/>
      <c r="AC488" s="40"/>
      <c r="AD488" s="23"/>
      <c r="AE488" s="23"/>
    </row>
    <row r="489" spans="1:32" ht="12.75">
      <c r="A489" s="23"/>
      <c r="B489" s="64"/>
      <c r="C489" s="62"/>
      <c r="D489" s="92"/>
      <c r="E489" s="65"/>
      <c r="F489" s="65"/>
      <c r="G489" s="67"/>
      <c r="H489" s="67"/>
      <c r="I489" s="71"/>
      <c r="J489" s="70"/>
      <c r="K489" s="23"/>
      <c r="L489" s="70"/>
      <c r="M489" s="70"/>
      <c r="N489" s="70"/>
      <c r="O489" s="40"/>
      <c r="P489" s="23"/>
      <c r="Q489" s="23"/>
      <c r="R489" s="72"/>
      <c r="S489" s="72"/>
      <c r="T489" s="23"/>
      <c r="U489" s="40"/>
      <c r="V489" s="23"/>
      <c r="W489" s="72"/>
      <c r="X489" s="23"/>
      <c r="Y489" s="40"/>
      <c r="Z489" s="23"/>
      <c r="AA489" s="72"/>
      <c r="AB489" s="23"/>
      <c r="AC489" s="40"/>
      <c r="AD489" s="23"/>
      <c r="AE489" s="23"/>
    </row>
    <row r="490" spans="1:32" ht="12.75">
      <c r="A490" s="23"/>
      <c r="B490" s="64"/>
      <c r="C490" s="62"/>
      <c r="D490" s="92"/>
      <c r="E490" s="65"/>
      <c r="F490" s="65"/>
      <c r="G490" s="67"/>
      <c r="H490" s="67"/>
      <c r="I490" s="71"/>
      <c r="J490" s="70"/>
      <c r="K490" s="23"/>
      <c r="L490" s="70"/>
      <c r="M490" s="70"/>
      <c r="N490" s="70"/>
      <c r="O490" s="40"/>
      <c r="P490" s="23"/>
      <c r="Q490" s="23"/>
      <c r="R490" s="72"/>
      <c r="S490" s="72"/>
      <c r="T490" s="23"/>
      <c r="U490" s="40"/>
      <c r="V490" s="23"/>
      <c r="W490" s="72"/>
      <c r="X490" s="23"/>
      <c r="Y490" s="40"/>
      <c r="Z490" s="23"/>
      <c r="AA490" s="72"/>
      <c r="AB490" s="23"/>
      <c r="AC490" s="40"/>
      <c r="AD490" s="23"/>
      <c r="AE490" s="23"/>
    </row>
    <row r="491" spans="1:32" ht="12.75">
      <c r="A491" s="23"/>
      <c r="B491" s="64"/>
      <c r="C491" s="62"/>
      <c r="D491" s="92"/>
      <c r="E491" s="65"/>
      <c r="F491" s="65"/>
      <c r="G491" s="67"/>
      <c r="H491" s="67"/>
      <c r="I491" s="71"/>
      <c r="J491" s="70"/>
      <c r="K491" s="23"/>
      <c r="L491" s="70"/>
      <c r="M491" s="70"/>
      <c r="N491" s="70"/>
      <c r="O491" s="40"/>
      <c r="P491" s="23"/>
      <c r="Q491" s="23"/>
      <c r="R491" s="72"/>
      <c r="S491" s="72"/>
      <c r="T491" s="23"/>
      <c r="U491" s="40"/>
      <c r="V491" s="23"/>
      <c r="W491" s="72"/>
      <c r="X491" s="23"/>
      <c r="Y491" s="40"/>
      <c r="Z491" s="23"/>
      <c r="AA491" s="72"/>
      <c r="AB491" s="23"/>
      <c r="AC491" s="40"/>
      <c r="AD491" s="23"/>
      <c r="AE491" s="23"/>
    </row>
    <row r="492" spans="1:32" ht="12.75">
      <c r="A492" s="23"/>
      <c r="B492" s="64"/>
      <c r="C492" s="62"/>
      <c r="D492" s="92"/>
      <c r="E492" s="65"/>
      <c r="F492" s="65"/>
      <c r="G492" s="67"/>
      <c r="H492" s="67"/>
      <c r="I492" s="71"/>
      <c r="J492" s="70"/>
      <c r="K492" s="23"/>
      <c r="L492" s="70"/>
      <c r="M492" s="70"/>
      <c r="N492" s="70"/>
      <c r="O492" s="40"/>
      <c r="P492" s="23"/>
      <c r="Q492" s="23"/>
      <c r="R492" s="72"/>
      <c r="S492" s="72"/>
      <c r="T492" s="23"/>
      <c r="U492" s="40"/>
      <c r="V492" s="23"/>
      <c r="W492" s="72"/>
      <c r="X492" s="23"/>
      <c r="Y492" s="40"/>
      <c r="Z492" s="23"/>
      <c r="AA492" s="72"/>
      <c r="AB492" s="23"/>
      <c r="AC492" s="40"/>
      <c r="AD492" s="23"/>
      <c r="AE492" s="23"/>
    </row>
    <row r="493" spans="1:32" ht="12.75">
      <c r="A493" s="23"/>
      <c r="B493" s="64"/>
      <c r="C493" s="62"/>
      <c r="D493" s="92"/>
      <c r="E493" s="65"/>
      <c r="F493" s="65"/>
      <c r="G493" s="67"/>
      <c r="H493" s="67"/>
      <c r="I493" s="71"/>
      <c r="J493" s="70"/>
      <c r="K493" s="23"/>
      <c r="L493" s="70"/>
      <c r="M493" s="70"/>
      <c r="N493" s="70"/>
      <c r="O493" s="40"/>
      <c r="P493" s="23"/>
      <c r="Q493" s="23"/>
      <c r="R493" s="72"/>
      <c r="S493" s="72"/>
      <c r="T493" s="23"/>
      <c r="U493" s="40"/>
      <c r="V493" s="23"/>
      <c r="W493" s="72"/>
      <c r="X493" s="23"/>
      <c r="Y493" s="40"/>
      <c r="Z493" s="23"/>
      <c r="AA493" s="72"/>
      <c r="AB493" s="23"/>
      <c r="AC493" s="40"/>
      <c r="AD493" s="23"/>
      <c r="AE493" s="23"/>
    </row>
    <row r="494" spans="1:32" ht="12.75">
      <c r="A494" s="23"/>
      <c r="B494" s="64"/>
      <c r="C494" s="62"/>
      <c r="D494" s="92"/>
      <c r="E494" s="65"/>
      <c r="F494" s="65"/>
      <c r="G494" s="67"/>
      <c r="H494" s="67"/>
      <c r="I494" s="71"/>
      <c r="J494" s="70"/>
      <c r="K494" s="23"/>
      <c r="L494" s="70"/>
      <c r="M494" s="70"/>
      <c r="N494" s="70"/>
      <c r="O494" s="40"/>
      <c r="P494" s="23"/>
      <c r="Q494" s="23"/>
      <c r="R494" s="72"/>
      <c r="S494" s="72"/>
      <c r="T494" s="23"/>
      <c r="U494" s="40"/>
      <c r="V494" s="23"/>
      <c r="W494" s="72"/>
      <c r="X494" s="23"/>
      <c r="Y494" s="40"/>
      <c r="Z494" s="23"/>
      <c r="AA494" s="72"/>
      <c r="AB494" s="23"/>
      <c r="AC494" s="40"/>
      <c r="AD494" s="23"/>
      <c r="AE494" s="23"/>
    </row>
    <row r="495" spans="1:32" ht="12.75">
      <c r="A495" s="23"/>
      <c r="B495" s="64"/>
      <c r="C495" s="62"/>
      <c r="D495" s="92"/>
      <c r="E495" s="65"/>
      <c r="F495" s="65"/>
      <c r="G495" s="67"/>
      <c r="H495" s="67"/>
      <c r="I495" s="71"/>
      <c r="J495" s="70"/>
      <c r="K495" s="23"/>
      <c r="L495" s="70"/>
      <c r="M495" s="70"/>
      <c r="N495" s="70"/>
      <c r="O495" s="40"/>
      <c r="P495" s="23"/>
      <c r="Q495" s="23"/>
      <c r="R495" s="72"/>
      <c r="S495" s="72"/>
      <c r="T495" s="23"/>
      <c r="U495" s="40"/>
      <c r="V495" s="23"/>
      <c r="W495" s="72"/>
      <c r="X495" s="23"/>
      <c r="Y495" s="40"/>
      <c r="Z495" s="23"/>
      <c r="AA495" s="72"/>
      <c r="AB495" s="23"/>
      <c r="AC495" s="40"/>
      <c r="AD495" s="23"/>
      <c r="AE495" s="23"/>
    </row>
    <row r="496" spans="1:32" ht="12.75">
      <c r="A496" s="23"/>
      <c r="B496" s="64"/>
      <c r="C496" s="62"/>
      <c r="D496" s="92"/>
      <c r="E496" s="65"/>
      <c r="F496" s="65"/>
      <c r="G496" s="67"/>
      <c r="H496" s="67"/>
      <c r="I496" s="71"/>
      <c r="J496" s="70"/>
      <c r="K496" s="23"/>
      <c r="L496" s="70"/>
      <c r="M496" s="70"/>
      <c r="N496" s="70"/>
      <c r="O496" s="40"/>
      <c r="P496" s="23"/>
      <c r="Q496" s="23"/>
      <c r="R496" s="72"/>
      <c r="S496" s="72"/>
      <c r="T496" s="23"/>
      <c r="U496" s="40"/>
      <c r="V496" s="23"/>
      <c r="W496" s="72"/>
      <c r="X496" s="23"/>
      <c r="Y496" s="40"/>
      <c r="Z496" s="23"/>
      <c r="AA496" s="72"/>
      <c r="AB496" s="23"/>
      <c r="AC496" s="40"/>
      <c r="AD496" s="23"/>
      <c r="AE496" s="23"/>
    </row>
    <row r="497" spans="1:31" ht="12.75">
      <c r="A497" s="23"/>
      <c r="B497" s="64"/>
      <c r="C497" s="62"/>
      <c r="D497" s="92"/>
      <c r="E497" s="65"/>
      <c r="F497" s="65"/>
      <c r="G497" s="67"/>
      <c r="H497" s="67"/>
      <c r="I497" s="71"/>
      <c r="J497" s="70"/>
      <c r="K497" s="23"/>
      <c r="L497" s="70"/>
      <c r="M497" s="70"/>
      <c r="N497" s="70"/>
      <c r="O497" s="40"/>
      <c r="P497" s="23"/>
      <c r="Q497" s="23"/>
      <c r="R497" s="72"/>
      <c r="S497" s="72"/>
      <c r="T497" s="23"/>
      <c r="U497" s="40"/>
      <c r="V497" s="23"/>
      <c r="W497" s="72"/>
      <c r="X497" s="23"/>
      <c r="Y497" s="40"/>
      <c r="Z497" s="23"/>
      <c r="AA497" s="72"/>
      <c r="AB497" s="23"/>
      <c r="AC497" s="40"/>
      <c r="AD497" s="23"/>
      <c r="AE497" s="23"/>
    </row>
    <row r="498" spans="1:31" ht="12.75">
      <c r="A498" s="23"/>
      <c r="B498" s="64"/>
      <c r="C498" s="62"/>
      <c r="D498" s="92"/>
      <c r="E498" s="65"/>
      <c r="F498" s="65"/>
      <c r="G498" s="67"/>
      <c r="H498" s="67"/>
      <c r="I498" s="71"/>
      <c r="J498" s="70"/>
      <c r="K498" s="23"/>
      <c r="L498" s="70"/>
      <c r="M498" s="70"/>
      <c r="N498" s="70"/>
      <c r="O498" s="40"/>
      <c r="P498" s="23"/>
      <c r="Q498" s="23"/>
      <c r="R498" s="72"/>
      <c r="S498" s="72"/>
      <c r="T498" s="23"/>
      <c r="U498" s="40"/>
      <c r="V498" s="23"/>
      <c r="W498" s="72"/>
      <c r="X498" s="23"/>
      <c r="Y498" s="40"/>
      <c r="Z498" s="23"/>
      <c r="AA498" s="72"/>
      <c r="AB498" s="23"/>
      <c r="AC498" s="40"/>
      <c r="AD498" s="23"/>
      <c r="AE498" s="23"/>
    </row>
    <row r="499" spans="1:31" ht="12.75">
      <c r="A499" s="23"/>
      <c r="B499" s="64"/>
      <c r="C499" s="62"/>
      <c r="D499" s="92"/>
      <c r="E499" s="65"/>
      <c r="F499" s="65"/>
      <c r="G499" s="67"/>
      <c r="H499" s="67"/>
      <c r="I499" s="71"/>
      <c r="J499" s="70"/>
      <c r="K499" s="23"/>
      <c r="L499" s="70"/>
      <c r="M499" s="70"/>
      <c r="N499" s="70"/>
      <c r="O499" s="40"/>
      <c r="P499" s="23"/>
      <c r="Q499" s="23"/>
      <c r="R499" s="72"/>
      <c r="S499" s="72"/>
      <c r="T499" s="23"/>
      <c r="U499" s="40"/>
      <c r="V499" s="23"/>
      <c r="W499" s="72"/>
      <c r="X499" s="23"/>
      <c r="Y499" s="40"/>
      <c r="Z499" s="23"/>
      <c r="AA499" s="72"/>
      <c r="AB499" s="23"/>
      <c r="AC499" s="40"/>
      <c r="AD499" s="23"/>
      <c r="AE499" s="23"/>
    </row>
    <row r="500" spans="1:31" ht="12.75">
      <c r="A500" s="23"/>
      <c r="B500" s="64"/>
      <c r="C500" s="62"/>
      <c r="D500" s="92"/>
      <c r="E500" s="65"/>
      <c r="F500" s="65"/>
      <c r="G500" s="67"/>
      <c r="H500" s="67"/>
      <c r="I500" s="71"/>
      <c r="J500" s="70"/>
      <c r="K500" s="23"/>
      <c r="L500" s="70"/>
      <c r="M500" s="70"/>
      <c r="N500" s="70"/>
      <c r="O500" s="40"/>
      <c r="P500" s="23"/>
      <c r="Q500" s="23"/>
      <c r="R500" s="72"/>
      <c r="S500" s="72"/>
      <c r="T500" s="23"/>
      <c r="U500" s="40"/>
      <c r="V500" s="23"/>
      <c r="W500" s="72"/>
      <c r="X500" s="23"/>
      <c r="Y500" s="40"/>
      <c r="Z500" s="23"/>
      <c r="AA500" s="72"/>
      <c r="AB500" s="23"/>
      <c r="AC500" s="40"/>
      <c r="AD500" s="23"/>
      <c r="AE500" s="23"/>
    </row>
    <row r="501" spans="1:31" ht="12.75">
      <c r="A501" s="23"/>
      <c r="B501" s="64"/>
      <c r="C501" s="62"/>
      <c r="D501" s="92"/>
      <c r="E501" s="65"/>
      <c r="F501" s="65"/>
      <c r="G501" s="67"/>
      <c r="H501" s="67"/>
      <c r="I501" s="71"/>
      <c r="J501" s="70"/>
      <c r="K501" s="23"/>
      <c r="L501" s="70"/>
      <c r="M501" s="70"/>
      <c r="N501" s="70"/>
      <c r="O501" s="40"/>
      <c r="P501" s="23"/>
      <c r="Q501" s="23"/>
      <c r="R501" s="72"/>
      <c r="S501" s="72"/>
      <c r="T501" s="23"/>
      <c r="U501" s="40"/>
      <c r="V501" s="23"/>
      <c r="W501" s="72"/>
      <c r="X501" s="23"/>
      <c r="Y501" s="40"/>
      <c r="Z501" s="23"/>
      <c r="AA501" s="72"/>
      <c r="AB501" s="23"/>
      <c r="AC501" s="40"/>
      <c r="AD501" s="23"/>
      <c r="AE501" s="23"/>
    </row>
    <row r="502" spans="1:31" ht="12.75">
      <c r="A502" s="23"/>
      <c r="B502" s="64"/>
      <c r="C502" s="62"/>
      <c r="D502" s="92"/>
      <c r="E502" s="65"/>
      <c r="F502" s="65"/>
      <c r="G502" s="67"/>
      <c r="H502" s="67"/>
      <c r="I502" s="71"/>
      <c r="J502" s="70"/>
      <c r="K502" s="23"/>
      <c r="L502" s="70"/>
      <c r="M502" s="70"/>
      <c r="N502" s="70"/>
      <c r="O502" s="40"/>
      <c r="P502" s="23"/>
      <c r="Q502" s="23"/>
      <c r="R502" s="72"/>
      <c r="S502" s="72"/>
      <c r="T502" s="23"/>
      <c r="U502" s="40"/>
      <c r="V502" s="23"/>
      <c r="W502" s="72"/>
      <c r="X502" s="23"/>
      <c r="Y502" s="40"/>
      <c r="Z502" s="23"/>
      <c r="AA502" s="72"/>
      <c r="AB502" s="23"/>
      <c r="AC502" s="40"/>
      <c r="AD502" s="23"/>
      <c r="AE502" s="23"/>
    </row>
    <row r="503" spans="1:31" ht="12.75">
      <c r="A503" s="23"/>
      <c r="B503" s="64"/>
      <c r="C503" s="62"/>
      <c r="D503" s="92"/>
      <c r="E503" s="65"/>
      <c r="F503" s="65"/>
      <c r="G503" s="67"/>
      <c r="H503" s="67"/>
      <c r="I503" s="71"/>
      <c r="J503" s="70"/>
      <c r="K503" s="23"/>
      <c r="L503" s="70"/>
      <c r="M503" s="70"/>
      <c r="N503" s="70"/>
      <c r="O503" s="40"/>
      <c r="P503" s="23"/>
      <c r="Q503" s="23"/>
      <c r="R503" s="72"/>
      <c r="S503" s="72"/>
      <c r="T503" s="23"/>
      <c r="U503" s="40"/>
      <c r="V503" s="23"/>
      <c r="W503" s="72"/>
      <c r="X503" s="23"/>
      <c r="Y503" s="40"/>
      <c r="Z503" s="23"/>
      <c r="AA503" s="72"/>
      <c r="AB503" s="23"/>
      <c r="AC503" s="40"/>
      <c r="AD503" s="23"/>
      <c r="AE503" s="23"/>
    </row>
    <row r="504" spans="1:31" ht="12.75">
      <c r="A504" s="23"/>
      <c r="B504" s="64"/>
      <c r="C504" s="62"/>
      <c r="D504" s="92"/>
      <c r="E504" s="65"/>
      <c r="F504" s="65"/>
      <c r="G504" s="67"/>
      <c r="H504" s="67"/>
      <c r="I504" s="71"/>
      <c r="J504" s="70"/>
      <c r="K504" s="23"/>
      <c r="L504" s="70"/>
      <c r="M504" s="70"/>
      <c r="N504" s="70"/>
      <c r="O504" s="40"/>
      <c r="P504" s="23"/>
      <c r="Q504" s="23"/>
      <c r="R504" s="72"/>
      <c r="S504" s="72"/>
      <c r="T504" s="23"/>
      <c r="U504" s="40"/>
      <c r="V504" s="23"/>
      <c r="W504" s="72"/>
      <c r="X504" s="23"/>
      <c r="Y504" s="40"/>
      <c r="Z504" s="23"/>
      <c r="AA504" s="72"/>
      <c r="AB504" s="23"/>
      <c r="AC504" s="40"/>
      <c r="AD504" s="23"/>
      <c r="AE504" s="23"/>
    </row>
    <row r="505" spans="1:31" ht="12.75">
      <c r="A505" s="23"/>
      <c r="B505" s="64"/>
      <c r="C505" s="62"/>
      <c r="D505" s="92"/>
      <c r="E505" s="65"/>
      <c r="F505" s="65"/>
      <c r="G505" s="67"/>
      <c r="H505" s="67"/>
      <c r="I505" s="71"/>
      <c r="J505" s="70"/>
      <c r="K505" s="23"/>
      <c r="L505" s="70"/>
      <c r="M505" s="70"/>
      <c r="N505" s="70"/>
      <c r="O505" s="40"/>
      <c r="P505" s="23"/>
      <c r="Q505" s="23"/>
      <c r="R505" s="72"/>
      <c r="S505" s="72"/>
      <c r="T505" s="23"/>
      <c r="U505" s="40"/>
      <c r="V505" s="23"/>
      <c r="W505" s="72"/>
      <c r="X505" s="23"/>
      <c r="Y505" s="40"/>
      <c r="Z505" s="23"/>
      <c r="AA505" s="72"/>
      <c r="AB505" s="23"/>
      <c r="AC505" s="40"/>
      <c r="AD505" s="23"/>
      <c r="AE505" s="23"/>
    </row>
    <row r="506" spans="1:31" ht="12.75">
      <c r="A506" s="23"/>
      <c r="B506" s="64"/>
      <c r="C506" s="62"/>
      <c r="D506" s="92"/>
      <c r="E506" s="65"/>
      <c r="F506" s="65"/>
      <c r="G506" s="67"/>
      <c r="H506" s="67"/>
      <c r="I506" s="71"/>
      <c r="J506" s="70"/>
      <c r="K506" s="23"/>
      <c r="L506" s="70"/>
      <c r="M506" s="70"/>
      <c r="N506" s="70"/>
      <c r="O506" s="40"/>
      <c r="P506" s="23"/>
      <c r="Q506" s="23"/>
      <c r="R506" s="72"/>
      <c r="S506" s="72"/>
      <c r="T506" s="23"/>
      <c r="U506" s="40"/>
      <c r="V506" s="23"/>
      <c r="W506" s="72"/>
      <c r="X506" s="23"/>
      <c r="Y506" s="40"/>
      <c r="Z506" s="23"/>
      <c r="AA506" s="72"/>
      <c r="AB506" s="23"/>
      <c r="AC506" s="40"/>
      <c r="AD506" s="23"/>
      <c r="AE506" s="23"/>
    </row>
    <row r="507" spans="1:31" ht="12.75">
      <c r="A507" s="23"/>
      <c r="B507" s="64"/>
      <c r="C507" s="62"/>
      <c r="D507" s="92"/>
      <c r="E507" s="65"/>
      <c r="F507" s="65"/>
      <c r="G507" s="67"/>
      <c r="H507" s="67"/>
      <c r="I507" s="71"/>
      <c r="J507" s="70"/>
      <c r="K507" s="23"/>
      <c r="L507" s="70"/>
      <c r="M507" s="70"/>
      <c r="N507" s="70"/>
      <c r="O507" s="40"/>
      <c r="P507" s="23"/>
      <c r="Q507" s="23"/>
      <c r="R507" s="72"/>
      <c r="S507" s="72"/>
      <c r="T507" s="23"/>
      <c r="U507" s="40"/>
      <c r="V507" s="23"/>
      <c r="W507" s="72"/>
      <c r="X507" s="23"/>
      <c r="Y507" s="40"/>
      <c r="Z507" s="23"/>
      <c r="AA507" s="72"/>
      <c r="AB507" s="23"/>
      <c r="AC507" s="40"/>
      <c r="AD507" s="23"/>
      <c r="AE507" s="23"/>
    </row>
    <row r="508" spans="1:31" ht="12.75">
      <c r="A508" s="23"/>
      <c r="B508" s="64"/>
      <c r="C508" s="62"/>
      <c r="D508" s="92"/>
      <c r="E508" s="65"/>
      <c r="F508" s="65"/>
      <c r="G508" s="67"/>
      <c r="H508" s="67"/>
      <c r="I508" s="71"/>
      <c r="J508" s="70"/>
      <c r="K508" s="23"/>
      <c r="L508" s="70"/>
      <c r="M508" s="70"/>
      <c r="N508" s="70"/>
      <c r="O508" s="40"/>
      <c r="P508" s="23"/>
      <c r="Q508" s="23"/>
      <c r="R508" s="72"/>
      <c r="S508" s="72"/>
      <c r="T508" s="23"/>
      <c r="U508" s="40"/>
      <c r="V508" s="23"/>
      <c r="W508" s="72"/>
      <c r="X508" s="23"/>
      <c r="Y508" s="40"/>
      <c r="Z508" s="23"/>
      <c r="AA508" s="72"/>
      <c r="AB508" s="23"/>
      <c r="AC508" s="40"/>
      <c r="AD508" s="23"/>
      <c r="AE508" s="23"/>
    </row>
    <row r="509" spans="1:31" ht="12.75">
      <c r="A509" s="23"/>
      <c r="B509" s="64"/>
      <c r="C509" s="62"/>
      <c r="D509" s="92"/>
      <c r="E509" s="65"/>
      <c r="F509" s="65"/>
      <c r="G509" s="67"/>
      <c r="H509" s="67"/>
      <c r="I509" s="71"/>
      <c r="J509" s="70"/>
      <c r="K509" s="23"/>
      <c r="L509" s="70"/>
      <c r="M509" s="70"/>
      <c r="N509" s="70"/>
      <c r="O509" s="40"/>
      <c r="P509" s="23"/>
      <c r="Q509" s="23"/>
      <c r="R509" s="72"/>
      <c r="S509" s="72"/>
      <c r="T509" s="23"/>
      <c r="U509" s="40"/>
      <c r="V509" s="23"/>
      <c r="W509" s="72"/>
      <c r="X509" s="23"/>
      <c r="Y509" s="40"/>
      <c r="Z509" s="23"/>
      <c r="AA509" s="72"/>
      <c r="AB509" s="23"/>
      <c r="AC509" s="40"/>
      <c r="AD509" s="23"/>
      <c r="AE509" s="23"/>
    </row>
    <row r="510" spans="1:31" ht="12.75">
      <c r="A510" s="23"/>
      <c r="B510" s="64"/>
      <c r="C510" s="62"/>
      <c r="D510" s="92"/>
      <c r="E510" s="65"/>
      <c r="F510" s="65"/>
      <c r="G510" s="67"/>
      <c r="H510" s="67"/>
      <c r="I510" s="71"/>
      <c r="J510" s="70"/>
      <c r="K510" s="23"/>
      <c r="L510" s="70"/>
      <c r="M510" s="70"/>
      <c r="N510" s="70"/>
      <c r="O510" s="40"/>
      <c r="P510" s="23"/>
      <c r="Q510" s="23"/>
      <c r="R510" s="72"/>
      <c r="S510" s="72"/>
      <c r="T510" s="23"/>
      <c r="U510" s="40"/>
      <c r="V510" s="23"/>
      <c r="W510" s="72"/>
      <c r="X510" s="23"/>
      <c r="Y510" s="40"/>
      <c r="Z510" s="23"/>
      <c r="AA510" s="72"/>
      <c r="AB510" s="23"/>
      <c r="AC510" s="40"/>
      <c r="AD510" s="23"/>
      <c r="AE510" s="23"/>
    </row>
    <row r="511" spans="1:31" ht="12.75">
      <c r="A511" s="23"/>
      <c r="B511" s="64"/>
      <c r="C511" s="62"/>
      <c r="D511" s="92"/>
      <c r="E511" s="65"/>
      <c r="F511" s="65"/>
      <c r="G511" s="67"/>
      <c r="H511" s="67"/>
      <c r="I511" s="71"/>
      <c r="J511" s="70"/>
      <c r="K511" s="23"/>
      <c r="L511" s="70"/>
      <c r="M511" s="70"/>
      <c r="N511" s="70"/>
      <c r="O511" s="40"/>
      <c r="P511" s="23"/>
      <c r="Q511" s="23"/>
      <c r="R511" s="72"/>
      <c r="S511" s="72"/>
      <c r="T511" s="23"/>
      <c r="U511" s="40"/>
      <c r="V511" s="23"/>
      <c r="W511" s="72"/>
      <c r="X511" s="23"/>
      <c r="Y511" s="40"/>
      <c r="Z511" s="23"/>
      <c r="AA511" s="72"/>
      <c r="AB511" s="23"/>
      <c r="AC511" s="40"/>
      <c r="AD511" s="23"/>
      <c r="AE511" s="23"/>
    </row>
    <row r="512" spans="1:31" ht="12.75">
      <c r="A512" s="23"/>
      <c r="B512" s="64"/>
      <c r="C512" s="62"/>
      <c r="D512" s="92"/>
      <c r="E512" s="65"/>
      <c r="F512" s="65"/>
      <c r="G512" s="67"/>
      <c r="H512" s="67"/>
      <c r="I512" s="71"/>
      <c r="J512" s="70"/>
      <c r="K512" s="23"/>
      <c r="L512" s="70"/>
      <c r="M512" s="70"/>
      <c r="N512" s="70"/>
      <c r="O512" s="40"/>
      <c r="P512" s="23"/>
      <c r="Q512" s="23"/>
      <c r="R512" s="72"/>
      <c r="S512" s="72"/>
      <c r="T512" s="23"/>
      <c r="U512" s="40"/>
      <c r="V512" s="23"/>
      <c r="W512" s="72"/>
      <c r="X512" s="23"/>
      <c r="Y512" s="40"/>
      <c r="Z512" s="23"/>
      <c r="AA512" s="72"/>
      <c r="AB512" s="23"/>
      <c r="AC512" s="40"/>
      <c r="AD512" s="23"/>
      <c r="AE512" s="23"/>
    </row>
    <row r="513" spans="1:31" ht="12.75">
      <c r="A513" s="23"/>
      <c r="B513" s="64"/>
      <c r="C513" s="62"/>
      <c r="D513" s="92"/>
      <c r="E513" s="65"/>
      <c r="F513" s="65"/>
      <c r="G513" s="67"/>
      <c r="H513" s="67"/>
      <c r="I513" s="71"/>
      <c r="J513" s="70"/>
      <c r="K513" s="23"/>
      <c r="L513" s="70"/>
      <c r="M513" s="70"/>
      <c r="N513" s="70"/>
      <c r="O513" s="40"/>
      <c r="P513" s="23"/>
      <c r="Q513" s="23"/>
      <c r="R513" s="72"/>
      <c r="S513" s="72"/>
      <c r="T513" s="23"/>
      <c r="U513" s="40"/>
      <c r="V513" s="23"/>
      <c r="W513" s="72"/>
      <c r="X513" s="23"/>
      <c r="Y513" s="40"/>
      <c r="Z513" s="23"/>
      <c r="AA513" s="72"/>
      <c r="AB513" s="23"/>
      <c r="AC513" s="40"/>
      <c r="AD513" s="23"/>
      <c r="AE513" s="23"/>
    </row>
    <row r="514" spans="1:31" ht="12.75">
      <c r="A514" s="23"/>
      <c r="B514" s="64"/>
      <c r="C514" s="62"/>
      <c r="D514" s="92"/>
      <c r="E514" s="65"/>
      <c r="F514" s="65"/>
      <c r="G514" s="67"/>
      <c r="H514" s="67"/>
      <c r="I514" s="71"/>
      <c r="J514" s="70"/>
      <c r="K514" s="23"/>
      <c r="L514" s="70"/>
      <c r="M514" s="70"/>
      <c r="N514" s="70"/>
      <c r="O514" s="40"/>
      <c r="P514" s="23"/>
      <c r="Q514" s="23"/>
      <c r="R514" s="72"/>
      <c r="S514" s="72"/>
      <c r="T514" s="23"/>
      <c r="U514" s="40"/>
      <c r="V514" s="23"/>
      <c r="W514" s="72"/>
      <c r="X514" s="23"/>
      <c r="Y514" s="40"/>
      <c r="Z514" s="23"/>
      <c r="AA514" s="72"/>
      <c r="AB514" s="23"/>
      <c r="AC514" s="40"/>
      <c r="AD514" s="23"/>
      <c r="AE514" s="23"/>
    </row>
    <row r="515" spans="1:31" ht="12.75">
      <c r="A515" s="23"/>
      <c r="B515" s="64"/>
      <c r="C515" s="62"/>
      <c r="D515" s="92"/>
      <c r="E515" s="65"/>
      <c r="F515" s="65"/>
      <c r="G515" s="67"/>
      <c r="H515" s="67"/>
      <c r="I515" s="71"/>
      <c r="J515" s="70"/>
      <c r="K515" s="23"/>
      <c r="L515" s="70"/>
      <c r="M515" s="70"/>
      <c r="N515" s="70"/>
      <c r="O515" s="40"/>
      <c r="P515" s="23"/>
      <c r="Q515" s="23"/>
      <c r="R515" s="72"/>
      <c r="S515" s="72"/>
      <c r="T515" s="23"/>
      <c r="U515" s="40"/>
      <c r="V515" s="23"/>
      <c r="W515" s="72"/>
      <c r="X515" s="23"/>
      <c r="Y515" s="40"/>
      <c r="Z515" s="23"/>
      <c r="AA515" s="72"/>
      <c r="AB515" s="23"/>
      <c r="AC515" s="40"/>
      <c r="AD515" s="23"/>
      <c r="AE515" s="23"/>
    </row>
    <row r="516" spans="1:31" ht="12.75">
      <c r="A516" s="23"/>
      <c r="B516" s="64"/>
      <c r="C516" s="62"/>
      <c r="D516" s="92"/>
      <c r="E516" s="65"/>
      <c r="F516" s="65"/>
      <c r="G516" s="67"/>
      <c r="H516" s="67"/>
      <c r="I516" s="71"/>
      <c r="J516" s="70"/>
      <c r="K516" s="23"/>
      <c r="L516" s="70"/>
      <c r="M516" s="70"/>
      <c r="N516" s="70"/>
      <c r="O516" s="40"/>
      <c r="P516" s="23"/>
      <c r="Q516" s="23"/>
      <c r="R516" s="72"/>
      <c r="S516" s="72"/>
      <c r="T516" s="23"/>
      <c r="U516" s="40"/>
      <c r="V516" s="23"/>
      <c r="W516" s="72"/>
      <c r="X516" s="23"/>
      <c r="Y516" s="40"/>
      <c r="Z516" s="23"/>
      <c r="AA516" s="72"/>
      <c r="AB516" s="23"/>
      <c r="AC516" s="40"/>
      <c r="AD516" s="23"/>
      <c r="AE516" s="23"/>
    </row>
    <row r="517" spans="1:31" ht="12.75">
      <c r="A517" s="23"/>
      <c r="B517" s="64"/>
      <c r="C517" s="62"/>
      <c r="D517" s="92"/>
      <c r="E517" s="65"/>
      <c r="F517" s="65"/>
      <c r="G517" s="67"/>
      <c r="H517" s="67"/>
      <c r="I517" s="71"/>
      <c r="J517" s="70"/>
      <c r="K517" s="23"/>
      <c r="L517" s="70"/>
      <c r="M517" s="70"/>
      <c r="N517" s="70"/>
      <c r="O517" s="40"/>
      <c r="P517" s="23"/>
      <c r="Q517" s="23"/>
      <c r="R517" s="72"/>
      <c r="S517" s="72"/>
      <c r="T517" s="23"/>
      <c r="U517" s="40"/>
      <c r="V517" s="23"/>
      <c r="W517" s="72"/>
      <c r="X517" s="23"/>
      <c r="Y517" s="40"/>
      <c r="Z517" s="23"/>
      <c r="AA517" s="72"/>
      <c r="AB517" s="23"/>
      <c r="AC517" s="40"/>
      <c r="AD517" s="23"/>
      <c r="AE517" s="23"/>
    </row>
    <row r="518" spans="1:31" ht="12.75">
      <c r="A518" s="23"/>
      <c r="B518" s="64"/>
      <c r="C518" s="62"/>
      <c r="D518" s="92"/>
      <c r="E518" s="65"/>
      <c r="F518" s="65"/>
      <c r="G518" s="67"/>
      <c r="H518" s="67"/>
      <c r="I518" s="71"/>
      <c r="J518" s="70"/>
      <c r="K518" s="23"/>
      <c r="L518" s="70"/>
      <c r="M518" s="70"/>
      <c r="N518" s="70"/>
      <c r="O518" s="40"/>
      <c r="P518" s="23"/>
      <c r="Q518" s="23"/>
      <c r="R518" s="72"/>
      <c r="S518" s="72"/>
      <c r="T518" s="23"/>
      <c r="U518" s="40"/>
      <c r="V518" s="23"/>
      <c r="W518" s="72"/>
      <c r="X518" s="23"/>
      <c r="Y518" s="40"/>
      <c r="Z518" s="23"/>
      <c r="AA518" s="72"/>
      <c r="AB518" s="23"/>
      <c r="AC518" s="40"/>
      <c r="AD518" s="23"/>
      <c r="AE518" s="23"/>
    </row>
    <row r="519" spans="1:31" ht="12.75">
      <c r="A519" s="23"/>
      <c r="B519" s="64"/>
      <c r="C519" s="62"/>
      <c r="D519" s="92"/>
      <c r="E519" s="65"/>
      <c r="F519" s="65"/>
      <c r="G519" s="67"/>
      <c r="H519" s="67"/>
      <c r="I519" s="71"/>
      <c r="J519" s="70"/>
      <c r="K519" s="23"/>
      <c r="L519" s="70"/>
      <c r="M519" s="70"/>
      <c r="N519" s="70"/>
      <c r="O519" s="40"/>
      <c r="P519" s="23"/>
      <c r="Q519" s="23"/>
      <c r="R519" s="72"/>
      <c r="S519" s="72"/>
      <c r="T519" s="23"/>
      <c r="U519" s="40"/>
      <c r="V519" s="23"/>
      <c r="W519" s="72"/>
      <c r="X519" s="23"/>
      <c r="Y519" s="40"/>
      <c r="Z519" s="23"/>
      <c r="AA519" s="72"/>
      <c r="AB519" s="23"/>
      <c r="AC519" s="40"/>
      <c r="AD519" s="23"/>
      <c r="AE519" s="23"/>
    </row>
    <row r="520" spans="1:31" ht="12.75">
      <c r="A520" s="23"/>
      <c r="B520" s="64"/>
      <c r="C520" s="62"/>
      <c r="D520" s="92"/>
      <c r="E520" s="65"/>
      <c r="F520" s="65"/>
      <c r="G520" s="67"/>
      <c r="H520" s="67"/>
      <c r="I520" s="71"/>
      <c r="J520" s="70"/>
      <c r="K520" s="23"/>
      <c r="L520" s="70"/>
      <c r="M520" s="70"/>
      <c r="N520" s="70"/>
      <c r="O520" s="40"/>
      <c r="P520" s="23"/>
      <c r="Q520" s="23"/>
      <c r="R520" s="72"/>
      <c r="S520" s="72"/>
      <c r="T520" s="23"/>
      <c r="U520" s="40"/>
      <c r="V520" s="23"/>
      <c r="W520" s="72"/>
      <c r="X520" s="23"/>
      <c r="Y520" s="40"/>
      <c r="Z520" s="23"/>
      <c r="AA520" s="72"/>
      <c r="AB520" s="23"/>
      <c r="AC520" s="40"/>
      <c r="AD520" s="23"/>
      <c r="AE520" s="23"/>
    </row>
    <row r="521" spans="1:31" ht="12.75">
      <c r="A521" s="23"/>
      <c r="B521" s="64"/>
      <c r="C521" s="62"/>
      <c r="D521" s="92"/>
      <c r="E521" s="65"/>
      <c r="F521" s="65"/>
      <c r="G521" s="67"/>
      <c r="H521" s="67"/>
      <c r="I521" s="71"/>
      <c r="J521" s="70"/>
      <c r="K521" s="23"/>
      <c r="L521" s="70"/>
      <c r="M521" s="70"/>
      <c r="N521" s="70"/>
      <c r="O521" s="40"/>
      <c r="P521" s="23"/>
      <c r="Q521" s="23"/>
      <c r="R521" s="72"/>
      <c r="S521" s="72"/>
      <c r="T521" s="23"/>
      <c r="U521" s="40"/>
      <c r="V521" s="23"/>
      <c r="W521" s="72"/>
      <c r="X521" s="23"/>
      <c r="Y521" s="40"/>
      <c r="Z521" s="23"/>
      <c r="AA521" s="72"/>
      <c r="AB521" s="23"/>
      <c r="AC521" s="40"/>
      <c r="AD521" s="23"/>
      <c r="AE521" s="23"/>
    </row>
    <row r="522" spans="1:31" ht="12.75">
      <c r="A522" s="23"/>
      <c r="B522" s="64"/>
      <c r="C522" s="62"/>
      <c r="D522" s="92"/>
      <c r="E522" s="65"/>
      <c r="F522" s="65"/>
      <c r="G522" s="67"/>
      <c r="H522" s="67"/>
      <c r="I522" s="71"/>
      <c r="J522" s="70"/>
      <c r="K522" s="23"/>
      <c r="L522" s="70"/>
      <c r="M522" s="70"/>
      <c r="N522" s="70"/>
      <c r="O522" s="40"/>
      <c r="P522" s="23"/>
      <c r="Q522" s="23"/>
      <c r="R522" s="72"/>
      <c r="S522" s="72"/>
      <c r="T522" s="23"/>
      <c r="U522" s="40"/>
      <c r="V522" s="23"/>
      <c r="W522" s="72"/>
      <c r="X522" s="23"/>
      <c r="Y522" s="40"/>
      <c r="Z522" s="23"/>
      <c r="AA522" s="72"/>
      <c r="AB522" s="23"/>
      <c r="AC522" s="40"/>
      <c r="AD522" s="23"/>
      <c r="AE522" s="23"/>
    </row>
    <row r="523" spans="1:31" ht="12.75">
      <c r="A523" s="23"/>
      <c r="B523" s="64"/>
      <c r="C523" s="62"/>
      <c r="D523" s="92"/>
      <c r="E523" s="65"/>
      <c r="F523" s="65"/>
      <c r="G523" s="67"/>
      <c r="H523" s="67"/>
      <c r="I523" s="71"/>
      <c r="J523" s="70"/>
      <c r="K523" s="23"/>
      <c r="L523" s="70"/>
      <c r="M523" s="70"/>
      <c r="N523" s="70"/>
      <c r="O523" s="40"/>
      <c r="P523" s="23"/>
      <c r="Q523" s="23"/>
      <c r="R523" s="72"/>
      <c r="S523" s="72"/>
      <c r="T523" s="23"/>
      <c r="U523" s="40"/>
      <c r="V523" s="23"/>
      <c r="W523" s="72"/>
      <c r="X523" s="23"/>
      <c r="Y523" s="40"/>
      <c r="Z523" s="23"/>
      <c r="AA523" s="72"/>
      <c r="AB523" s="23"/>
      <c r="AC523" s="40"/>
      <c r="AD523" s="23"/>
      <c r="AE523" s="23"/>
    </row>
    <row r="524" spans="1:31" ht="12.75">
      <c r="A524" s="23"/>
      <c r="B524" s="64"/>
      <c r="C524" s="62"/>
      <c r="D524" s="92"/>
      <c r="E524" s="65"/>
      <c r="F524" s="65"/>
      <c r="G524" s="67"/>
      <c r="H524" s="67"/>
      <c r="I524" s="71"/>
      <c r="J524" s="70"/>
      <c r="K524" s="23"/>
      <c r="L524" s="70"/>
      <c r="M524" s="70"/>
      <c r="N524" s="70"/>
      <c r="O524" s="40"/>
      <c r="P524" s="23"/>
      <c r="Q524" s="23"/>
      <c r="R524" s="72"/>
      <c r="S524" s="72"/>
      <c r="T524" s="23"/>
      <c r="U524" s="40"/>
      <c r="V524" s="23"/>
      <c r="W524" s="72"/>
      <c r="X524" s="23"/>
      <c r="Y524" s="40"/>
      <c r="Z524" s="23"/>
      <c r="AA524" s="72"/>
      <c r="AB524" s="23"/>
      <c r="AC524" s="40"/>
      <c r="AD524" s="23"/>
      <c r="AE524" s="23"/>
    </row>
    <row r="525" spans="1:31" ht="12.75">
      <c r="A525" s="23"/>
      <c r="B525" s="64"/>
      <c r="C525" s="62"/>
      <c r="D525" s="92"/>
      <c r="E525" s="65"/>
      <c r="F525" s="65"/>
      <c r="G525" s="67"/>
      <c r="H525" s="67"/>
      <c r="I525" s="71"/>
      <c r="J525" s="70"/>
      <c r="K525" s="23"/>
      <c r="L525" s="70"/>
      <c r="M525" s="70"/>
      <c r="N525" s="70"/>
      <c r="O525" s="40"/>
      <c r="P525" s="23"/>
      <c r="Q525" s="23"/>
      <c r="R525" s="72"/>
      <c r="S525" s="72"/>
      <c r="T525" s="23"/>
      <c r="U525" s="40"/>
      <c r="V525" s="23"/>
      <c r="W525" s="72"/>
      <c r="X525" s="23"/>
      <c r="Y525" s="40"/>
      <c r="Z525" s="23"/>
      <c r="AA525" s="72"/>
      <c r="AB525" s="23"/>
      <c r="AC525" s="40"/>
      <c r="AD525" s="23"/>
      <c r="AE525" s="23"/>
    </row>
    <row r="526" spans="1:31" ht="12.75">
      <c r="A526" s="23"/>
      <c r="B526" s="64"/>
      <c r="C526" s="62"/>
      <c r="D526" s="92"/>
      <c r="E526" s="65"/>
      <c r="F526" s="65"/>
      <c r="G526" s="67"/>
      <c r="H526" s="67"/>
      <c r="I526" s="71"/>
      <c r="J526" s="70"/>
      <c r="K526" s="23"/>
      <c r="L526" s="70"/>
      <c r="M526" s="70"/>
      <c r="N526" s="70"/>
      <c r="O526" s="40"/>
      <c r="P526" s="23"/>
      <c r="Q526" s="23"/>
      <c r="R526" s="72"/>
      <c r="S526" s="72"/>
      <c r="T526" s="23"/>
      <c r="U526" s="40"/>
      <c r="V526" s="23"/>
      <c r="W526" s="72"/>
      <c r="X526" s="23"/>
      <c r="Y526" s="40"/>
      <c r="Z526" s="23"/>
      <c r="AA526" s="72"/>
      <c r="AB526" s="23"/>
      <c r="AC526" s="40"/>
      <c r="AD526" s="23"/>
      <c r="AE526" s="23"/>
    </row>
    <row r="527" spans="1:31" ht="12.75">
      <c r="A527" s="23"/>
      <c r="B527" s="64"/>
      <c r="C527" s="62"/>
      <c r="D527" s="92"/>
      <c r="E527" s="65"/>
      <c r="F527" s="65"/>
      <c r="G527" s="67"/>
      <c r="H527" s="67"/>
      <c r="I527" s="71"/>
      <c r="J527" s="70"/>
      <c r="K527" s="23"/>
      <c r="L527" s="70"/>
      <c r="M527" s="70"/>
      <c r="N527" s="70"/>
      <c r="O527" s="40"/>
      <c r="P527" s="23"/>
      <c r="Q527" s="23"/>
      <c r="R527" s="72"/>
      <c r="S527" s="72"/>
      <c r="T527" s="23"/>
      <c r="U527" s="40"/>
      <c r="V527" s="23"/>
      <c r="W527" s="72"/>
      <c r="X527" s="23"/>
      <c r="Y527" s="40"/>
      <c r="Z527" s="23"/>
      <c r="AA527" s="72"/>
      <c r="AB527" s="23"/>
      <c r="AC527" s="40"/>
      <c r="AD527" s="23"/>
      <c r="AE527" s="23"/>
    </row>
    <row r="528" spans="1:31" ht="12.75">
      <c r="A528" s="23"/>
      <c r="B528" s="64"/>
      <c r="C528" s="62"/>
      <c r="D528" s="92"/>
      <c r="E528" s="65"/>
      <c r="F528" s="65"/>
      <c r="G528" s="67"/>
      <c r="H528" s="67"/>
      <c r="I528" s="71"/>
      <c r="J528" s="70"/>
      <c r="K528" s="23"/>
      <c r="L528" s="70"/>
      <c r="M528" s="70"/>
      <c r="N528" s="70"/>
      <c r="O528" s="40"/>
      <c r="P528" s="23"/>
      <c r="Q528" s="23"/>
      <c r="R528" s="72"/>
      <c r="S528" s="72"/>
      <c r="T528" s="23"/>
      <c r="U528" s="40"/>
      <c r="V528" s="23"/>
      <c r="W528" s="72"/>
      <c r="X528" s="23"/>
      <c r="Y528" s="40"/>
      <c r="Z528" s="23"/>
      <c r="AA528" s="72"/>
      <c r="AB528" s="23"/>
      <c r="AC528" s="40"/>
      <c r="AD528" s="23"/>
      <c r="AE528" s="23"/>
    </row>
    <row r="529" spans="1:31" ht="12.75">
      <c r="A529" s="23"/>
      <c r="B529" s="64"/>
      <c r="C529" s="62"/>
      <c r="D529" s="92"/>
      <c r="E529" s="65"/>
      <c r="F529" s="65"/>
      <c r="G529" s="67"/>
      <c r="H529" s="67"/>
      <c r="I529" s="71"/>
      <c r="J529" s="70"/>
      <c r="K529" s="23"/>
      <c r="L529" s="70"/>
      <c r="M529" s="70"/>
      <c r="N529" s="70"/>
      <c r="O529" s="40"/>
      <c r="P529" s="23"/>
      <c r="Q529" s="23"/>
      <c r="R529" s="72"/>
      <c r="S529" s="72"/>
      <c r="T529" s="23"/>
      <c r="U529" s="40"/>
      <c r="V529" s="23"/>
      <c r="W529" s="72"/>
      <c r="X529" s="23"/>
      <c r="Y529" s="40"/>
      <c r="Z529" s="23"/>
      <c r="AA529" s="72"/>
      <c r="AB529" s="23"/>
      <c r="AC529" s="40"/>
      <c r="AD529" s="23"/>
      <c r="AE529" s="23"/>
    </row>
    <row r="530" spans="1:31" ht="12.75">
      <c r="A530" s="23"/>
      <c r="B530" s="64"/>
      <c r="C530" s="62"/>
      <c r="D530" s="92"/>
      <c r="E530" s="65"/>
      <c r="F530" s="65"/>
      <c r="G530" s="67"/>
      <c r="H530" s="67"/>
      <c r="I530" s="71"/>
      <c r="J530" s="70"/>
      <c r="K530" s="23"/>
      <c r="L530" s="70"/>
      <c r="M530" s="70"/>
      <c r="N530" s="70"/>
      <c r="O530" s="40"/>
      <c r="P530" s="23"/>
      <c r="Q530" s="23"/>
      <c r="R530" s="72"/>
      <c r="S530" s="72"/>
      <c r="T530" s="23"/>
      <c r="U530" s="40"/>
      <c r="V530" s="23"/>
      <c r="W530" s="72"/>
      <c r="X530" s="23"/>
      <c r="Y530" s="40"/>
      <c r="Z530" s="23"/>
      <c r="AA530" s="72"/>
      <c r="AB530" s="23"/>
      <c r="AC530" s="40"/>
      <c r="AD530" s="23"/>
      <c r="AE530" s="23"/>
    </row>
    <row r="531" spans="1:31" ht="12.75">
      <c r="A531" s="23"/>
      <c r="B531" s="64"/>
      <c r="C531" s="62"/>
      <c r="D531" s="92"/>
      <c r="E531" s="65"/>
      <c r="F531" s="65"/>
      <c r="G531" s="67"/>
      <c r="H531" s="67"/>
      <c r="I531" s="71"/>
      <c r="J531" s="70"/>
      <c r="K531" s="23"/>
      <c r="L531" s="70"/>
      <c r="M531" s="70"/>
      <c r="N531" s="70"/>
      <c r="O531" s="40"/>
      <c r="P531" s="23"/>
      <c r="Q531" s="23"/>
      <c r="R531" s="72"/>
      <c r="S531" s="72"/>
      <c r="T531" s="23"/>
      <c r="U531" s="40"/>
      <c r="V531" s="23"/>
      <c r="W531" s="72"/>
      <c r="X531" s="23"/>
      <c r="Y531" s="40"/>
      <c r="Z531" s="23"/>
      <c r="AA531" s="72"/>
      <c r="AB531" s="23"/>
      <c r="AC531" s="40"/>
      <c r="AD531" s="23"/>
      <c r="AE531" s="23"/>
    </row>
    <row r="532" spans="1:31" ht="12.75">
      <c r="A532" s="23"/>
      <c r="B532" s="64"/>
      <c r="C532" s="62"/>
      <c r="D532" s="92"/>
      <c r="E532" s="65"/>
      <c r="F532" s="65"/>
      <c r="G532" s="67"/>
      <c r="H532" s="67"/>
      <c r="I532" s="71"/>
      <c r="J532" s="70"/>
      <c r="K532" s="23"/>
      <c r="L532" s="70"/>
      <c r="M532" s="70"/>
      <c r="N532" s="70"/>
      <c r="O532" s="40"/>
      <c r="P532" s="23"/>
      <c r="Q532" s="23"/>
      <c r="R532" s="72"/>
      <c r="S532" s="72"/>
      <c r="T532" s="23"/>
      <c r="U532" s="40"/>
      <c r="V532" s="23"/>
      <c r="W532" s="72"/>
      <c r="X532" s="23"/>
      <c r="Y532" s="40"/>
      <c r="Z532" s="23"/>
      <c r="AA532" s="72"/>
      <c r="AB532" s="23"/>
      <c r="AC532" s="40"/>
      <c r="AD532" s="23"/>
      <c r="AE532" s="23"/>
    </row>
    <row r="533" spans="1:31" ht="12.75">
      <c r="A533" s="23"/>
      <c r="B533" s="64"/>
      <c r="C533" s="62"/>
      <c r="D533" s="92"/>
      <c r="E533" s="65"/>
      <c r="F533" s="65"/>
      <c r="G533" s="67"/>
      <c r="H533" s="67"/>
      <c r="I533" s="71"/>
      <c r="J533" s="70"/>
      <c r="K533" s="23"/>
      <c r="L533" s="70"/>
      <c r="M533" s="70"/>
      <c r="N533" s="70"/>
      <c r="O533" s="40"/>
      <c r="P533" s="23"/>
      <c r="Q533" s="23"/>
      <c r="R533" s="72"/>
      <c r="S533" s="72"/>
      <c r="T533" s="23"/>
      <c r="U533" s="40"/>
      <c r="V533" s="23"/>
      <c r="W533" s="72"/>
      <c r="X533" s="23"/>
      <c r="Y533" s="40"/>
      <c r="Z533" s="23"/>
      <c r="AA533" s="72"/>
      <c r="AB533" s="23"/>
      <c r="AC533" s="40"/>
      <c r="AD533" s="23"/>
      <c r="AE533" s="23"/>
    </row>
    <row r="534" spans="1:31" ht="12.75">
      <c r="A534" s="23"/>
      <c r="B534" s="64"/>
      <c r="C534" s="62"/>
      <c r="D534" s="92"/>
      <c r="E534" s="65"/>
      <c r="F534" s="65"/>
      <c r="G534" s="67"/>
      <c r="H534" s="67"/>
      <c r="I534" s="71"/>
      <c r="J534" s="70"/>
      <c r="K534" s="23"/>
      <c r="L534" s="70"/>
      <c r="M534" s="70"/>
      <c r="N534" s="70"/>
      <c r="O534" s="40"/>
      <c r="P534" s="23"/>
      <c r="Q534" s="23"/>
      <c r="R534" s="72"/>
      <c r="S534" s="72"/>
      <c r="T534" s="23"/>
      <c r="U534" s="40"/>
      <c r="V534" s="23"/>
      <c r="W534" s="72"/>
      <c r="X534" s="23"/>
      <c r="Y534" s="40"/>
      <c r="Z534" s="23"/>
      <c r="AA534" s="72"/>
      <c r="AB534" s="23"/>
      <c r="AC534" s="40"/>
      <c r="AD534" s="23"/>
      <c r="AE534" s="23"/>
    </row>
    <row r="535" spans="1:31" ht="12.75">
      <c r="A535" s="23"/>
      <c r="B535" s="64"/>
      <c r="C535" s="62"/>
      <c r="D535" s="92"/>
      <c r="E535" s="65"/>
      <c r="F535" s="65"/>
      <c r="G535" s="67"/>
      <c r="H535" s="67"/>
      <c r="I535" s="71"/>
      <c r="J535" s="70"/>
      <c r="K535" s="23"/>
      <c r="L535" s="70"/>
      <c r="M535" s="70"/>
      <c r="N535" s="70"/>
      <c r="O535" s="40"/>
      <c r="P535" s="23"/>
      <c r="Q535" s="23"/>
      <c r="R535" s="72"/>
      <c r="S535" s="72"/>
      <c r="T535" s="23"/>
      <c r="U535" s="40"/>
      <c r="V535" s="23"/>
      <c r="W535" s="72"/>
      <c r="X535" s="23"/>
      <c r="Y535" s="40"/>
      <c r="Z535" s="23"/>
      <c r="AA535" s="72"/>
      <c r="AB535" s="23"/>
      <c r="AC535" s="40"/>
      <c r="AD535" s="23"/>
      <c r="AE535" s="23"/>
    </row>
    <row r="536" spans="1:31" ht="12.75">
      <c r="A536" s="23"/>
      <c r="B536" s="64"/>
      <c r="C536" s="62"/>
      <c r="D536" s="92"/>
      <c r="E536" s="65"/>
      <c r="F536" s="65"/>
      <c r="G536" s="67"/>
      <c r="H536" s="67"/>
      <c r="I536" s="71"/>
      <c r="J536" s="70"/>
      <c r="K536" s="23"/>
      <c r="L536" s="70"/>
      <c r="M536" s="70"/>
      <c r="N536" s="70"/>
      <c r="O536" s="40"/>
      <c r="P536" s="23"/>
      <c r="Q536" s="23"/>
      <c r="R536" s="72"/>
      <c r="S536" s="72"/>
      <c r="T536" s="23"/>
      <c r="U536" s="40"/>
      <c r="V536" s="23"/>
      <c r="W536" s="72"/>
      <c r="X536" s="23"/>
      <c r="Y536" s="40"/>
      <c r="Z536" s="23"/>
      <c r="AA536" s="72"/>
      <c r="AB536" s="23"/>
      <c r="AC536" s="40"/>
      <c r="AD536" s="23"/>
      <c r="AE536" s="23"/>
    </row>
    <row r="537" spans="1:31" ht="12.75">
      <c r="A537" s="23"/>
      <c r="B537" s="64"/>
      <c r="C537" s="62"/>
      <c r="D537" s="92"/>
      <c r="E537" s="65"/>
      <c r="F537" s="65"/>
      <c r="G537" s="67"/>
      <c r="H537" s="67"/>
      <c r="I537" s="71"/>
      <c r="J537" s="70"/>
      <c r="K537" s="23"/>
      <c r="L537" s="70"/>
      <c r="M537" s="70"/>
      <c r="N537" s="70"/>
      <c r="O537" s="40"/>
      <c r="P537" s="23"/>
      <c r="Q537" s="23"/>
      <c r="R537" s="72"/>
      <c r="S537" s="72"/>
      <c r="T537" s="23"/>
      <c r="U537" s="40"/>
      <c r="V537" s="23"/>
      <c r="W537" s="72"/>
      <c r="X537" s="23"/>
      <c r="Y537" s="40"/>
      <c r="Z537" s="23"/>
      <c r="AA537" s="72"/>
      <c r="AB537" s="23"/>
      <c r="AC537" s="40"/>
      <c r="AD537" s="23"/>
      <c r="AE537" s="23"/>
    </row>
    <row r="538" spans="1:31" ht="12.75">
      <c r="A538" s="23"/>
      <c r="B538" s="64"/>
      <c r="C538" s="62"/>
      <c r="D538" s="92"/>
      <c r="E538" s="65"/>
      <c r="F538" s="65"/>
      <c r="G538" s="67"/>
      <c r="H538" s="67"/>
      <c r="I538" s="71"/>
      <c r="J538" s="70"/>
      <c r="K538" s="23"/>
      <c r="L538" s="70"/>
      <c r="M538" s="70"/>
      <c r="N538" s="70"/>
      <c r="O538" s="40"/>
      <c r="P538" s="23"/>
      <c r="Q538" s="23"/>
      <c r="R538" s="72"/>
      <c r="S538" s="72"/>
      <c r="T538" s="23"/>
      <c r="U538" s="40"/>
      <c r="V538" s="23"/>
      <c r="W538" s="72"/>
      <c r="X538" s="23"/>
      <c r="Y538" s="40"/>
      <c r="Z538" s="23"/>
      <c r="AA538" s="72"/>
      <c r="AB538" s="23"/>
      <c r="AC538" s="40"/>
      <c r="AD538" s="23"/>
      <c r="AE538" s="23"/>
    </row>
    <row r="539" spans="1:31" ht="12.75">
      <c r="A539" s="23"/>
      <c r="B539" s="40"/>
      <c r="C539" s="40"/>
      <c r="D539" s="92"/>
      <c r="E539" s="65"/>
      <c r="F539" s="65"/>
      <c r="G539" s="67"/>
      <c r="H539" s="67"/>
      <c r="I539" s="71"/>
      <c r="J539" s="70"/>
      <c r="K539" s="23"/>
      <c r="L539" s="70"/>
      <c r="M539" s="70"/>
      <c r="N539" s="70"/>
      <c r="O539" s="23"/>
      <c r="P539" s="23"/>
      <c r="Q539" s="23"/>
      <c r="R539" s="72"/>
      <c r="S539" s="23"/>
      <c r="T539" s="23"/>
      <c r="U539" s="23"/>
      <c r="V539" s="23"/>
      <c r="W539" s="23"/>
      <c r="X539" s="23"/>
      <c r="Y539" s="23"/>
      <c r="Z539" s="23"/>
      <c r="AA539" s="23"/>
      <c r="AB539" s="23"/>
      <c r="AC539" s="23"/>
      <c r="AD539" s="23"/>
      <c r="AE539" s="23"/>
    </row>
    <row r="540" spans="1:31" ht="12.75">
      <c r="A540" s="23"/>
      <c r="B540" s="40"/>
      <c r="C540" s="40"/>
      <c r="D540" s="92"/>
      <c r="E540" s="65"/>
      <c r="F540" s="65"/>
      <c r="G540" s="67"/>
      <c r="H540" s="67"/>
      <c r="I540" s="71"/>
      <c r="J540" s="70"/>
      <c r="K540" s="23"/>
      <c r="L540" s="70"/>
      <c r="M540" s="70"/>
      <c r="N540" s="70"/>
      <c r="O540" s="23"/>
      <c r="P540" s="23"/>
      <c r="Q540" s="23"/>
      <c r="R540" s="72"/>
      <c r="S540" s="23"/>
      <c r="T540" s="23"/>
      <c r="U540" s="23"/>
      <c r="V540" s="23"/>
      <c r="W540" s="23"/>
      <c r="X540" s="23"/>
      <c r="Y540" s="23"/>
      <c r="Z540" s="23"/>
      <c r="AA540" s="23"/>
      <c r="AB540" s="23"/>
      <c r="AC540" s="23"/>
      <c r="AD540" s="23"/>
      <c r="AE540" s="23"/>
    </row>
    <row r="541" spans="1:31" ht="12" customHeight="1">
      <c r="A541" s="23"/>
      <c r="B541" s="40"/>
      <c r="C541" s="40"/>
      <c r="D541" s="92"/>
      <c r="E541" s="65"/>
      <c r="F541" s="65"/>
      <c r="G541" s="67"/>
      <c r="H541" s="67"/>
      <c r="I541" s="71"/>
      <c r="J541" s="70"/>
      <c r="K541" s="23"/>
      <c r="L541" s="70"/>
      <c r="M541" s="70"/>
      <c r="N541" s="70"/>
      <c r="O541" s="23"/>
      <c r="P541" s="23"/>
      <c r="Q541" s="23"/>
      <c r="R541" s="72"/>
      <c r="S541" s="23"/>
      <c r="T541" s="23"/>
      <c r="U541" s="23"/>
      <c r="V541" s="23"/>
      <c r="W541" s="23"/>
      <c r="X541" s="23"/>
      <c r="Y541" s="23"/>
      <c r="Z541" s="23"/>
      <c r="AA541" s="23"/>
      <c r="AB541" s="23"/>
      <c r="AC541" s="23"/>
      <c r="AD541" s="23"/>
      <c r="AE541" s="23"/>
    </row>
    <row r="542" spans="1:31" ht="12" customHeight="1">
      <c r="A542" s="23"/>
      <c r="B542" s="40"/>
      <c r="C542" s="40"/>
      <c r="D542" s="92"/>
      <c r="E542" s="65"/>
      <c r="F542" s="65"/>
      <c r="G542" s="67"/>
      <c r="H542" s="67"/>
      <c r="I542" s="71"/>
      <c r="J542" s="70"/>
      <c r="K542" s="23"/>
      <c r="L542" s="70"/>
      <c r="M542" s="70"/>
      <c r="N542" s="70"/>
      <c r="O542" s="23"/>
      <c r="P542" s="23"/>
      <c r="Q542" s="23"/>
      <c r="R542" s="72"/>
      <c r="S542" s="23"/>
      <c r="T542" s="23"/>
      <c r="U542" s="23"/>
      <c r="V542" s="23"/>
      <c r="W542" s="23"/>
      <c r="X542" s="23"/>
      <c r="Y542" s="23"/>
      <c r="Z542" s="23"/>
      <c r="AA542" s="23"/>
      <c r="AB542" s="23"/>
      <c r="AC542" s="23"/>
      <c r="AD542" s="23"/>
      <c r="AE542" s="23"/>
    </row>
    <row r="543" spans="1:31" ht="12" customHeight="1">
      <c r="A543" s="23"/>
      <c r="B543" s="40"/>
      <c r="C543" s="40"/>
      <c r="D543" s="92"/>
      <c r="E543" s="65"/>
      <c r="F543" s="65"/>
      <c r="G543" s="67"/>
      <c r="H543" s="67"/>
      <c r="I543" s="71"/>
      <c r="J543" s="70"/>
      <c r="K543" s="23"/>
      <c r="L543" s="70"/>
      <c r="M543" s="70"/>
      <c r="N543" s="70"/>
      <c r="O543" s="23"/>
      <c r="P543" s="23"/>
      <c r="Q543" s="23"/>
      <c r="R543" s="72"/>
      <c r="S543" s="23"/>
      <c r="T543" s="23"/>
      <c r="U543" s="23"/>
      <c r="V543" s="23"/>
      <c r="W543" s="23"/>
      <c r="X543" s="23"/>
      <c r="Y543" s="23"/>
      <c r="Z543" s="23"/>
      <c r="AA543" s="23"/>
      <c r="AB543" s="23"/>
      <c r="AC543" s="23"/>
      <c r="AD543" s="23"/>
      <c r="AE543" s="23"/>
    </row>
    <row r="544" spans="1:31" ht="12" customHeight="1">
      <c r="A544" s="23"/>
      <c r="B544" s="40"/>
      <c r="C544" s="40"/>
      <c r="D544" s="92"/>
      <c r="E544" s="65"/>
      <c r="F544" s="65"/>
      <c r="G544" s="67"/>
      <c r="H544" s="67"/>
      <c r="I544" s="71"/>
      <c r="J544" s="70"/>
      <c r="K544" s="23"/>
      <c r="L544" s="70"/>
      <c r="M544" s="70"/>
      <c r="N544" s="70"/>
      <c r="O544" s="23"/>
      <c r="P544" s="23"/>
      <c r="Q544" s="23"/>
      <c r="R544" s="72"/>
      <c r="S544" s="23"/>
      <c r="T544" s="23"/>
      <c r="U544" s="23"/>
      <c r="V544" s="23"/>
      <c r="W544" s="23"/>
      <c r="X544" s="23"/>
      <c r="Y544" s="23"/>
      <c r="Z544" s="23"/>
      <c r="AA544" s="23"/>
      <c r="AB544" s="23"/>
      <c r="AC544" s="23"/>
      <c r="AD544" s="23"/>
      <c r="AE544" s="23"/>
    </row>
    <row r="545" spans="1:31" ht="12.75">
      <c r="A545" s="23"/>
      <c r="B545" s="64"/>
      <c r="C545" s="62"/>
      <c r="D545" s="92"/>
      <c r="E545" s="65"/>
      <c r="F545" s="65"/>
      <c r="G545" s="67"/>
      <c r="H545" s="67"/>
      <c r="I545" s="71"/>
      <c r="J545" s="70"/>
      <c r="K545" s="23"/>
      <c r="L545" s="70"/>
      <c r="M545" s="70"/>
      <c r="N545" s="70"/>
      <c r="O545" s="40"/>
      <c r="P545" s="23"/>
      <c r="Q545" s="23"/>
      <c r="R545" s="72"/>
      <c r="S545" s="72"/>
      <c r="T545" s="23"/>
      <c r="U545" s="40"/>
      <c r="V545" s="23"/>
      <c r="W545" s="72"/>
      <c r="X545" s="23"/>
      <c r="Y545" s="40"/>
      <c r="Z545" s="23"/>
      <c r="AA545" s="72"/>
      <c r="AB545" s="23"/>
      <c r="AC545" s="40"/>
      <c r="AD545" s="23"/>
      <c r="AE545" s="23"/>
    </row>
    <row r="546" spans="1:31" ht="12.75">
      <c r="A546" s="23"/>
      <c r="B546" s="64"/>
      <c r="C546" s="62"/>
      <c r="D546" s="92"/>
      <c r="E546" s="65"/>
      <c r="F546" s="65"/>
      <c r="G546" s="67"/>
      <c r="H546" s="67"/>
      <c r="I546" s="71"/>
      <c r="J546" s="70"/>
      <c r="K546" s="23"/>
      <c r="L546" s="70"/>
      <c r="M546" s="70"/>
      <c r="N546" s="70"/>
      <c r="O546" s="40"/>
      <c r="P546" s="23"/>
      <c r="Q546" s="23"/>
      <c r="R546" s="72"/>
      <c r="S546" s="72"/>
      <c r="T546" s="23"/>
      <c r="U546" s="40"/>
      <c r="V546" s="23"/>
      <c r="W546" s="72"/>
      <c r="X546" s="23"/>
      <c r="Y546" s="40"/>
      <c r="Z546" s="23"/>
      <c r="AA546" s="72"/>
      <c r="AB546" s="23"/>
      <c r="AC546" s="40"/>
      <c r="AD546" s="23"/>
      <c r="AE546" s="23"/>
    </row>
    <row r="547" spans="1:31" ht="12.75">
      <c r="A547" s="23"/>
      <c r="B547" s="64"/>
      <c r="C547" s="62"/>
      <c r="D547" s="92"/>
      <c r="E547" s="65"/>
      <c r="F547" s="65"/>
      <c r="G547" s="67"/>
      <c r="H547" s="67"/>
      <c r="I547" s="71"/>
      <c r="J547" s="70"/>
      <c r="K547" s="23"/>
      <c r="L547" s="70"/>
      <c r="M547" s="70"/>
      <c r="N547" s="70"/>
      <c r="O547" s="40"/>
      <c r="P547" s="23"/>
      <c r="Q547" s="23"/>
      <c r="R547" s="72"/>
      <c r="S547" s="72"/>
      <c r="T547" s="23"/>
      <c r="U547" s="40"/>
      <c r="V547" s="23"/>
      <c r="W547" s="72"/>
      <c r="X547" s="23"/>
      <c r="Y547" s="40"/>
      <c r="Z547" s="23"/>
      <c r="AA547" s="72"/>
      <c r="AB547" s="23"/>
      <c r="AC547" s="40"/>
      <c r="AD547" s="23"/>
      <c r="AE547" s="23"/>
    </row>
    <row r="548" spans="1:31" ht="12.75">
      <c r="A548" s="23"/>
      <c r="B548" s="64"/>
      <c r="C548" s="62"/>
      <c r="D548" s="92"/>
      <c r="E548" s="65"/>
      <c r="F548" s="65"/>
      <c r="G548" s="67"/>
      <c r="H548" s="67"/>
      <c r="I548" s="71"/>
      <c r="J548" s="70"/>
      <c r="K548" s="23"/>
      <c r="L548" s="70"/>
      <c r="M548" s="70"/>
      <c r="N548" s="70"/>
      <c r="O548" s="40"/>
      <c r="P548" s="23"/>
      <c r="Q548" s="23"/>
      <c r="R548" s="72"/>
      <c r="S548" s="72"/>
      <c r="T548" s="23"/>
      <c r="U548" s="40"/>
      <c r="V548" s="23"/>
      <c r="W548" s="72"/>
      <c r="X548" s="23"/>
      <c r="Y548" s="40"/>
      <c r="Z548" s="23"/>
      <c r="AA548" s="72"/>
      <c r="AB548" s="23"/>
      <c r="AC548" s="40"/>
      <c r="AD548" s="23"/>
      <c r="AE548" s="23"/>
    </row>
    <row r="549" spans="1:31" ht="12.75">
      <c r="A549" s="23"/>
      <c r="B549" s="64"/>
      <c r="C549" s="62"/>
      <c r="D549" s="92"/>
      <c r="E549" s="65"/>
      <c r="F549" s="65"/>
      <c r="G549" s="67"/>
      <c r="H549" s="67"/>
      <c r="I549" s="71"/>
      <c r="J549" s="70"/>
      <c r="K549" s="23"/>
      <c r="L549" s="70"/>
      <c r="M549" s="70"/>
      <c r="N549" s="70"/>
      <c r="O549" s="40"/>
      <c r="P549" s="23"/>
      <c r="Q549" s="23"/>
      <c r="R549" s="72"/>
      <c r="S549" s="72"/>
      <c r="T549" s="23"/>
      <c r="U549" s="40"/>
      <c r="V549" s="23"/>
      <c r="W549" s="72"/>
      <c r="X549" s="23"/>
      <c r="Y549" s="40"/>
      <c r="Z549" s="23"/>
      <c r="AA549" s="72"/>
      <c r="AB549" s="23"/>
      <c r="AC549" s="40"/>
      <c r="AD549" s="23"/>
      <c r="AE549" s="23"/>
    </row>
    <row r="550" spans="1:31" ht="12.75">
      <c r="A550" s="23"/>
      <c r="B550" s="64"/>
      <c r="C550" s="62"/>
      <c r="D550" s="92"/>
      <c r="E550" s="65"/>
      <c r="F550" s="65"/>
      <c r="G550" s="67"/>
      <c r="H550" s="67"/>
      <c r="I550" s="71"/>
      <c r="J550" s="70"/>
      <c r="K550" s="23"/>
      <c r="L550" s="70"/>
      <c r="M550" s="70"/>
      <c r="N550" s="70"/>
      <c r="O550" s="40"/>
      <c r="P550" s="23"/>
      <c r="Q550" s="23"/>
      <c r="R550" s="72"/>
      <c r="S550" s="72"/>
      <c r="T550" s="23"/>
      <c r="U550" s="40"/>
      <c r="V550" s="23"/>
      <c r="W550" s="72"/>
      <c r="X550" s="23"/>
      <c r="Y550" s="40"/>
      <c r="Z550" s="23"/>
      <c r="AA550" s="72"/>
      <c r="AB550" s="23"/>
      <c r="AC550" s="40"/>
      <c r="AD550" s="23"/>
      <c r="AE550" s="23"/>
    </row>
    <row r="551" spans="1:31" ht="12.75">
      <c r="A551" s="23"/>
      <c r="B551" s="64"/>
      <c r="C551" s="62"/>
      <c r="D551" s="92"/>
      <c r="E551" s="65"/>
      <c r="F551" s="65"/>
      <c r="G551" s="67"/>
      <c r="H551" s="67"/>
      <c r="I551" s="71"/>
      <c r="J551" s="70"/>
      <c r="K551" s="23"/>
      <c r="L551" s="70"/>
      <c r="M551" s="70"/>
      <c r="N551" s="70"/>
      <c r="O551" s="40"/>
      <c r="P551" s="23"/>
      <c r="Q551" s="23"/>
      <c r="R551" s="72"/>
      <c r="S551" s="72"/>
      <c r="T551" s="23"/>
      <c r="U551" s="40"/>
      <c r="V551" s="23"/>
      <c r="W551" s="72"/>
      <c r="X551" s="23"/>
      <c r="Y551" s="40"/>
      <c r="Z551" s="23"/>
      <c r="AA551" s="72"/>
      <c r="AB551" s="23"/>
      <c r="AC551" s="40"/>
      <c r="AD551" s="23"/>
      <c r="AE551" s="23"/>
    </row>
    <row r="552" spans="1:31" ht="12.75">
      <c r="A552" s="23"/>
      <c r="B552" s="64"/>
      <c r="C552" s="62"/>
      <c r="D552" s="92"/>
      <c r="E552" s="65"/>
      <c r="F552" s="65"/>
      <c r="G552" s="67"/>
      <c r="H552" s="67"/>
      <c r="I552" s="71"/>
      <c r="J552" s="70"/>
      <c r="K552" s="23"/>
      <c r="L552" s="70"/>
      <c r="M552" s="70"/>
      <c r="N552" s="70"/>
      <c r="O552" s="40"/>
      <c r="P552" s="23"/>
      <c r="Q552" s="23"/>
      <c r="R552" s="72"/>
      <c r="S552" s="72"/>
      <c r="T552" s="23"/>
      <c r="U552" s="40"/>
      <c r="V552" s="23"/>
      <c r="W552" s="72"/>
      <c r="X552" s="23"/>
      <c r="Y552" s="40"/>
      <c r="Z552" s="23"/>
      <c r="AA552" s="72"/>
      <c r="AB552" s="23"/>
      <c r="AC552" s="40"/>
      <c r="AD552" s="23"/>
      <c r="AE552" s="23"/>
    </row>
    <row r="553" spans="1:31" ht="12.75">
      <c r="A553" s="23"/>
      <c r="B553" s="64"/>
      <c r="C553" s="62"/>
      <c r="D553" s="92"/>
      <c r="E553" s="65"/>
      <c r="F553" s="65"/>
      <c r="G553" s="67"/>
      <c r="H553" s="67"/>
      <c r="I553" s="71"/>
      <c r="J553" s="70"/>
      <c r="K553" s="23"/>
      <c r="L553" s="70"/>
      <c r="M553" s="70"/>
      <c r="N553" s="70"/>
      <c r="O553" s="40"/>
      <c r="P553" s="23"/>
      <c r="Q553" s="23"/>
      <c r="R553" s="72"/>
      <c r="S553" s="72"/>
      <c r="T553" s="23"/>
      <c r="U553" s="40"/>
      <c r="V553" s="23"/>
      <c r="W553" s="72"/>
      <c r="X553" s="23"/>
      <c r="Y553" s="40"/>
      <c r="Z553" s="23"/>
      <c r="AA553" s="72"/>
      <c r="AB553" s="23"/>
      <c r="AC553" s="40"/>
      <c r="AD553" s="23"/>
      <c r="AE553" s="23"/>
    </row>
    <row r="554" spans="1:31" ht="12.75">
      <c r="A554" s="23"/>
      <c r="B554" s="64"/>
      <c r="C554" s="62"/>
      <c r="D554" s="92"/>
      <c r="E554" s="65"/>
      <c r="F554" s="65"/>
      <c r="G554" s="67"/>
      <c r="H554" s="67"/>
      <c r="I554" s="71"/>
      <c r="J554" s="70"/>
      <c r="K554" s="23"/>
      <c r="L554" s="70"/>
      <c r="M554" s="70"/>
      <c r="N554" s="70"/>
      <c r="O554" s="40"/>
      <c r="P554" s="23"/>
      <c r="Q554" s="23"/>
      <c r="R554" s="72"/>
      <c r="S554" s="72"/>
      <c r="T554" s="23"/>
      <c r="U554" s="40"/>
      <c r="V554" s="23"/>
      <c r="W554" s="72"/>
      <c r="X554" s="23"/>
      <c r="Y554" s="40"/>
      <c r="Z554" s="23"/>
      <c r="AA554" s="72"/>
      <c r="AB554" s="23"/>
      <c r="AC554" s="40"/>
      <c r="AD554" s="23"/>
      <c r="AE554" s="23"/>
    </row>
    <row r="555" spans="1:31" ht="12.75">
      <c r="A555" s="23"/>
      <c r="B555" s="64"/>
      <c r="C555" s="62"/>
      <c r="D555" s="92"/>
      <c r="E555" s="65"/>
      <c r="F555" s="65"/>
      <c r="G555" s="67"/>
      <c r="H555" s="67"/>
      <c r="I555" s="71"/>
      <c r="J555" s="70"/>
      <c r="K555" s="23"/>
      <c r="L555" s="70"/>
      <c r="M555" s="70"/>
      <c r="N555" s="70"/>
      <c r="O555" s="40"/>
      <c r="P555" s="23"/>
      <c r="Q555" s="23"/>
      <c r="R555" s="72"/>
      <c r="S555" s="72"/>
      <c r="T555" s="23"/>
      <c r="U555" s="40"/>
      <c r="V555" s="23"/>
      <c r="W555" s="72"/>
      <c r="X555" s="23"/>
      <c r="Y555" s="40"/>
      <c r="Z555" s="23"/>
      <c r="AA555" s="72"/>
      <c r="AB555" s="23"/>
      <c r="AC555" s="40"/>
      <c r="AD555" s="23"/>
      <c r="AE555" s="23"/>
    </row>
    <row r="556" spans="1:31" ht="12.75">
      <c r="A556" s="23"/>
      <c r="B556" s="64"/>
      <c r="C556" s="62"/>
      <c r="D556" s="92"/>
      <c r="E556" s="65"/>
      <c r="F556" s="65"/>
      <c r="G556" s="67"/>
      <c r="H556" s="67"/>
      <c r="I556" s="71"/>
      <c r="J556" s="70"/>
      <c r="K556" s="23"/>
      <c r="L556" s="70"/>
      <c r="M556" s="70"/>
      <c r="N556" s="70"/>
      <c r="O556" s="40"/>
      <c r="P556" s="23"/>
      <c r="Q556" s="23"/>
      <c r="R556" s="72"/>
      <c r="S556" s="72"/>
      <c r="T556" s="23"/>
      <c r="U556" s="40"/>
      <c r="V556" s="23"/>
      <c r="W556" s="72"/>
      <c r="X556" s="23"/>
      <c r="Y556" s="40"/>
      <c r="Z556" s="23"/>
      <c r="AA556" s="72"/>
      <c r="AB556" s="23"/>
      <c r="AC556" s="40"/>
      <c r="AD556" s="23"/>
      <c r="AE556" s="23"/>
    </row>
    <row r="557" spans="1:31" ht="12.75">
      <c r="A557" s="23"/>
      <c r="B557" s="64"/>
      <c r="C557" s="62"/>
      <c r="D557" s="92"/>
      <c r="E557" s="65"/>
      <c r="F557" s="65"/>
      <c r="G557" s="67"/>
      <c r="H557" s="67"/>
      <c r="I557" s="71"/>
      <c r="J557" s="70"/>
      <c r="K557" s="23"/>
      <c r="L557" s="70"/>
      <c r="M557" s="70"/>
      <c r="N557" s="70"/>
      <c r="O557" s="40"/>
      <c r="P557" s="23"/>
      <c r="Q557" s="23"/>
      <c r="R557" s="72"/>
      <c r="S557" s="72"/>
      <c r="T557" s="23"/>
      <c r="U557" s="40"/>
      <c r="V557" s="23"/>
      <c r="W557" s="72"/>
      <c r="X557" s="23"/>
      <c r="Y557" s="40"/>
      <c r="Z557" s="23"/>
      <c r="AA557" s="72"/>
      <c r="AB557" s="23"/>
      <c r="AC557" s="40"/>
      <c r="AD557" s="23"/>
      <c r="AE557" s="23"/>
    </row>
    <row r="558" spans="1:31" ht="12" customHeight="1">
      <c r="A558" s="23"/>
      <c r="B558" s="40"/>
      <c r="C558" s="40"/>
      <c r="D558" s="92"/>
      <c r="E558" s="65"/>
      <c r="F558" s="65"/>
      <c r="G558" s="67"/>
      <c r="H558" s="67"/>
      <c r="I558" s="71"/>
      <c r="J558" s="70"/>
      <c r="K558" s="23"/>
      <c r="L558" s="70"/>
      <c r="M558" s="70"/>
      <c r="N558" s="70"/>
      <c r="O558" s="23"/>
      <c r="P558" s="23"/>
      <c r="Q558" s="23"/>
      <c r="R558" s="72"/>
      <c r="S558" s="23"/>
      <c r="T558" s="23"/>
      <c r="U558" s="23"/>
      <c r="V558" s="23"/>
      <c r="W558" s="23"/>
      <c r="X558" s="23"/>
      <c r="Y558" s="23"/>
      <c r="Z558" s="23"/>
      <c r="AA558" s="23"/>
      <c r="AB558" s="23"/>
      <c r="AC558" s="23"/>
      <c r="AD558" s="23"/>
      <c r="AE558" s="23"/>
    </row>
    <row r="559" spans="1:31" ht="12" customHeight="1">
      <c r="A559" s="23"/>
      <c r="B559" s="40"/>
      <c r="C559" s="40"/>
      <c r="D559" s="92"/>
      <c r="E559" s="65"/>
      <c r="F559" s="65"/>
      <c r="G559" s="67"/>
      <c r="H559" s="67"/>
      <c r="I559" s="71"/>
      <c r="J559" s="70"/>
      <c r="K559" s="23"/>
      <c r="L559" s="70"/>
      <c r="M559" s="70"/>
      <c r="N559" s="70"/>
      <c r="O559" s="23"/>
      <c r="P559" s="23"/>
      <c r="Q559" s="23"/>
      <c r="R559" s="72"/>
      <c r="S559" s="23"/>
      <c r="T559" s="23"/>
      <c r="U559" s="23"/>
      <c r="V559" s="23"/>
      <c r="W559" s="23"/>
      <c r="X559" s="23"/>
      <c r="Y559" s="23"/>
      <c r="Z559" s="23"/>
      <c r="AA559" s="23"/>
      <c r="AB559" s="23"/>
      <c r="AC559" s="23"/>
      <c r="AD559" s="23"/>
      <c r="AE559" s="23"/>
    </row>
    <row r="560" spans="1:31" ht="12" customHeight="1">
      <c r="A560" s="23"/>
      <c r="B560" s="40"/>
      <c r="C560" s="40"/>
      <c r="D560" s="92"/>
      <c r="E560" s="65"/>
      <c r="F560" s="65"/>
      <c r="G560" s="67"/>
      <c r="H560" s="67"/>
      <c r="I560" s="71"/>
      <c r="J560" s="70"/>
      <c r="K560" s="23"/>
      <c r="L560" s="70"/>
      <c r="M560" s="70"/>
      <c r="N560" s="70"/>
      <c r="O560" s="23"/>
      <c r="P560" s="23"/>
      <c r="Q560" s="23"/>
      <c r="R560" s="72"/>
      <c r="S560" s="23"/>
      <c r="T560" s="23"/>
      <c r="U560" s="23"/>
      <c r="V560" s="23"/>
      <c r="W560" s="23"/>
      <c r="X560" s="23"/>
      <c r="Y560" s="23"/>
      <c r="Z560" s="23"/>
      <c r="AA560" s="23"/>
      <c r="AB560" s="23"/>
      <c r="AC560" s="23"/>
      <c r="AD560" s="23"/>
      <c r="AE560" s="23"/>
    </row>
    <row r="561" spans="1:31" ht="12" customHeight="1">
      <c r="A561" s="23"/>
      <c r="B561" s="40"/>
      <c r="C561" s="40"/>
      <c r="D561" s="92"/>
      <c r="E561" s="65"/>
      <c r="F561" s="65"/>
      <c r="G561" s="67"/>
      <c r="H561" s="67"/>
      <c r="I561" s="71"/>
      <c r="J561" s="70"/>
      <c r="K561" s="23"/>
      <c r="L561" s="70"/>
      <c r="M561" s="70"/>
      <c r="N561" s="70"/>
      <c r="O561" s="23"/>
      <c r="P561" s="23"/>
      <c r="Q561" s="23"/>
      <c r="R561" s="72"/>
      <c r="S561" s="23"/>
      <c r="T561" s="23"/>
      <c r="U561" s="23"/>
      <c r="V561" s="23"/>
      <c r="W561" s="23"/>
      <c r="X561" s="23"/>
      <c r="Y561" s="23"/>
      <c r="Z561" s="23"/>
      <c r="AA561" s="23"/>
      <c r="AB561" s="23"/>
      <c r="AC561" s="23"/>
      <c r="AD561" s="23"/>
      <c r="AE561" s="23"/>
    </row>
    <row r="562" spans="1:31" ht="12" customHeight="1">
      <c r="A562" s="23"/>
      <c r="B562" s="40"/>
      <c r="C562" s="40"/>
      <c r="D562" s="92"/>
      <c r="E562" s="65"/>
      <c r="F562" s="65"/>
      <c r="G562" s="67"/>
      <c r="H562" s="67"/>
      <c r="I562" s="71"/>
      <c r="J562" s="70"/>
      <c r="K562" s="23"/>
      <c r="L562" s="70"/>
      <c r="M562" s="70"/>
      <c r="N562" s="70"/>
      <c r="O562" s="23"/>
      <c r="P562" s="23"/>
      <c r="Q562" s="23"/>
      <c r="R562" s="72"/>
      <c r="S562" s="23"/>
      <c r="T562" s="23"/>
      <c r="U562" s="23"/>
      <c r="V562" s="23"/>
      <c r="W562" s="23"/>
      <c r="X562" s="23"/>
      <c r="Y562" s="23"/>
      <c r="Z562" s="23"/>
      <c r="AA562" s="23"/>
      <c r="AB562" s="23"/>
      <c r="AC562" s="23"/>
      <c r="AD562" s="23"/>
      <c r="AE562" s="23"/>
    </row>
    <row r="563" spans="1:31" ht="12" customHeight="1">
      <c r="A563" s="23"/>
      <c r="B563" s="40"/>
      <c r="C563" s="40"/>
      <c r="D563" s="92"/>
      <c r="E563" s="65"/>
      <c r="F563" s="65"/>
      <c r="G563" s="67"/>
      <c r="H563" s="67"/>
      <c r="I563" s="71"/>
      <c r="J563" s="70"/>
      <c r="K563" s="23"/>
      <c r="L563" s="70"/>
      <c r="M563" s="70"/>
      <c r="N563" s="70"/>
      <c r="O563" s="23"/>
      <c r="P563" s="23"/>
      <c r="Q563" s="23"/>
      <c r="R563" s="72"/>
      <c r="S563" s="23"/>
      <c r="T563" s="23"/>
      <c r="U563" s="23"/>
      <c r="V563" s="23"/>
      <c r="W563" s="23"/>
      <c r="X563" s="23"/>
      <c r="Y563" s="23"/>
      <c r="Z563" s="23"/>
      <c r="AA563" s="23"/>
      <c r="AB563" s="23"/>
      <c r="AC563" s="23"/>
      <c r="AD563" s="23"/>
      <c r="AE563" s="23"/>
    </row>
    <row r="564" spans="1:31" ht="12" customHeight="1">
      <c r="A564" s="23"/>
      <c r="B564" s="40"/>
      <c r="C564" s="40"/>
      <c r="D564" s="92"/>
      <c r="E564" s="65"/>
      <c r="F564" s="65"/>
      <c r="G564" s="67"/>
      <c r="H564" s="67"/>
      <c r="I564" s="71"/>
      <c r="J564" s="70"/>
      <c r="K564" s="23"/>
      <c r="L564" s="70"/>
      <c r="M564" s="70"/>
      <c r="N564" s="70"/>
      <c r="O564" s="23"/>
      <c r="P564" s="23"/>
      <c r="Q564" s="23"/>
      <c r="R564" s="72"/>
      <c r="S564" s="23"/>
      <c r="T564" s="23"/>
      <c r="U564" s="23"/>
      <c r="V564" s="23"/>
      <c r="W564" s="23"/>
      <c r="X564" s="23"/>
      <c r="Y564" s="23"/>
      <c r="Z564" s="23"/>
      <c r="AA564" s="23"/>
      <c r="AB564" s="23"/>
      <c r="AC564" s="23"/>
      <c r="AD564" s="23"/>
      <c r="AE564" s="23"/>
    </row>
    <row r="565" spans="1:31" ht="12" customHeight="1">
      <c r="A565" s="23"/>
      <c r="B565" s="40"/>
      <c r="C565" s="40"/>
      <c r="D565" s="92"/>
      <c r="E565" s="65"/>
      <c r="F565" s="65"/>
      <c r="G565" s="67"/>
      <c r="H565" s="67"/>
      <c r="I565" s="71"/>
      <c r="J565" s="70"/>
      <c r="K565" s="23"/>
      <c r="L565" s="70"/>
      <c r="M565" s="70"/>
      <c r="N565" s="70"/>
      <c r="O565" s="23"/>
      <c r="P565" s="23"/>
      <c r="Q565" s="23"/>
      <c r="R565" s="72"/>
      <c r="S565" s="23"/>
      <c r="T565" s="23"/>
      <c r="U565" s="23"/>
      <c r="V565" s="23"/>
      <c r="W565" s="23"/>
      <c r="X565" s="23"/>
      <c r="Y565" s="23"/>
      <c r="Z565" s="23"/>
      <c r="AA565" s="23"/>
      <c r="AB565" s="23"/>
      <c r="AC565" s="23"/>
      <c r="AD565" s="23"/>
      <c r="AE565" s="23"/>
    </row>
    <row r="566" spans="1:31" ht="12" customHeight="1">
      <c r="A566" s="23"/>
      <c r="B566" s="40"/>
      <c r="C566" s="40"/>
      <c r="D566" s="92"/>
      <c r="E566" s="65"/>
      <c r="F566" s="65"/>
      <c r="G566" s="67"/>
      <c r="H566" s="67"/>
      <c r="I566" s="71"/>
      <c r="J566" s="70"/>
      <c r="K566" s="23"/>
      <c r="L566" s="70"/>
      <c r="M566" s="70"/>
      <c r="N566" s="70"/>
      <c r="O566" s="23"/>
      <c r="P566" s="23"/>
      <c r="Q566" s="23"/>
      <c r="R566" s="72"/>
      <c r="S566" s="23"/>
      <c r="T566" s="23"/>
      <c r="U566" s="23"/>
      <c r="V566" s="23"/>
      <c r="W566" s="23"/>
      <c r="X566" s="23"/>
      <c r="Y566" s="23"/>
      <c r="Z566" s="23"/>
      <c r="AA566" s="23"/>
      <c r="AB566" s="23"/>
      <c r="AC566" s="23"/>
      <c r="AD566" s="23"/>
      <c r="AE566" s="23"/>
    </row>
    <row r="567" spans="1:31" ht="12" customHeight="1">
      <c r="A567" s="23"/>
      <c r="B567" s="40"/>
      <c r="C567" s="40"/>
      <c r="D567" s="92"/>
      <c r="E567" s="65"/>
      <c r="F567" s="65"/>
      <c r="G567" s="67"/>
      <c r="H567" s="67"/>
      <c r="I567" s="71"/>
      <c r="J567" s="70"/>
      <c r="K567" s="23"/>
      <c r="L567" s="70"/>
      <c r="M567" s="70"/>
      <c r="N567" s="70"/>
      <c r="O567" s="23"/>
      <c r="P567" s="23"/>
      <c r="Q567" s="23"/>
      <c r="R567" s="72"/>
      <c r="S567" s="23"/>
      <c r="T567" s="23"/>
      <c r="U567" s="23"/>
      <c r="V567" s="23"/>
      <c r="W567" s="23"/>
      <c r="X567" s="23"/>
      <c r="Y567" s="23"/>
      <c r="Z567" s="23"/>
      <c r="AA567" s="23"/>
      <c r="AB567" s="23"/>
      <c r="AC567" s="23"/>
      <c r="AD567" s="23"/>
      <c r="AE567" s="23"/>
    </row>
    <row r="568" spans="1:31" ht="12" customHeight="1">
      <c r="A568" s="23"/>
      <c r="B568" s="40"/>
      <c r="C568" s="40"/>
      <c r="D568" s="92"/>
      <c r="E568" s="65"/>
      <c r="F568" s="65"/>
      <c r="G568" s="67"/>
      <c r="H568" s="67"/>
      <c r="I568" s="71"/>
      <c r="J568" s="70"/>
      <c r="K568" s="23"/>
      <c r="L568" s="70"/>
      <c r="M568" s="70"/>
      <c r="N568" s="70"/>
      <c r="O568" s="23"/>
      <c r="P568" s="23"/>
      <c r="Q568" s="23"/>
      <c r="R568" s="72"/>
      <c r="S568" s="23"/>
      <c r="T568" s="23"/>
      <c r="U568" s="23"/>
      <c r="V568" s="23"/>
      <c r="W568" s="23"/>
      <c r="X568" s="23"/>
      <c r="Y568" s="23"/>
      <c r="Z568" s="23"/>
      <c r="AA568" s="23"/>
      <c r="AB568" s="23"/>
      <c r="AC568" s="23"/>
      <c r="AD568" s="23"/>
      <c r="AE568" s="23"/>
    </row>
    <row r="569" spans="1:31" ht="12" customHeight="1">
      <c r="A569" s="23"/>
      <c r="B569" s="40"/>
      <c r="C569" s="40"/>
      <c r="D569" s="92"/>
      <c r="E569" s="65"/>
      <c r="F569" s="65"/>
      <c r="G569" s="67"/>
      <c r="H569" s="67"/>
      <c r="I569" s="71"/>
      <c r="J569" s="70"/>
      <c r="K569" s="23"/>
      <c r="L569" s="70"/>
      <c r="M569" s="70"/>
      <c r="N569" s="70"/>
      <c r="O569" s="23"/>
      <c r="P569" s="23"/>
      <c r="Q569" s="23"/>
      <c r="R569" s="72"/>
      <c r="S569" s="23"/>
      <c r="T569" s="23"/>
      <c r="U569" s="23"/>
      <c r="V569" s="23"/>
      <c r="W569" s="23"/>
      <c r="X569" s="23"/>
      <c r="Y569" s="23"/>
      <c r="Z569" s="23"/>
      <c r="AA569" s="23"/>
      <c r="AB569" s="23"/>
      <c r="AC569" s="23"/>
      <c r="AD569" s="23"/>
      <c r="AE569" s="23"/>
    </row>
    <row r="570" spans="1:31" ht="12" customHeight="1">
      <c r="A570" s="23"/>
      <c r="B570" s="40"/>
      <c r="C570" s="40"/>
      <c r="D570" s="92"/>
      <c r="E570" s="65"/>
      <c r="F570" s="65"/>
      <c r="G570" s="67"/>
      <c r="H570" s="67"/>
      <c r="I570" s="71"/>
      <c r="J570" s="70"/>
      <c r="K570" s="23"/>
      <c r="L570" s="70"/>
      <c r="M570" s="70"/>
      <c r="N570" s="70"/>
      <c r="O570" s="23"/>
      <c r="P570" s="23"/>
      <c r="Q570" s="23"/>
      <c r="R570" s="72"/>
      <c r="S570" s="23"/>
      <c r="T570" s="23"/>
      <c r="U570" s="23"/>
      <c r="V570" s="23"/>
      <c r="W570" s="23"/>
      <c r="X570" s="23"/>
      <c r="Y570" s="23"/>
      <c r="Z570" s="23"/>
      <c r="AA570" s="23"/>
      <c r="AB570" s="23"/>
      <c r="AC570" s="23"/>
      <c r="AD570" s="23"/>
      <c r="AE570" s="23"/>
    </row>
    <row r="571" spans="1:31" ht="12" customHeight="1">
      <c r="A571" s="23"/>
      <c r="B571" s="40"/>
      <c r="C571" s="40"/>
      <c r="D571" s="92"/>
      <c r="E571" s="65"/>
      <c r="F571" s="65"/>
      <c r="G571" s="67"/>
      <c r="H571" s="67"/>
      <c r="I571" s="71"/>
      <c r="J571" s="70"/>
      <c r="K571" s="23"/>
      <c r="L571" s="70"/>
      <c r="M571" s="70"/>
      <c r="N571" s="70"/>
      <c r="O571" s="23"/>
      <c r="P571" s="23"/>
      <c r="Q571" s="23"/>
      <c r="R571" s="72"/>
      <c r="S571" s="23"/>
      <c r="T571" s="23"/>
      <c r="U571" s="23"/>
      <c r="V571" s="23"/>
      <c r="W571" s="23"/>
      <c r="X571" s="23"/>
      <c r="Y571" s="23"/>
      <c r="Z571" s="23"/>
      <c r="AA571" s="23"/>
      <c r="AB571" s="23"/>
      <c r="AC571" s="23"/>
      <c r="AD571" s="23"/>
      <c r="AE571" s="23"/>
    </row>
    <row r="572" spans="1:31" ht="12.75">
      <c r="A572" s="23"/>
      <c r="B572" s="40"/>
      <c r="C572" s="40"/>
      <c r="D572" s="92"/>
      <c r="E572" s="65"/>
      <c r="F572" s="65"/>
      <c r="G572" s="67"/>
      <c r="H572" s="67"/>
      <c r="I572" s="40"/>
      <c r="J572" s="70"/>
      <c r="K572" s="23"/>
      <c r="L572" s="70"/>
      <c r="M572" s="70"/>
      <c r="N572" s="23"/>
      <c r="O572" s="23"/>
      <c r="P572" s="23"/>
      <c r="Q572" s="23"/>
      <c r="R572" s="72"/>
      <c r="S572" s="23"/>
      <c r="T572" s="23"/>
      <c r="U572" s="23"/>
      <c r="V572" s="23"/>
      <c r="W572" s="23"/>
      <c r="X572" s="23"/>
      <c r="Y572" s="23"/>
      <c r="Z572" s="23"/>
      <c r="AA572" s="23"/>
      <c r="AB572" s="23"/>
      <c r="AC572" s="23"/>
      <c r="AD572" s="23"/>
      <c r="AE572" s="23"/>
    </row>
    <row r="573" spans="1:31" ht="12.75">
      <c r="A573" s="23"/>
      <c r="B573" s="40"/>
      <c r="C573" s="40"/>
      <c r="D573" s="92"/>
      <c r="E573" s="65"/>
      <c r="F573" s="65"/>
      <c r="G573" s="67"/>
      <c r="H573" s="67"/>
      <c r="I573" s="40"/>
      <c r="J573" s="70"/>
      <c r="K573" s="23"/>
      <c r="L573" s="70"/>
      <c r="M573" s="70"/>
      <c r="N573" s="23"/>
      <c r="O573" s="23"/>
      <c r="P573" s="23"/>
      <c r="Q573" s="23"/>
      <c r="R573" s="72"/>
      <c r="S573" s="23"/>
      <c r="T573" s="23"/>
      <c r="U573" s="23"/>
      <c r="V573" s="23"/>
      <c r="W573" s="23"/>
      <c r="X573" s="23"/>
      <c r="Y573" s="23"/>
      <c r="Z573" s="23"/>
      <c r="AA573" s="23"/>
      <c r="AB573" s="23"/>
      <c r="AC573" s="23"/>
      <c r="AD573" s="23"/>
      <c r="AE573" s="23"/>
    </row>
    <row r="574" spans="1:31" ht="12.75">
      <c r="A574" s="23"/>
      <c r="B574" s="40"/>
      <c r="C574" s="40"/>
      <c r="D574" s="92"/>
      <c r="E574" s="65"/>
      <c r="F574" s="65"/>
      <c r="G574" s="67"/>
      <c r="H574" s="67"/>
      <c r="I574" s="40"/>
      <c r="J574" s="70"/>
      <c r="K574" s="23"/>
      <c r="L574" s="70"/>
      <c r="M574" s="70"/>
      <c r="N574" s="23"/>
      <c r="O574" s="23"/>
      <c r="P574" s="23"/>
      <c r="Q574" s="23"/>
      <c r="R574" s="72"/>
      <c r="S574" s="23"/>
      <c r="T574" s="23"/>
      <c r="U574" s="23"/>
      <c r="V574" s="23"/>
      <c r="W574" s="23"/>
      <c r="X574" s="23"/>
      <c r="Y574" s="23"/>
      <c r="Z574" s="23"/>
      <c r="AA574" s="23"/>
      <c r="AB574" s="23"/>
      <c r="AC574" s="23"/>
      <c r="AD574" s="23"/>
      <c r="AE574" s="23"/>
    </row>
    <row r="575" spans="1:31" ht="12.75">
      <c r="A575" s="23"/>
      <c r="B575" s="40"/>
      <c r="C575" s="40"/>
      <c r="D575" s="92"/>
      <c r="E575" s="65"/>
      <c r="F575" s="65"/>
      <c r="G575" s="67"/>
      <c r="H575" s="67"/>
      <c r="I575" s="40"/>
      <c r="J575" s="70"/>
      <c r="K575" s="23"/>
      <c r="L575" s="70"/>
      <c r="M575" s="70"/>
      <c r="N575" s="23"/>
      <c r="O575" s="23"/>
      <c r="P575" s="23"/>
      <c r="Q575" s="23"/>
      <c r="R575" s="72"/>
      <c r="S575" s="23"/>
      <c r="T575" s="23"/>
      <c r="U575" s="23"/>
      <c r="V575" s="23"/>
      <c r="W575" s="23"/>
      <c r="X575" s="23"/>
      <c r="Y575" s="23"/>
      <c r="Z575" s="23"/>
      <c r="AA575" s="23"/>
      <c r="AB575" s="23"/>
      <c r="AC575" s="23"/>
      <c r="AD575" s="23"/>
      <c r="AE575" s="23"/>
    </row>
    <row r="576" spans="1:31" ht="12.75">
      <c r="A576" s="23"/>
      <c r="B576" s="40"/>
      <c r="C576" s="40"/>
      <c r="D576" s="92"/>
      <c r="E576" s="65"/>
      <c r="F576" s="65"/>
      <c r="G576" s="67"/>
      <c r="H576" s="67"/>
      <c r="I576" s="40"/>
      <c r="J576" s="70"/>
      <c r="K576" s="23"/>
      <c r="L576" s="70"/>
      <c r="M576" s="70"/>
      <c r="N576" s="23"/>
      <c r="O576" s="23"/>
      <c r="P576" s="23"/>
      <c r="Q576" s="23"/>
      <c r="R576" s="72"/>
      <c r="S576" s="23"/>
      <c r="T576" s="23"/>
      <c r="U576" s="23"/>
      <c r="V576" s="23"/>
      <c r="W576" s="23"/>
      <c r="X576" s="23"/>
      <c r="Y576" s="23"/>
      <c r="Z576" s="23"/>
      <c r="AA576" s="23"/>
      <c r="AB576" s="23"/>
      <c r="AC576" s="23"/>
      <c r="AD576" s="23"/>
      <c r="AE576" s="23"/>
    </row>
    <row r="577" spans="1:31" ht="12.75">
      <c r="A577" s="23"/>
      <c r="B577" s="40"/>
      <c r="C577" s="40"/>
      <c r="D577" s="92"/>
      <c r="E577" s="65"/>
      <c r="F577" s="65"/>
      <c r="G577" s="67"/>
      <c r="H577" s="67"/>
      <c r="I577" s="40"/>
      <c r="J577" s="70"/>
      <c r="K577" s="23"/>
      <c r="L577" s="70"/>
      <c r="M577" s="70"/>
      <c r="N577" s="23"/>
      <c r="O577" s="23"/>
      <c r="P577" s="23"/>
      <c r="Q577" s="23"/>
      <c r="R577" s="72"/>
      <c r="S577" s="23"/>
      <c r="T577" s="23"/>
      <c r="U577" s="23"/>
      <c r="V577" s="23"/>
      <c r="W577" s="23"/>
      <c r="X577" s="23"/>
      <c r="Y577" s="23"/>
      <c r="Z577" s="23"/>
      <c r="AA577" s="23"/>
      <c r="AB577" s="23"/>
      <c r="AC577" s="23"/>
      <c r="AD577" s="23"/>
      <c r="AE577" s="23"/>
    </row>
    <row r="578" spans="1:31" s="56" customFormat="1" ht="12.75">
      <c r="A578" s="73"/>
      <c r="B578" s="85"/>
      <c r="C578" s="85"/>
      <c r="D578" s="100"/>
      <c r="E578" s="100"/>
      <c r="F578" s="76"/>
      <c r="G578" s="99"/>
      <c r="H578" s="73"/>
      <c r="I578" s="85"/>
      <c r="J578" s="86"/>
      <c r="K578" s="73"/>
      <c r="L578" s="86"/>
      <c r="M578" s="86"/>
      <c r="N578" s="73"/>
      <c r="O578" s="73"/>
      <c r="P578" s="73"/>
      <c r="Q578" s="73"/>
      <c r="R578" s="90"/>
      <c r="S578" s="73"/>
      <c r="T578" s="73"/>
      <c r="U578" s="73"/>
      <c r="V578" s="73"/>
      <c r="W578" s="73"/>
      <c r="X578" s="73"/>
      <c r="Y578" s="73"/>
      <c r="Z578" s="73"/>
      <c r="AA578" s="73"/>
      <c r="AB578" s="73"/>
      <c r="AC578" s="73"/>
      <c r="AD578" s="73"/>
      <c r="AE578" s="73"/>
    </row>
    <row r="579" spans="1:31" ht="48.95" customHeight="1">
      <c r="A579" s="23"/>
      <c r="B579" s="64"/>
      <c r="C579" s="62"/>
      <c r="D579" s="65"/>
      <c r="E579" s="65"/>
      <c r="F579" s="65"/>
      <c r="G579" s="67"/>
      <c r="H579" s="67"/>
      <c r="I579" s="71"/>
      <c r="J579" s="70"/>
      <c r="K579" s="23"/>
      <c r="L579" s="70"/>
      <c r="M579" s="70"/>
      <c r="N579" s="70"/>
      <c r="O579" s="40"/>
      <c r="P579" s="23"/>
      <c r="Q579" s="23"/>
      <c r="R579" s="72"/>
      <c r="S579" s="72"/>
      <c r="T579" s="23"/>
      <c r="U579" s="40"/>
      <c r="V579" s="23"/>
      <c r="W579" s="72"/>
      <c r="X579" s="23"/>
      <c r="Y579" s="40"/>
      <c r="Z579" s="23"/>
      <c r="AA579" s="72"/>
      <c r="AB579" s="23"/>
      <c r="AC579" s="40"/>
      <c r="AD579" s="23"/>
      <c r="AE579" s="23"/>
    </row>
    <row r="580" spans="1:31">
      <c r="A580" s="23"/>
      <c r="B580" s="64"/>
      <c r="C580" s="62"/>
      <c r="D580" s="65"/>
      <c r="E580" s="65"/>
      <c r="F580" s="65"/>
      <c r="G580" s="67"/>
      <c r="H580" s="67"/>
      <c r="I580" s="71"/>
      <c r="J580" s="70"/>
      <c r="K580" s="23"/>
      <c r="L580" s="70"/>
      <c r="M580" s="70"/>
      <c r="N580" s="70"/>
      <c r="O580" s="40"/>
      <c r="P580" s="23"/>
      <c r="Q580" s="23"/>
      <c r="R580" s="72"/>
      <c r="S580" s="72"/>
      <c r="T580" s="23"/>
      <c r="U580" s="40"/>
      <c r="V580" s="23"/>
      <c r="W580" s="72"/>
      <c r="X580" s="23"/>
      <c r="Y580" s="40"/>
      <c r="Z580" s="23"/>
      <c r="AA580" s="72"/>
      <c r="AB580" s="23"/>
      <c r="AC580" s="40"/>
      <c r="AD580" s="23"/>
      <c r="AE580" s="23"/>
    </row>
    <row r="581" spans="1:31">
      <c r="A581" s="23"/>
      <c r="B581" s="64"/>
      <c r="C581" s="62"/>
      <c r="D581" s="65"/>
      <c r="E581" s="65"/>
      <c r="F581" s="65"/>
      <c r="G581" s="67"/>
      <c r="H581" s="67"/>
      <c r="I581" s="71"/>
      <c r="J581" s="70"/>
      <c r="K581" s="23"/>
      <c r="L581" s="70"/>
      <c r="M581" s="70"/>
      <c r="N581" s="70"/>
      <c r="O581" s="40"/>
      <c r="P581" s="23"/>
      <c r="Q581" s="23"/>
      <c r="R581" s="72"/>
      <c r="S581" s="72"/>
      <c r="T581" s="23"/>
      <c r="U581" s="40"/>
      <c r="V581" s="23"/>
      <c r="W581" s="72"/>
      <c r="X581" s="23"/>
      <c r="Y581" s="40"/>
      <c r="Z581" s="23"/>
      <c r="AA581" s="72"/>
      <c r="AB581" s="23"/>
      <c r="AC581" s="40"/>
      <c r="AD581" s="23"/>
      <c r="AE581" s="23"/>
    </row>
    <row r="582" spans="1:31" ht="30" customHeight="1">
      <c r="A582" s="23"/>
      <c r="B582" s="64"/>
      <c r="C582" s="62"/>
      <c r="D582" s="65"/>
      <c r="E582" s="65"/>
      <c r="F582" s="65"/>
      <c r="G582" s="67"/>
      <c r="H582" s="67"/>
      <c r="I582" s="71"/>
      <c r="J582" s="70"/>
      <c r="K582" s="23"/>
      <c r="L582" s="70"/>
      <c r="M582" s="70"/>
      <c r="N582" s="70"/>
      <c r="O582" s="40"/>
      <c r="P582" s="23"/>
      <c r="Q582" s="23"/>
      <c r="R582" s="72"/>
      <c r="S582" s="72"/>
      <c r="T582" s="23"/>
      <c r="U582" s="40"/>
      <c r="V582" s="23"/>
      <c r="W582" s="72"/>
      <c r="X582" s="23"/>
      <c r="Y582" s="40"/>
      <c r="Z582" s="23"/>
      <c r="AA582" s="72"/>
      <c r="AB582" s="23"/>
      <c r="AC582" s="40"/>
      <c r="AD582" s="23"/>
      <c r="AE582" s="23"/>
    </row>
    <row r="583" spans="1:31" ht="45.95" customHeight="1">
      <c r="A583" s="23"/>
      <c r="B583" s="64"/>
      <c r="C583" s="62"/>
      <c r="D583" s="65"/>
      <c r="E583" s="65"/>
      <c r="F583" s="65"/>
      <c r="G583" s="67"/>
      <c r="H583" s="67"/>
      <c r="I583" s="71"/>
      <c r="J583" s="70"/>
      <c r="K583" s="23"/>
      <c r="L583" s="70"/>
      <c r="M583" s="70"/>
      <c r="N583" s="70"/>
      <c r="O583" s="40"/>
      <c r="P583" s="23"/>
      <c r="Q583" s="23"/>
      <c r="R583" s="72"/>
      <c r="S583" s="72"/>
      <c r="T583" s="23"/>
      <c r="U583" s="40"/>
      <c r="V583" s="23"/>
      <c r="W583" s="72"/>
      <c r="X583" s="23"/>
      <c r="Y583" s="40"/>
      <c r="Z583" s="23"/>
      <c r="AA583" s="72"/>
      <c r="AB583" s="23"/>
      <c r="AC583" s="40"/>
      <c r="AD583" s="23"/>
      <c r="AE583" s="23"/>
    </row>
    <row r="584" spans="1:31">
      <c r="A584" s="23"/>
      <c r="B584" s="64"/>
      <c r="C584" s="62"/>
      <c r="D584" s="65"/>
      <c r="E584" s="65"/>
      <c r="F584" s="65"/>
      <c r="G584" s="67"/>
      <c r="H584" s="67"/>
      <c r="I584" s="71"/>
      <c r="J584" s="70"/>
      <c r="K584" s="23"/>
      <c r="L584" s="70"/>
      <c r="M584" s="70"/>
      <c r="N584" s="70"/>
      <c r="O584" s="40"/>
      <c r="P584" s="23"/>
      <c r="Q584" s="23"/>
      <c r="R584" s="72"/>
      <c r="S584" s="72"/>
      <c r="T584" s="23"/>
      <c r="U584" s="40"/>
      <c r="V584" s="23"/>
      <c r="W584" s="72"/>
      <c r="X584" s="23"/>
      <c r="Y584" s="40"/>
      <c r="Z584" s="23"/>
      <c r="AA584" s="72"/>
      <c r="AB584" s="23"/>
      <c r="AC584" s="40"/>
      <c r="AD584" s="23"/>
      <c r="AE584" s="23"/>
    </row>
    <row r="585" spans="1:31">
      <c r="A585" s="23"/>
      <c r="B585" s="64"/>
      <c r="C585" s="62"/>
      <c r="D585" s="65"/>
      <c r="E585" s="65"/>
      <c r="F585" s="65"/>
      <c r="G585" s="67"/>
      <c r="H585" s="67"/>
      <c r="I585" s="71"/>
      <c r="J585" s="70"/>
      <c r="K585" s="23"/>
      <c r="L585" s="70"/>
      <c r="M585" s="70"/>
      <c r="N585" s="70"/>
      <c r="O585" s="40"/>
      <c r="P585" s="23"/>
      <c r="Q585" s="23"/>
      <c r="R585" s="72"/>
      <c r="S585" s="72"/>
      <c r="T585" s="23"/>
      <c r="U585" s="40"/>
      <c r="V585" s="23"/>
      <c r="W585" s="72"/>
      <c r="X585" s="23"/>
      <c r="Y585" s="40"/>
      <c r="Z585" s="23"/>
      <c r="AA585" s="72"/>
      <c r="AB585" s="23"/>
      <c r="AC585" s="40"/>
      <c r="AD585" s="23"/>
      <c r="AE585" s="23"/>
    </row>
    <row r="586" spans="1:31">
      <c r="A586" s="23"/>
      <c r="B586" s="64"/>
      <c r="C586" s="62"/>
      <c r="D586" s="65"/>
      <c r="E586" s="65"/>
      <c r="F586" s="65"/>
      <c r="G586" s="67"/>
      <c r="H586" s="67"/>
      <c r="I586" s="71"/>
      <c r="J586" s="70"/>
      <c r="K586" s="23"/>
      <c r="L586" s="70"/>
      <c r="M586" s="70"/>
      <c r="N586" s="70"/>
      <c r="O586" s="40"/>
      <c r="P586" s="23"/>
      <c r="Q586" s="23"/>
      <c r="R586" s="72"/>
      <c r="S586" s="72"/>
      <c r="T586" s="23"/>
      <c r="U586" s="40"/>
      <c r="V586" s="23"/>
      <c r="W586" s="72"/>
      <c r="X586" s="23"/>
      <c r="Y586" s="40"/>
      <c r="Z586" s="23"/>
      <c r="AA586" s="72"/>
      <c r="AB586" s="23"/>
      <c r="AC586" s="40"/>
      <c r="AD586" s="23"/>
      <c r="AE586" s="23"/>
    </row>
    <row r="587" spans="1:31">
      <c r="A587" s="23"/>
      <c r="B587" s="64"/>
      <c r="C587" s="62"/>
      <c r="D587" s="65"/>
      <c r="E587" s="65"/>
      <c r="F587" s="65"/>
      <c r="G587" s="67"/>
      <c r="H587" s="67"/>
      <c r="I587" s="71"/>
      <c r="J587" s="70"/>
      <c r="K587" s="23"/>
      <c r="L587" s="70"/>
      <c r="M587" s="70"/>
      <c r="N587" s="70"/>
      <c r="O587" s="40"/>
      <c r="P587" s="23"/>
      <c r="Q587" s="23"/>
      <c r="R587" s="72"/>
      <c r="S587" s="72"/>
      <c r="T587" s="23"/>
      <c r="U587" s="40"/>
      <c r="V587" s="23"/>
      <c r="W587" s="72"/>
      <c r="X587" s="23"/>
      <c r="Y587" s="40"/>
      <c r="Z587" s="23"/>
      <c r="AA587" s="72"/>
      <c r="AB587" s="23"/>
      <c r="AC587" s="40"/>
      <c r="AD587" s="23"/>
      <c r="AE587" s="23"/>
    </row>
    <row r="588" spans="1:31">
      <c r="A588" s="23"/>
      <c r="B588" s="64"/>
      <c r="C588" s="62"/>
      <c r="D588" s="65"/>
      <c r="E588" s="65"/>
      <c r="F588" s="65"/>
      <c r="G588" s="67"/>
      <c r="H588" s="67"/>
      <c r="I588" s="71"/>
      <c r="J588" s="70"/>
      <c r="K588" s="23"/>
      <c r="L588" s="70"/>
      <c r="M588" s="70"/>
      <c r="N588" s="70"/>
      <c r="O588" s="40"/>
      <c r="P588" s="23"/>
      <c r="Q588" s="23"/>
      <c r="R588" s="72"/>
      <c r="S588" s="72"/>
      <c r="T588" s="23"/>
      <c r="U588" s="40"/>
      <c r="V588" s="23"/>
      <c r="W588" s="72"/>
      <c r="X588" s="23"/>
      <c r="Y588" s="40"/>
      <c r="Z588" s="23"/>
      <c r="AA588" s="72"/>
      <c r="AB588" s="23"/>
      <c r="AC588" s="40"/>
      <c r="AD588" s="23"/>
      <c r="AE588" s="23"/>
    </row>
    <row r="589" spans="1:31">
      <c r="A589" s="23"/>
      <c r="B589" s="64"/>
      <c r="C589" s="62"/>
      <c r="D589" s="65"/>
      <c r="E589" s="65"/>
      <c r="F589" s="65"/>
      <c r="G589" s="67"/>
      <c r="H589" s="67"/>
      <c r="I589" s="71"/>
      <c r="J589" s="70"/>
      <c r="K589" s="23"/>
      <c r="L589" s="70"/>
      <c r="M589" s="70"/>
      <c r="N589" s="70"/>
      <c r="O589" s="40"/>
      <c r="P589" s="23"/>
      <c r="Q589" s="23"/>
      <c r="R589" s="72"/>
      <c r="S589" s="72"/>
      <c r="T589" s="23"/>
      <c r="U589" s="40"/>
      <c r="V589" s="23"/>
      <c r="W589" s="72"/>
      <c r="X589" s="23"/>
      <c r="Y589" s="40"/>
      <c r="Z589" s="23"/>
      <c r="AA589" s="72"/>
      <c r="AB589" s="23"/>
      <c r="AC589" s="40"/>
      <c r="AD589" s="23"/>
      <c r="AE589" s="23"/>
    </row>
    <row r="590" spans="1:31">
      <c r="A590" s="23"/>
      <c r="B590" s="64"/>
      <c r="C590" s="62"/>
      <c r="D590" s="65"/>
      <c r="E590" s="65"/>
      <c r="F590" s="65"/>
      <c r="G590" s="67"/>
      <c r="H590" s="67"/>
      <c r="I590" s="71"/>
      <c r="J590" s="70"/>
      <c r="K590" s="23"/>
      <c r="L590" s="70"/>
      <c r="M590" s="70"/>
      <c r="N590" s="70"/>
      <c r="O590" s="40"/>
      <c r="P590" s="23"/>
      <c r="Q590" s="23"/>
      <c r="R590" s="72"/>
      <c r="S590" s="72"/>
      <c r="T590" s="23"/>
      <c r="U590" s="40"/>
      <c r="V590" s="23"/>
      <c r="W590" s="72"/>
      <c r="X590" s="23"/>
      <c r="Y590" s="40"/>
      <c r="Z590" s="23"/>
      <c r="AA590" s="72"/>
      <c r="AB590" s="23"/>
      <c r="AC590" s="40"/>
      <c r="AD590" s="23"/>
      <c r="AE590" s="23"/>
    </row>
    <row r="591" spans="1:31">
      <c r="A591" s="23"/>
      <c r="B591" s="64"/>
      <c r="C591" s="62"/>
      <c r="D591" s="65"/>
      <c r="E591" s="65"/>
      <c r="F591" s="65"/>
      <c r="G591" s="67"/>
      <c r="H591" s="67"/>
      <c r="I591" s="71"/>
      <c r="J591" s="70"/>
      <c r="K591" s="23"/>
      <c r="L591" s="70"/>
      <c r="M591" s="70"/>
      <c r="N591" s="70"/>
      <c r="O591" s="40"/>
      <c r="P591" s="23"/>
      <c r="Q591" s="23"/>
      <c r="R591" s="72"/>
      <c r="S591" s="72"/>
      <c r="T591" s="23"/>
      <c r="U591" s="40"/>
      <c r="V591" s="23"/>
      <c r="W591" s="72"/>
      <c r="X591" s="23"/>
      <c r="Y591" s="40"/>
      <c r="Z591" s="23"/>
      <c r="AA591" s="72"/>
      <c r="AB591" s="23"/>
      <c r="AC591" s="40"/>
      <c r="AD591" s="23"/>
      <c r="AE591" s="23"/>
    </row>
    <row r="592" spans="1:31">
      <c r="A592" s="23"/>
      <c r="B592" s="64"/>
      <c r="C592" s="62"/>
      <c r="D592" s="65"/>
      <c r="E592" s="65"/>
      <c r="F592" s="65"/>
      <c r="G592" s="67"/>
      <c r="H592" s="67"/>
      <c r="I592" s="71"/>
      <c r="J592" s="70"/>
      <c r="K592" s="23"/>
      <c r="L592" s="70"/>
      <c r="M592" s="70"/>
      <c r="N592" s="70"/>
      <c r="O592" s="40"/>
      <c r="P592" s="23"/>
      <c r="Q592" s="23"/>
      <c r="R592" s="72"/>
      <c r="S592" s="72"/>
      <c r="T592" s="23"/>
      <c r="U592" s="40"/>
      <c r="V592" s="23"/>
      <c r="W592" s="72"/>
      <c r="X592" s="23"/>
      <c r="Y592" s="40"/>
      <c r="Z592" s="23"/>
      <c r="AA592" s="72"/>
      <c r="AB592" s="23"/>
      <c r="AC592" s="40"/>
      <c r="AD592" s="23"/>
      <c r="AE592" s="23"/>
    </row>
    <row r="593" spans="1:31">
      <c r="A593" s="23"/>
      <c r="B593" s="64"/>
      <c r="C593" s="62"/>
      <c r="D593" s="65"/>
      <c r="E593" s="65"/>
      <c r="F593" s="65"/>
      <c r="G593" s="67"/>
      <c r="H593" s="67"/>
      <c r="I593" s="71"/>
      <c r="J593" s="70"/>
      <c r="K593" s="23"/>
      <c r="L593" s="70"/>
      <c r="M593" s="70"/>
      <c r="N593" s="70"/>
      <c r="O593" s="40"/>
      <c r="P593" s="23"/>
      <c r="Q593" s="23"/>
      <c r="R593" s="72"/>
      <c r="S593" s="72"/>
      <c r="T593" s="23"/>
      <c r="U593" s="40"/>
      <c r="V593" s="23"/>
      <c r="W593" s="72"/>
      <c r="X593" s="23"/>
      <c r="Y593" s="40"/>
      <c r="Z593" s="23"/>
      <c r="AA593" s="72"/>
      <c r="AB593" s="23"/>
      <c r="AC593" s="40"/>
      <c r="AD593" s="23"/>
      <c r="AE593" s="23"/>
    </row>
    <row r="594" spans="1:31">
      <c r="A594" s="23"/>
      <c r="B594" s="64"/>
      <c r="C594" s="62"/>
      <c r="D594" s="65"/>
      <c r="E594" s="65"/>
      <c r="F594" s="65"/>
      <c r="G594" s="67"/>
      <c r="H594" s="67"/>
      <c r="I594" s="71"/>
      <c r="J594" s="70"/>
      <c r="K594" s="23"/>
      <c r="L594" s="70"/>
      <c r="M594" s="70"/>
      <c r="N594" s="70"/>
      <c r="O594" s="40"/>
      <c r="P594" s="23"/>
      <c r="Q594" s="23"/>
      <c r="R594" s="72"/>
      <c r="S594" s="72"/>
      <c r="T594" s="23"/>
      <c r="U594" s="40"/>
      <c r="V594" s="23"/>
      <c r="W594" s="72"/>
      <c r="X594" s="23"/>
      <c r="Y594" s="40"/>
      <c r="Z594" s="23"/>
      <c r="AA594" s="72"/>
      <c r="AB594" s="23"/>
      <c r="AC594" s="40"/>
      <c r="AD594" s="23"/>
      <c r="AE594" s="23"/>
    </row>
    <row r="595" spans="1:31">
      <c r="A595" s="23"/>
      <c r="B595" s="64"/>
      <c r="C595" s="62"/>
      <c r="D595" s="65"/>
      <c r="E595" s="65"/>
      <c r="F595" s="65"/>
      <c r="G595" s="67"/>
      <c r="H595" s="67"/>
      <c r="I595" s="71"/>
      <c r="J595" s="70"/>
      <c r="K595" s="23"/>
      <c r="L595" s="70"/>
      <c r="M595" s="70"/>
      <c r="N595" s="70"/>
      <c r="O595" s="40"/>
      <c r="P595" s="23"/>
      <c r="Q595" s="23"/>
      <c r="R595" s="72"/>
      <c r="S595" s="72"/>
      <c r="T595" s="23"/>
      <c r="U595" s="40"/>
      <c r="V595" s="23"/>
      <c r="W595" s="72"/>
      <c r="X595" s="23"/>
      <c r="Y595" s="40"/>
      <c r="Z595" s="23"/>
      <c r="AA595" s="72"/>
      <c r="AB595" s="23"/>
      <c r="AC595" s="40"/>
      <c r="AD595" s="23"/>
      <c r="AE595" s="23"/>
    </row>
    <row r="596" spans="1:31">
      <c r="A596" s="23"/>
      <c r="B596" s="64"/>
      <c r="C596" s="62"/>
      <c r="D596" s="65"/>
      <c r="E596" s="65"/>
      <c r="F596" s="65"/>
      <c r="G596" s="67"/>
      <c r="H596" s="67"/>
      <c r="I596" s="71"/>
      <c r="J596" s="70"/>
      <c r="K596" s="23"/>
      <c r="L596" s="70"/>
      <c r="M596" s="70"/>
      <c r="N596" s="70"/>
      <c r="O596" s="40"/>
      <c r="P596" s="23"/>
      <c r="Q596" s="23"/>
      <c r="R596" s="72"/>
      <c r="S596" s="72"/>
      <c r="T596" s="23"/>
      <c r="U596" s="40"/>
      <c r="V596" s="23"/>
      <c r="W596" s="72"/>
      <c r="X596" s="23"/>
      <c r="Y596" s="40"/>
      <c r="Z596" s="23"/>
      <c r="AA596" s="72"/>
      <c r="AB596" s="23"/>
      <c r="AC596" s="40"/>
      <c r="AD596" s="23"/>
      <c r="AE596" s="23"/>
    </row>
    <row r="597" spans="1:31">
      <c r="A597" s="23"/>
      <c r="B597" s="64"/>
      <c r="C597" s="62"/>
      <c r="D597" s="65"/>
      <c r="E597" s="65"/>
      <c r="F597" s="65"/>
      <c r="G597" s="67"/>
      <c r="H597" s="67"/>
      <c r="I597" s="71"/>
      <c r="J597" s="70"/>
      <c r="K597" s="23"/>
      <c r="L597" s="70"/>
      <c r="M597" s="70"/>
      <c r="N597" s="70"/>
      <c r="O597" s="40"/>
      <c r="P597" s="23"/>
      <c r="Q597" s="23"/>
      <c r="R597" s="72"/>
      <c r="S597" s="72"/>
      <c r="T597" s="23"/>
      <c r="U597" s="40"/>
      <c r="V597" s="23"/>
      <c r="W597" s="72"/>
      <c r="X597" s="23"/>
      <c r="Y597" s="40"/>
      <c r="Z597" s="23"/>
      <c r="AA597" s="72"/>
      <c r="AB597" s="23"/>
      <c r="AC597" s="40"/>
      <c r="AD597" s="23"/>
      <c r="AE597" s="23"/>
    </row>
    <row r="598" spans="1:31">
      <c r="A598" s="23"/>
      <c r="B598" s="64"/>
      <c r="C598" s="62"/>
      <c r="D598" s="65"/>
      <c r="E598" s="65"/>
      <c r="F598" s="65"/>
      <c r="G598" s="67"/>
      <c r="H598" s="67"/>
      <c r="I598" s="71"/>
      <c r="J598" s="70"/>
      <c r="K598" s="23"/>
      <c r="L598" s="70"/>
      <c r="M598" s="70"/>
      <c r="N598" s="70"/>
      <c r="O598" s="40"/>
      <c r="P598" s="23"/>
      <c r="Q598" s="23"/>
      <c r="R598" s="72"/>
      <c r="S598" s="72"/>
      <c r="T598" s="23"/>
      <c r="U598" s="40"/>
      <c r="V598" s="23"/>
      <c r="W598" s="72"/>
      <c r="X598" s="23"/>
      <c r="Y598" s="40"/>
      <c r="Z598" s="23"/>
      <c r="AA598" s="72"/>
      <c r="AB598" s="23"/>
      <c r="AC598" s="40"/>
      <c r="AD598" s="23"/>
      <c r="AE598" s="23"/>
    </row>
    <row r="599" spans="1:31">
      <c r="A599" s="23"/>
      <c r="B599" s="64"/>
      <c r="C599" s="62"/>
      <c r="D599" s="65"/>
      <c r="E599" s="65"/>
      <c r="F599" s="65"/>
      <c r="G599" s="67"/>
      <c r="H599" s="67"/>
      <c r="I599" s="71"/>
      <c r="J599" s="70"/>
      <c r="K599" s="23"/>
      <c r="L599" s="70"/>
      <c r="M599" s="70"/>
      <c r="N599" s="70"/>
      <c r="O599" s="40"/>
      <c r="P599" s="23"/>
      <c r="Q599" s="23"/>
      <c r="R599" s="72"/>
      <c r="S599" s="72"/>
      <c r="T599" s="23"/>
      <c r="U599" s="40"/>
      <c r="V599" s="23"/>
      <c r="W599" s="72"/>
      <c r="X599" s="23"/>
      <c r="Y599" s="40"/>
      <c r="Z599" s="23"/>
      <c r="AA599" s="72"/>
      <c r="AB599" s="23"/>
      <c r="AC599" s="40"/>
      <c r="AD599" s="23"/>
      <c r="AE599" s="23"/>
    </row>
    <row r="600" spans="1:31">
      <c r="A600" s="23"/>
      <c r="B600" s="64"/>
      <c r="C600" s="62"/>
      <c r="D600" s="65"/>
      <c r="E600" s="65"/>
      <c r="F600" s="65"/>
      <c r="G600" s="67"/>
      <c r="H600" s="67"/>
      <c r="I600" s="71"/>
      <c r="J600" s="70"/>
      <c r="K600" s="23"/>
      <c r="L600" s="70"/>
      <c r="M600" s="70"/>
      <c r="N600" s="70"/>
      <c r="O600" s="40"/>
      <c r="P600" s="23"/>
      <c r="Q600" s="23"/>
      <c r="R600" s="72"/>
      <c r="S600" s="72"/>
      <c r="T600" s="23"/>
      <c r="U600" s="40"/>
      <c r="V600" s="23"/>
      <c r="W600" s="72"/>
      <c r="X600" s="23"/>
      <c r="Y600" s="40"/>
      <c r="Z600" s="23"/>
      <c r="AA600" s="72"/>
      <c r="AB600" s="23"/>
      <c r="AC600" s="40"/>
      <c r="AD600" s="23"/>
      <c r="AE600" s="23"/>
    </row>
    <row r="601" spans="1:31">
      <c r="A601" s="23"/>
      <c r="B601" s="64"/>
      <c r="C601" s="62"/>
      <c r="D601" s="65"/>
      <c r="E601" s="65"/>
      <c r="F601" s="65"/>
      <c r="G601" s="67"/>
      <c r="H601" s="67"/>
      <c r="I601" s="71"/>
      <c r="J601" s="70"/>
      <c r="K601" s="23"/>
      <c r="L601" s="70"/>
      <c r="M601" s="70"/>
      <c r="N601" s="70"/>
      <c r="O601" s="40"/>
      <c r="P601" s="23"/>
      <c r="Q601" s="23"/>
      <c r="R601" s="72"/>
      <c r="S601" s="72"/>
      <c r="T601" s="23"/>
      <c r="U601" s="40"/>
      <c r="V601" s="23"/>
      <c r="W601" s="72"/>
      <c r="X601" s="23"/>
      <c r="Y601" s="40"/>
      <c r="Z601" s="23"/>
      <c r="AA601" s="72"/>
      <c r="AB601" s="23"/>
      <c r="AC601" s="40"/>
      <c r="AD601" s="23"/>
      <c r="AE601" s="23"/>
    </row>
    <row r="602" spans="1:31">
      <c r="A602" s="23"/>
      <c r="B602" s="64"/>
      <c r="C602" s="62"/>
      <c r="D602" s="65"/>
      <c r="E602" s="65"/>
      <c r="F602" s="65"/>
      <c r="G602" s="67"/>
      <c r="H602" s="67"/>
      <c r="I602" s="71"/>
      <c r="J602" s="70"/>
      <c r="K602" s="23"/>
      <c r="L602" s="70"/>
      <c r="M602" s="70"/>
      <c r="N602" s="70"/>
      <c r="O602" s="40"/>
      <c r="P602" s="23"/>
      <c r="Q602" s="23"/>
      <c r="R602" s="72"/>
      <c r="S602" s="72"/>
      <c r="T602" s="23"/>
      <c r="U602" s="40"/>
      <c r="V602" s="23"/>
      <c r="W602" s="72"/>
      <c r="X602" s="23"/>
      <c r="Y602" s="40"/>
      <c r="Z602" s="23"/>
      <c r="AA602" s="72"/>
      <c r="AB602" s="23"/>
      <c r="AC602" s="40"/>
      <c r="AD602" s="23"/>
      <c r="AE602" s="23"/>
    </row>
    <row r="603" spans="1:31">
      <c r="A603" s="23"/>
      <c r="B603" s="64"/>
      <c r="C603" s="62"/>
      <c r="D603" s="65"/>
      <c r="E603" s="65"/>
      <c r="F603" s="65"/>
      <c r="G603" s="67"/>
      <c r="H603" s="67"/>
      <c r="I603" s="71"/>
      <c r="J603" s="70"/>
      <c r="K603" s="23"/>
      <c r="L603" s="70"/>
      <c r="M603" s="70"/>
      <c r="N603" s="70"/>
      <c r="O603" s="40"/>
      <c r="P603" s="23"/>
      <c r="Q603" s="23"/>
      <c r="R603" s="72"/>
      <c r="S603" s="72"/>
      <c r="T603" s="23"/>
      <c r="U603" s="40"/>
      <c r="V603" s="23"/>
      <c r="W603" s="72"/>
      <c r="X603" s="23"/>
      <c r="Y603" s="40"/>
      <c r="Z603" s="23"/>
      <c r="AA603" s="72"/>
      <c r="AB603" s="23"/>
      <c r="AC603" s="40"/>
      <c r="AD603" s="23"/>
      <c r="AE603" s="23"/>
    </row>
    <row r="604" spans="1:31">
      <c r="A604" s="23"/>
      <c r="B604" s="64"/>
      <c r="C604" s="62"/>
      <c r="D604" s="65"/>
      <c r="E604" s="65"/>
      <c r="F604" s="65"/>
      <c r="G604" s="67"/>
      <c r="H604" s="67"/>
      <c r="I604" s="71"/>
      <c r="J604" s="70"/>
      <c r="K604" s="23"/>
      <c r="L604" s="70"/>
      <c r="M604" s="70"/>
      <c r="N604" s="70"/>
      <c r="O604" s="40"/>
      <c r="P604" s="23"/>
      <c r="Q604" s="23"/>
      <c r="R604" s="72"/>
      <c r="S604" s="72"/>
      <c r="T604" s="23"/>
      <c r="U604" s="40"/>
      <c r="V604" s="23"/>
      <c r="W604" s="72"/>
      <c r="X604" s="23"/>
      <c r="Y604" s="40"/>
      <c r="Z604" s="23"/>
      <c r="AA604" s="72"/>
      <c r="AB604" s="23"/>
      <c r="AC604" s="40"/>
      <c r="AD604" s="23"/>
      <c r="AE604" s="23"/>
    </row>
    <row r="605" spans="1:31">
      <c r="A605" s="23"/>
      <c r="B605" s="64"/>
      <c r="C605" s="62"/>
      <c r="D605" s="65"/>
      <c r="E605" s="65"/>
      <c r="F605" s="65"/>
      <c r="G605" s="67"/>
      <c r="H605" s="67"/>
      <c r="I605" s="71"/>
      <c r="J605" s="70"/>
      <c r="K605" s="23"/>
      <c r="L605" s="70"/>
      <c r="M605" s="70"/>
      <c r="N605" s="70"/>
      <c r="O605" s="40"/>
      <c r="P605" s="23"/>
      <c r="Q605" s="23"/>
      <c r="R605" s="72"/>
      <c r="S605" s="72"/>
      <c r="T605" s="23"/>
      <c r="U605" s="40"/>
      <c r="V605" s="23"/>
      <c r="W605" s="72"/>
      <c r="X605" s="23"/>
      <c r="Y605" s="40"/>
      <c r="Z605" s="23"/>
      <c r="AA605" s="72"/>
      <c r="AB605" s="23"/>
      <c r="AC605" s="40"/>
      <c r="AD605" s="23"/>
      <c r="AE605" s="23"/>
    </row>
    <row r="606" spans="1:31">
      <c r="A606" s="23"/>
      <c r="B606" s="64"/>
      <c r="C606" s="62"/>
      <c r="D606" s="65"/>
      <c r="E606" s="65"/>
      <c r="F606" s="65"/>
      <c r="G606" s="67"/>
      <c r="H606" s="67"/>
      <c r="I606" s="71"/>
      <c r="J606" s="70"/>
      <c r="K606" s="23"/>
      <c r="L606" s="70"/>
      <c r="M606" s="70"/>
      <c r="N606" s="70"/>
      <c r="O606" s="40"/>
      <c r="P606" s="23"/>
      <c r="Q606" s="23"/>
      <c r="R606" s="72"/>
      <c r="S606" s="72"/>
      <c r="T606" s="23"/>
      <c r="U606" s="40"/>
      <c r="V606" s="23"/>
      <c r="W606" s="72"/>
      <c r="X606" s="23"/>
      <c r="Y606" s="40"/>
      <c r="Z606" s="23"/>
      <c r="AA606" s="72"/>
      <c r="AB606" s="23"/>
      <c r="AC606" s="40"/>
      <c r="AD606" s="23"/>
      <c r="AE606" s="23"/>
    </row>
    <row r="607" spans="1:31">
      <c r="A607" s="23"/>
      <c r="B607" s="64"/>
      <c r="C607" s="62"/>
      <c r="D607" s="65"/>
      <c r="E607" s="65"/>
      <c r="F607" s="65"/>
      <c r="G607" s="67"/>
      <c r="H607" s="67"/>
      <c r="I607" s="71"/>
      <c r="J607" s="70"/>
      <c r="K607" s="23"/>
      <c r="L607" s="70"/>
      <c r="M607" s="70"/>
      <c r="N607" s="70"/>
      <c r="O607" s="40"/>
      <c r="P607" s="23"/>
      <c r="Q607" s="23"/>
      <c r="R607" s="72"/>
      <c r="S607" s="72"/>
      <c r="T607" s="23"/>
      <c r="U607" s="40"/>
      <c r="V607" s="23"/>
      <c r="W607" s="72"/>
      <c r="X607" s="23"/>
      <c r="Y607" s="40"/>
      <c r="Z607" s="23"/>
      <c r="AA607" s="72"/>
      <c r="AB607" s="23"/>
      <c r="AC607" s="40"/>
      <c r="AD607" s="23"/>
      <c r="AE607" s="23"/>
    </row>
    <row r="608" spans="1:31">
      <c r="A608" s="23"/>
      <c r="B608" s="64"/>
      <c r="C608" s="62"/>
      <c r="D608" s="65"/>
      <c r="E608" s="65"/>
      <c r="F608" s="65"/>
      <c r="G608" s="67"/>
      <c r="H608" s="67"/>
      <c r="I608" s="71"/>
      <c r="J608" s="70"/>
      <c r="K608" s="23"/>
      <c r="L608" s="70"/>
      <c r="M608" s="70"/>
      <c r="N608" s="70"/>
      <c r="O608" s="40"/>
      <c r="P608" s="23"/>
      <c r="Q608" s="23"/>
      <c r="R608" s="72"/>
      <c r="S608" s="72"/>
      <c r="T608" s="23"/>
      <c r="U608" s="40"/>
      <c r="V608" s="23"/>
      <c r="W608" s="72"/>
      <c r="X608" s="23"/>
      <c r="Y608" s="40"/>
      <c r="Z608" s="23"/>
      <c r="AA608" s="72"/>
      <c r="AB608" s="23"/>
      <c r="AC608" s="40"/>
      <c r="AD608" s="23"/>
      <c r="AE608" s="23"/>
    </row>
    <row r="609" spans="1:31">
      <c r="A609" s="23"/>
      <c r="B609" s="64"/>
      <c r="C609" s="62"/>
      <c r="D609" s="65"/>
      <c r="E609" s="65"/>
      <c r="F609" s="65"/>
      <c r="G609" s="67"/>
      <c r="H609" s="67"/>
      <c r="I609" s="71"/>
      <c r="J609" s="70"/>
      <c r="K609" s="23"/>
      <c r="L609" s="70"/>
      <c r="M609" s="70"/>
      <c r="N609" s="70"/>
      <c r="O609" s="40"/>
      <c r="P609" s="23"/>
      <c r="Q609" s="23"/>
      <c r="R609" s="72"/>
      <c r="S609" s="72"/>
      <c r="T609" s="23"/>
      <c r="U609" s="40"/>
      <c r="V609" s="23"/>
      <c r="W609" s="72"/>
      <c r="X609" s="23"/>
      <c r="Y609" s="40"/>
      <c r="Z609" s="23"/>
      <c r="AA609" s="72"/>
      <c r="AB609" s="23"/>
      <c r="AC609" s="40"/>
      <c r="AD609" s="23"/>
      <c r="AE609" s="23"/>
    </row>
    <row r="610" spans="1:31">
      <c r="A610" s="23"/>
      <c r="B610" s="64"/>
      <c r="C610" s="62"/>
      <c r="D610" s="65"/>
      <c r="E610" s="65"/>
      <c r="F610" s="65"/>
      <c r="G610" s="67"/>
      <c r="H610" s="67"/>
      <c r="I610" s="71"/>
      <c r="J610" s="70"/>
      <c r="K610" s="23"/>
      <c r="L610" s="70"/>
      <c r="M610" s="70"/>
      <c r="N610" s="70"/>
      <c r="O610" s="40"/>
      <c r="P610" s="23"/>
      <c r="Q610" s="23"/>
      <c r="R610" s="72"/>
      <c r="S610" s="72"/>
      <c r="T610" s="23"/>
      <c r="U610" s="40"/>
      <c r="V610" s="23"/>
      <c r="W610" s="72"/>
      <c r="X610" s="23"/>
      <c r="Y610" s="40"/>
      <c r="Z610" s="23"/>
      <c r="AA610" s="72"/>
      <c r="AB610" s="23"/>
      <c r="AC610" s="40"/>
      <c r="AD610" s="23"/>
      <c r="AE610" s="23"/>
    </row>
    <row r="611" spans="1:31">
      <c r="A611" s="23"/>
      <c r="B611" s="64"/>
      <c r="C611" s="62"/>
      <c r="D611" s="65"/>
      <c r="E611" s="65"/>
      <c r="F611" s="65"/>
      <c r="G611" s="67"/>
      <c r="H611" s="67"/>
      <c r="I611" s="71"/>
      <c r="J611" s="70"/>
      <c r="K611" s="23"/>
      <c r="L611" s="70"/>
      <c r="M611" s="70"/>
      <c r="N611" s="70"/>
      <c r="O611" s="40"/>
      <c r="P611" s="23"/>
      <c r="Q611" s="23"/>
      <c r="R611" s="72"/>
      <c r="S611" s="72"/>
      <c r="T611" s="23"/>
      <c r="U611" s="40"/>
      <c r="V611" s="23"/>
      <c r="W611" s="72"/>
      <c r="X611" s="23"/>
      <c r="Y611" s="40"/>
      <c r="Z611" s="23"/>
      <c r="AA611" s="72"/>
      <c r="AB611" s="23"/>
      <c r="AC611" s="40"/>
      <c r="AD611" s="23"/>
      <c r="AE611" s="23"/>
    </row>
    <row r="612" spans="1:31">
      <c r="A612" s="23"/>
      <c r="B612" s="64"/>
      <c r="C612" s="62"/>
      <c r="D612" s="65"/>
      <c r="E612" s="65"/>
      <c r="F612" s="65"/>
      <c r="G612" s="67"/>
      <c r="H612" s="67"/>
      <c r="I612" s="71"/>
      <c r="J612" s="70"/>
      <c r="K612" s="23"/>
      <c r="L612" s="70"/>
      <c r="M612" s="70"/>
      <c r="N612" s="70"/>
      <c r="O612" s="40"/>
      <c r="P612" s="23"/>
      <c r="Q612" s="23"/>
      <c r="R612" s="72"/>
      <c r="S612" s="72"/>
      <c r="T612" s="23"/>
      <c r="U612" s="40"/>
      <c r="V612" s="23"/>
      <c r="W612" s="72"/>
      <c r="X612" s="23"/>
      <c r="Y612" s="40"/>
      <c r="Z612" s="23"/>
      <c r="AA612" s="72"/>
      <c r="AB612" s="23"/>
      <c r="AC612" s="40"/>
      <c r="AD612" s="23"/>
      <c r="AE612" s="23"/>
    </row>
    <row r="613" spans="1:31">
      <c r="A613" s="23"/>
      <c r="B613" s="64"/>
      <c r="C613" s="62"/>
      <c r="D613" s="65"/>
      <c r="E613" s="65"/>
      <c r="F613" s="65"/>
      <c r="G613" s="67"/>
      <c r="H613" s="67"/>
      <c r="I613" s="71"/>
      <c r="J613" s="70"/>
      <c r="K613" s="23"/>
      <c r="L613" s="70"/>
      <c r="M613" s="70"/>
      <c r="N613" s="70"/>
      <c r="O613" s="40"/>
      <c r="P613" s="23"/>
      <c r="Q613" s="23"/>
      <c r="R613" s="72"/>
      <c r="S613" s="72"/>
      <c r="T613" s="23"/>
      <c r="U613" s="40"/>
      <c r="V613" s="23"/>
      <c r="W613" s="72"/>
      <c r="X613" s="23"/>
      <c r="Y613" s="40"/>
      <c r="Z613" s="23"/>
      <c r="AA613" s="72"/>
      <c r="AB613" s="23"/>
      <c r="AC613" s="40"/>
      <c r="AD613" s="23"/>
      <c r="AE613" s="23"/>
    </row>
    <row r="614" spans="1:31">
      <c r="A614" s="23"/>
      <c r="B614" s="64"/>
      <c r="C614" s="62"/>
      <c r="D614" s="65"/>
      <c r="E614" s="65"/>
      <c r="F614" s="65"/>
      <c r="G614" s="67"/>
      <c r="H614" s="67"/>
      <c r="I614" s="71"/>
      <c r="J614" s="70"/>
      <c r="K614" s="23"/>
      <c r="L614" s="70"/>
      <c r="M614" s="70"/>
      <c r="N614" s="70"/>
      <c r="O614" s="40"/>
      <c r="P614" s="23"/>
      <c r="Q614" s="23"/>
      <c r="R614" s="72"/>
      <c r="S614" s="72"/>
      <c r="T614" s="23"/>
      <c r="U614" s="40"/>
      <c r="V614" s="23"/>
      <c r="W614" s="72"/>
      <c r="X614" s="23"/>
      <c r="Y614" s="40"/>
      <c r="Z614" s="23"/>
      <c r="AA614" s="72"/>
      <c r="AB614" s="23"/>
      <c r="AC614" s="40"/>
      <c r="AD614" s="23"/>
      <c r="AE614" s="23"/>
    </row>
    <row r="615" spans="1:31">
      <c r="A615" s="23"/>
      <c r="B615" s="64"/>
      <c r="C615" s="62"/>
      <c r="D615" s="65"/>
      <c r="E615" s="65"/>
      <c r="F615" s="65"/>
      <c r="G615" s="67"/>
      <c r="H615" s="67"/>
      <c r="I615" s="71"/>
      <c r="J615" s="70"/>
      <c r="K615" s="23"/>
      <c r="L615" s="70"/>
      <c r="M615" s="70"/>
      <c r="N615" s="70"/>
      <c r="O615" s="40"/>
      <c r="P615" s="23"/>
      <c r="Q615" s="23"/>
      <c r="R615" s="72"/>
      <c r="S615" s="72"/>
      <c r="T615" s="23"/>
      <c r="U615" s="40"/>
      <c r="V615" s="23"/>
      <c r="W615" s="72"/>
      <c r="X615" s="23"/>
      <c r="Y615" s="40"/>
      <c r="Z615" s="23"/>
      <c r="AA615" s="72"/>
      <c r="AB615" s="23"/>
      <c r="AC615" s="40"/>
      <c r="AD615" s="23"/>
      <c r="AE615" s="23"/>
    </row>
    <row r="616" spans="1:31">
      <c r="A616" s="23"/>
      <c r="B616" s="64"/>
      <c r="C616" s="62"/>
      <c r="D616" s="65"/>
      <c r="E616" s="65"/>
      <c r="F616" s="65"/>
      <c r="G616" s="67"/>
      <c r="H616" s="67"/>
      <c r="I616" s="71"/>
      <c r="J616" s="70"/>
      <c r="K616" s="23"/>
      <c r="L616" s="70"/>
      <c r="M616" s="70"/>
      <c r="N616" s="70"/>
      <c r="O616" s="40"/>
      <c r="P616" s="23"/>
      <c r="Q616" s="23"/>
      <c r="R616" s="72"/>
      <c r="S616" s="72"/>
      <c r="T616" s="23"/>
      <c r="U616" s="40"/>
      <c r="V616" s="23"/>
      <c r="W616" s="72"/>
      <c r="X616" s="23"/>
      <c r="Y616" s="40"/>
      <c r="Z616" s="23"/>
      <c r="AA616" s="72"/>
      <c r="AB616" s="23"/>
      <c r="AC616" s="40"/>
      <c r="AD616" s="23"/>
      <c r="AE616" s="23"/>
    </row>
    <row r="617" spans="1:31">
      <c r="A617" s="23"/>
      <c r="B617" s="64"/>
      <c r="C617" s="62"/>
      <c r="D617" s="65"/>
      <c r="E617" s="65"/>
      <c r="F617" s="65"/>
      <c r="G617" s="67"/>
      <c r="H617" s="67"/>
      <c r="I617" s="71"/>
      <c r="J617" s="70"/>
      <c r="K617" s="23"/>
      <c r="L617" s="70"/>
      <c r="M617" s="70"/>
      <c r="N617" s="70"/>
      <c r="O617" s="40"/>
      <c r="P617" s="23"/>
      <c r="Q617" s="23"/>
      <c r="R617" s="72"/>
      <c r="S617" s="72"/>
      <c r="T617" s="23"/>
      <c r="U617" s="40"/>
      <c r="V617" s="23"/>
      <c r="W617" s="72"/>
      <c r="X617" s="23"/>
      <c r="Y617" s="40"/>
      <c r="Z617" s="23"/>
      <c r="AA617" s="72"/>
      <c r="AB617" s="23"/>
      <c r="AC617" s="40"/>
      <c r="AD617" s="23"/>
      <c r="AE617" s="23"/>
    </row>
    <row r="618" spans="1:31">
      <c r="A618" s="23"/>
      <c r="B618" s="64"/>
      <c r="C618" s="62"/>
      <c r="D618" s="65"/>
      <c r="E618" s="65"/>
      <c r="F618" s="65"/>
      <c r="G618" s="67"/>
      <c r="H618" s="67"/>
      <c r="I618" s="71"/>
      <c r="J618" s="70"/>
      <c r="K618" s="23"/>
      <c r="L618" s="70"/>
      <c r="M618" s="70"/>
      <c r="N618" s="70"/>
      <c r="O618" s="40"/>
      <c r="P618" s="23"/>
      <c r="Q618" s="23"/>
      <c r="R618" s="72"/>
      <c r="S618" s="72"/>
      <c r="T618" s="23"/>
      <c r="U618" s="40"/>
      <c r="V618" s="23"/>
      <c r="W618" s="72"/>
      <c r="X618" s="23"/>
      <c r="Y618" s="40"/>
      <c r="Z618" s="23"/>
      <c r="AA618" s="72"/>
      <c r="AB618" s="23"/>
      <c r="AC618" s="40"/>
      <c r="AD618" s="23"/>
      <c r="AE618" s="23"/>
    </row>
    <row r="619" spans="1:31">
      <c r="A619" s="23"/>
      <c r="B619" s="64"/>
      <c r="C619" s="62"/>
      <c r="D619" s="65"/>
      <c r="E619" s="65"/>
      <c r="F619" s="65"/>
      <c r="G619" s="67"/>
      <c r="H619" s="67"/>
      <c r="I619" s="71"/>
      <c r="J619" s="70"/>
      <c r="K619" s="23"/>
      <c r="L619" s="70"/>
      <c r="M619" s="70"/>
      <c r="N619" s="70"/>
      <c r="O619" s="40"/>
      <c r="P619" s="23"/>
      <c r="Q619" s="23"/>
      <c r="R619" s="72"/>
      <c r="S619" s="72"/>
      <c r="T619" s="23"/>
      <c r="U619" s="40"/>
      <c r="V619" s="23"/>
      <c r="W619" s="72"/>
      <c r="X619" s="23"/>
      <c r="Y619" s="40"/>
      <c r="Z619" s="23"/>
      <c r="AA619" s="72"/>
      <c r="AB619" s="23"/>
      <c r="AC619" s="40"/>
      <c r="AD619" s="23"/>
      <c r="AE619" s="23"/>
    </row>
    <row r="620" spans="1:31">
      <c r="A620" s="23"/>
      <c r="B620" s="64"/>
      <c r="C620" s="62"/>
      <c r="D620" s="65"/>
      <c r="E620" s="65"/>
      <c r="F620" s="65"/>
      <c r="G620" s="67"/>
      <c r="H620" s="67"/>
      <c r="I620" s="71"/>
      <c r="J620" s="70"/>
      <c r="K620" s="23"/>
      <c r="L620" s="70"/>
      <c r="M620" s="70"/>
      <c r="N620" s="70"/>
      <c r="O620" s="40"/>
      <c r="P620" s="23"/>
      <c r="Q620" s="23"/>
      <c r="R620" s="72"/>
      <c r="S620" s="72"/>
      <c r="T620" s="23"/>
      <c r="U620" s="40"/>
      <c r="V620" s="23"/>
      <c r="W620" s="72"/>
      <c r="X620" s="23"/>
      <c r="Y620" s="40"/>
      <c r="Z620" s="23"/>
      <c r="AA620" s="72"/>
      <c r="AB620" s="23"/>
      <c r="AC620" s="40"/>
      <c r="AD620" s="23"/>
      <c r="AE620" s="23"/>
    </row>
    <row r="621" spans="1:31">
      <c r="A621" s="23"/>
      <c r="B621" s="64"/>
      <c r="C621" s="62"/>
      <c r="D621" s="65"/>
      <c r="E621" s="65"/>
      <c r="F621" s="65"/>
      <c r="G621" s="67"/>
      <c r="H621" s="67"/>
      <c r="I621" s="71"/>
      <c r="J621" s="70"/>
      <c r="K621" s="23"/>
      <c r="L621" s="70"/>
      <c r="M621" s="70"/>
      <c r="N621" s="70"/>
      <c r="O621" s="40"/>
      <c r="P621" s="23"/>
      <c r="Q621" s="23"/>
      <c r="R621" s="72"/>
      <c r="S621" s="72"/>
      <c r="T621" s="23"/>
      <c r="U621" s="40"/>
      <c r="V621" s="23"/>
      <c r="W621" s="72"/>
      <c r="X621" s="23"/>
      <c r="Y621" s="40"/>
      <c r="Z621" s="23"/>
      <c r="AA621" s="72"/>
      <c r="AB621" s="23"/>
      <c r="AC621" s="40"/>
      <c r="AD621" s="23"/>
      <c r="AE621" s="23"/>
    </row>
    <row r="622" spans="1:31">
      <c r="A622" s="23"/>
      <c r="B622" s="64"/>
      <c r="C622" s="62"/>
      <c r="D622" s="65"/>
      <c r="E622" s="65"/>
      <c r="F622" s="65"/>
      <c r="G622" s="67"/>
      <c r="H622" s="67"/>
      <c r="I622" s="71"/>
      <c r="J622" s="70"/>
      <c r="K622" s="23"/>
      <c r="L622" s="70"/>
      <c r="M622" s="70"/>
      <c r="N622" s="70"/>
      <c r="O622" s="40"/>
      <c r="P622" s="23"/>
      <c r="Q622" s="23"/>
      <c r="R622" s="72"/>
      <c r="S622" s="72"/>
      <c r="T622" s="23"/>
      <c r="U622" s="40"/>
      <c r="V622" s="23"/>
      <c r="W622" s="72"/>
      <c r="X622" s="23"/>
      <c r="Y622" s="40"/>
      <c r="Z622" s="23"/>
      <c r="AA622" s="72"/>
      <c r="AB622" s="23"/>
      <c r="AC622" s="40"/>
      <c r="AD622" s="23"/>
      <c r="AE622" s="23"/>
    </row>
    <row r="623" spans="1:31">
      <c r="A623" s="23"/>
      <c r="B623" s="64"/>
      <c r="C623" s="62"/>
      <c r="D623" s="65"/>
      <c r="E623" s="65"/>
      <c r="F623" s="65"/>
      <c r="G623" s="67"/>
      <c r="H623" s="67"/>
      <c r="I623" s="71"/>
      <c r="J623" s="70"/>
      <c r="K623" s="23"/>
      <c r="L623" s="70"/>
      <c r="M623" s="70"/>
      <c r="N623" s="70"/>
      <c r="O623" s="40"/>
      <c r="P623" s="23"/>
      <c r="Q623" s="23"/>
      <c r="R623" s="72"/>
      <c r="S623" s="72"/>
      <c r="T623" s="23"/>
      <c r="U623" s="40"/>
      <c r="V623" s="23"/>
      <c r="W623" s="72"/>
      <c r="X623" s="23"/>
      <c r="Y623" s="40"/>
      <c r="Z623" s="23"/>
      <c r="AA623" s="72"/>
      <c r="AB623" s="23"/>
      <c r="AC623" s="40"/>
      <c r="AD623" s="23"/>
      <c r="AE623" s="23"/>
    </row>
    <row r="624" spans="1:31">
      <c r="A624" s="23"/>
      <c r="B624" s="64"/>
      <c r="C624" s="62"/>
      <c r="D624" s="65"/>
      <c r="E624" s="65"/>
      <c r="F624" s="65"/>
      <c r="G624" s="67"/>
      <c r="H624" s="67"/>
      <c r="I624" s="71"/>
      <c r="J624" s="70"/>
      <c r="K624" s="23"/>
      <c r="L624" s="70"/>
      <c r="M624" s="70"/>
      <c r="N624" s="70"/>
      <c r="O624" s="40"/>
      <c r="P624" s="23"/>
      <c r="Q624" s="23"/>
      <c r="R624" s="72"/>
      <c r="S624" s="72"/>
      <c r="T624" s="23"/>
      <c r="U624" s="40"/>
      <c r="V624" s="23"/>
      <c r="W624" s="72"/>
      <c r="X624" s="23"/>
      <c r="Y624" s="40"/>
      <c r="Z624" s="23"/>
      <c r="AA624" s="72"/>
      <c r="AB624" s="23"/>
      <c r="AC624" s="40"/>
      <c r="AD624" s="23"/>
      <c r="AE624" s="23"/>
    </row>
    <row r="625" spans="1:31">
      <c r="A625" s="23"/>
      <c r="B625" s="64"/>
      <c r="C625" s="62"/>
      <c r="D625" s="65"/>
      <c r="E625" s="65"/>
      <c r="F625" s="65"/>
      <c r="G625" s="67"/>
      <c r="H625" s="67"/>
      <c r="I625" s="71"/>
      <c r="J625" s="70"/>
      <c r="K625" s="23"/>
      <c r="L625" s="70"/>
      <c r="M625" s="70"/>
      <c r="N625" s="70"/>
      <c r="O625" s="40"/>
      <c r="P625" s="23"/>
      <c r="Q625" s="23"/>
      <c r="R625" s="72"/>
      <c r="S625" s="72"/>
      <c r="T625" s="23"/>
      <c r="U625" s="40"/>
      <c r="V625" s="23"/>
      <c r="W625" s="72"/>
      <c r="X625" s="23"/>
      <c r="Y625" s="40"/>
      <c r="Z625" s="23"/>
      <c r="AA625" s="72"/>
      <c r="AB625" s="23"/>
      <c r="AC625" s="40"/>
      <c r="AD625" s="23"/>
      <c r="AE625" s="23"/>
    </row>
    <row r="626" spans="1:31">
      <c r="A626" s="23"/>
      <c r="B626" s="64"/>
      <c r="C626" s="62"/>
      <c r="D626" s="65"/>
      <c r="E626" s="65"/>
      <c r="F626" s="65"/>
      <c r="G626" s="67"/>
      <c r="H626" s="67"/>
      <c r="I626" s="71"/>
      <c r="J626" s="70"/>
      <c r="K626" s="23"/>
      <c r="L626" s="70"/>
      <c r="M626" s="70"/>
      <c r="N626" s="70"/>
      <c r="O626" s="40"/>
      <c r="P626" s="23"/>
      <c r="Q626" s="23"/>
      <c r="R626" s="72"/>
      <c r="S626" s="72"/>
      <c r="T626" s="23"/>
      <c r="U626" s="40"/>
      <c r="V626" s="23"/>
      <c r="W626" s="72"/>
      <c r="X626" s="23"/>
      <c r="Y626" s="40"/>
      <c r="Z626" s="23"/>
      <c r="AA626" s="72"/>
      <c r="AB626" s="23"/>
      <c r="AC626" s="40"/>
      <c r="AD626" s="23"/>
      <c r="AE626" s="23"/>
    </row>
    <row r="627" spans="1:31">
      <c r="A627" s="23"/>
      <c r="B627" s="64"/>
      <c r="C627" s="62"/>
      <c r="D627" s="65"/>
      <c r="E627" s="65"/>
      <c r="F627" s="65"/>
      <c r="G627" s="67"/>
      <c r="H627" s="67"/>
      <c r="I627" s="71"/>
      <c r="J627" s="70"/>
      <c r="K627" s="23"/>
      <c r="L627" s="70"/>
      <c r="M627" s="70"/>
      <c r="N627" s="70"/>
      <c r="O627" s="40"/>
      <c r="P627" s="23"/>
      <c r="Q627" s="23"/>
      <c r="R627" s="72"/>
      <c r="S627" s="72"/>
      <c r="T627" s="23"/>
      <c r="U627" s="40"/>
      <c r="V627" s="23"/>
      <c r="W627" s="72"/>
      <c r="X627" s="23"/>
      <c r="Y627" s="40"/>
      <c r="Z627" s="23"/>
      <c r="AA627" s="72"/>
      <c r="AB627" s="23"/>
      <c r="AC627" s="40"/>
      <c r="AD627" s="23"/>
      <c r="AE627" s="23"/>
    </row>
    <row r="628" spans="1:31">
      <c r="A628" s="23"/>
      <c r="B628" s="64"/>
      <c r="C628" s="62"/>
      <c r="D628" s="65"/>
      <c r="E628" s="65"/>
      <c r="F628" s="65"/>
      <c r="G628" s="67"/>
      <c r="H628" s="67"/>
      <c r="I628" s="71"/>
      <c r="J628" s="70"/>
      <c r="K628" s="23"/>
      <c r="L628" s="70"/>
      <c r="M628" s="70"/>
      <c r="N628" s="70"/>
      <c r="O628" s="40"/>
      <c r="P628" s="23"/>
      <c r="Q628" s="23"/>
      <c r="R628" s="72"/>
      <c r="S628" s="72"/>
      <c r="T628" s="23"/>
      <c r="U628" s="40"/>
      <c r="V628" s="23"/>
      <c r="W628" s="72"/>
      <c r="X628" s="23"/>
      <c r="Y628" s="40"/>
      <c r="Z628" s="23"/>
      <c r="AA628" s="72"/>
      <c r="AB628" s="23"/>
      <c r="AC628" s="40"/>
      <c r="AD628" s="23"/>
      <c r="AE628" s="23"/>
    </row>
    <row r="629" spans="1:31">
      <c r="A629" s="23"/>
      <c r="B629" s="64"/>
      <c r="C629" s="62"/>
      <c r="D629" s="65"/>
      <c r="E629" s="65"/>
      <c r="F629" s="65"/>
      <c r="G629" s="67"/>
      <c r="H629" s="67"/>
      <c r="I629" s="71"/>
      <c r="J629" s="70"/>
      <c r="K629" s="23"/>
      <c r="L629" s="70"/>
      <c r="M629" s="70"/>
      <c r="N629" s="70"/>
      <c r="O629" s="40"/>
      <c r="P629" s="23"/>
      <c r="Q629" s="23"/>
      <c r="R629" s="72"/>
      <c r="S629" s="72"/>
      <c r="T629" s="23"/>
      <c r="U629" s="40"/>
      <c r="V629" s="23"/>
      <c r="W629" s="72"/>
      <c r="X629" s="23"/>
      <c r="Y629" s="40"/>
      <c r="Z629" s="23"/>
      <c r="AA629" s="72"/>
      <c r="AB629" s="23"/>
      <c r="AC629" s="40"/>
      <c r="AD629" s="23"/>
      <c r="AE629" s="23"/>
    </row>
    <row r="630" spans="1:31">
      <c r="A630" s="23"/>
      <c r="B630" s="64"/>
      <c r="C630" s="62"/>
      <c r="D630" s="65"/>
      <c r="E630" s="65"/>
      <c r="F630" s="65"/>
      <c r="G630" s="67"/>
      <c r="H630" s="67"/>
      <c r="I630" s="71"/>
      <c r="J630" s="70"/>
      <c r="K630" s="23"/>
      <c r="L630" s="70"/>
      <c r="M630" s="70"/>
      <c r="N630" s="70"/>
      <c r="O630" s="40"/>
      <c r="P630" s="23"/>
      <c r="Q630" s="23"/>
      <c r="R630" s="72"/>
      <c r="S630" s="72"/>
      <c r="T630" s="23"/>
      <c r="U630" s="40"/>
      <c r="V630" s="23"/>
      <c r="W630" s="72"/>
      <c r="X630" s="23"/>
      <c r="Y630" s="40"/>
      <c r="Z630" s="23"/>
      <c r="AA630" s="72"/>
      <c r="AB630" s="23"/>
      <c r="AC630" s="40"/>
      <c r="AD630" s="23"/>
      <c r="AE630" s="23"/>
    </row>
    <row r="631" spans="1:31">
      <c r="A631" s="23"/>
      <c r="B631" s="64"/>
      <c r="C631" s="62"/>
      <c r="D631" s="65"/>
      <c r="E631" s="65"/>
      <c r="F631" s="65"/>
      <c r="G631" s="67"/>
      <c r="H631" s="67"/>
      <c r="I631" s="71"/>
      <c r="J631" s="70"/>
      <c r="K631" s="23"/>
      <c r="L631" s="70"/>
      <c r="M631" s="70"/>
      <c r="N631" s="70"/>
      <c r="O631" s="40"/>
      <c r="P631" s="23"/>
      <c r="Q631" s="23"/>
      <c r="R631" s="72"/>
      <c r="S631" s="72"/>
      <c r="T631" s="23"/>
      <c r="U631" s="40"/>
      <c r="V631" s="23"/>
      <c r="W631" s="72"/>
      <c r="X631" s="23"/>
      <c r="Y631" s="40"/>
      <c r="Z631" s="23"/>
      <c r="AA631" s="72"/>
      <c r="AB631" s="23"/>
      <c r="AC631" s="40"/>
      <c r="AD631" s="23"/>
      <c r="AE631" s="23"/>
    </row>
    <row r="632" spans="1:31">
      <c r="A632" s="23"/>
      <c r="B632" s="64"/>
      <c r="C632" s="62"/>
      <c r="D632" s="65"/>
      <c r="E632" s="65"/>
      <c r="F632" s="65"/>
      <c r="G632" s="67"/>
      <c r="H632" s="67"/>
      <c r="I632" s="71"/>
      <c r="J632" s="70"/>
      <c r="K632" s="23"/>
      <c r="L632" s="70"/>
      <c r="M632" s="70"/>
      <c r="N632" s="70"/>
      <c r="O632" s="40"/>
      <c r="P632" s="23"/>
      <c r="Q632" s="23"/>
      <c r="R632" s="72"/>
      <c r="S632" s="72"/>
      <c r="T632" s="23"/>
      <c r="U632" s="40"/>
      <c r="V632" s="23"/>
      <c r="W632" s="72"/>
      <c r="X632" s="23"/>
      <c r="Y632" s="40"/>
      <c r="Z632" s="23"/>
      <c r="AA632" s="72"/>
      <c r="AB632" s="23"/>
      <c r="AC632" s="40"/>
      <c r="AD632" s="23"/>
      <c r="AE632" s="23"/>
    </row>
    <row r="633" spans="1:31">
      <c r="A633" s="23"/>
      <c r="B633" s="64"/>
      <c r="C633" s="62"/>
      <c r="D633" s="65"/>
      <c r="E633" s="65"/>
      <c r="F633" s="65"/>
      <c r="G633" s="67"/>
      <c r="H633" s="67"/>
      <c r="I633" s="71"/>
      <c r="J633" s="70"/>
      <c r="K633" s="23"/>
      <c r="L633" s="70"/>
      <c r="M633" s="70"/>
      <c r="N633" s="70"/>
      <c r="O633" s="40"/>
      <c r="P633" s="23"/>
      <c r="Q633" s="23"/>
      <c r="R633" s="72"/>
      <c r="S633" s="72"/>
      <c r="T633" s="23"/>
      <c r="U633" s="40"/>
      <c r="V633" s="23"/>
      <c r="W633" s="72"/>
      <c r="X633" s="23"/>
      <c r="Y633" s="40"/>
      <c r="Z633" s="23"/>
      <c r="AA633" s="72"/>
      <c r="AB633" s="23"/>
      <c r="AC633" s="40"/>
      <c r="AD633" s="23"/>
      <c r="AE633" s="23"/>
    </row>
    <row r="634" spans="1:31">
      <c r="A634" s="23"/>
      <c r="B634" s="64"/>
      <c r="C634" s="62"/>
      <c r="D634" s="65"/>
      <c r="E634" s="65"/>
      <c r="F634" s="65"/>
      <c r="G634" s="67"/>
      <c r="H634" s="67"/>
      <c r="I634" s="71"/>
      <c r="J634" s="70"/>
      <c r="K634" s="23"/>
      <c r="L634" s="70"/>
      <c r="M634" s="70"/>
      <c r="N634" s="70"/>
      <c r="O634" s="40"/>
      <c r="P634" s="23"/>
      <c r="Q634" s="23"/>
      <c r="R634" s="72"/>
      <c r="S634" s="72"/>
      <c r="T634" s="23"/>
      <c r="U634" s="40"/>
      <c r="V634" s="23"/>
      <c r="W634" s="72"/>
      <c r="X634" s="23"/>
      <c r="Y634" s="40"/>
      <c r="Z634" s="23"/>
      <c r="AA634" s="72"/>
      <c r="AB634" s="23"/>
      <c r="AC634" s="40"/>
      <c r="AD634" s="23"/>
      <c r="AE634" s="23"/>
    </row>
    <row r="635" spans="1:31">
      <c r="A635" s="23"/>
      <c r="B635" s="64"/>
      <c r="C635" s="62"/>
      <c r="D635" s="65"/>
      <c r="E635" s="65"/>
      <c r="F635" s="65"/>
      <c r="G635" s="67"/>
      <c r="H635" s="67"/>
      <c r="I635" s="71"/>
      <c r="J635" s="70"/>
      <c r="K635" s="23"/>
      <c r="L635" s="70"/>
      <c r="M635" s="70"/>
      <c r="N635" s="70"/>
      <c r="O635" s="40"/>
      <c r="P635" s="23"/>
      <c r="Q635" s="23"/>
      <c r="R635" s="72"/>
      <c r="S635" s="72"/>
      <c r="T635" s="23"/>
      <c r="U635" s="40"/>
      <c r="V635" s="23"/>
      <c r="W635" s="72"/>
      <c r="X635" s="23"/>
      <c r="Y635" s="40"/>
      <c r="Z635" s="23"/>
      <c r="AA635" s="72"/>
      <c r="AB635" s="23"/>
      <c r="AC635" s="40"/>
      <c r="AD635" s="23"/>
      <c r="AE635" s="23"/>
    </row>
    <row r="636" spans="1:31">
      <c r="A636" s="23"/>
      <c r="B636" s="64"/>
      <c r="C636" s="62"/>
      <c r="D636" s="65"/>
      <c r="E636" s="65"/>
      <c r="F636" s="65"/>
      <c r="G636" s="67"/>
      <c r="H636" s="67"/>
      <c r="I636" s="71"/>
      <c r="J636" s="70"/>
      <c r="K636" s="23"/>
      <c r="L636" s="70"/>
      <c r="M636" s="70"/>
      <c r="N636" s="70"/>
      <c r="O636" s="40"/>
      <c r="P636" s="23"/>
      <c r="Q636" s="23"/>
      <c r="R636" s="72"/>
      <c r="S636" s="72"/>
      <c r="T636" s="23"/>
      <c r="U636" s="40"/>
      <c r="V636" s="23"/>
      <c r="W636" s="72"/>
      <c r="X636" s="23"/>
      <c r="Y636" s="40"/>
      <c r="Z636" s="23"/>
      <c r="AA636" s="72"/>
      <c r="AB636" s="23"/>
      <c r="AC636" s="40"/>
      <c r="AD636" s="23"/>
      <c r="AE636" s="23"/>
    </row>
    <row r="637" spans="1:31" ht="24" customHeight="1">
      <c r="A637" s="23"/>
      <c r="B637" s="64"/>
      <c r="C637" s="62"/>
      <c r="D637" s="65"/>
      <c r="E637" s="65"/>
      <c r="F637" s="65"/>
      <c r="G637" s="67"/>
      <c r="H637" s="67"/>
      <c r="I637" s="71"/>
      <c r="J637" s="70"/>
      <c r="K637" s="23"/>
      <c r="L637" s="70"/>
      <c r="M637" s="70"/>
      <c r="N637" s="70"/>
      <c r="O637" s="40"/>
      <c r="P637" s="23"/>
      <c r="Q637" s="23"/>
      <c r="R637" s="72"/>
      <c r="S637" s="72"/>
      <c r="T637" s="23"/>
      <c r="U637" s="40"/>
      <c r="V637" s="23"/>
      <c r="W637" s="72"/>
      <c r="X637" s="23"/>
      <c r="Y637" s="40"/>
      <c r="Z637" s="23"/>
      <c r="AA637" s="72"/>
      <c r="AB637" s="23"/>
      <c r="AC637" s="40"/>
      <c r="AD637" s="23"/>
      <c r="AE637" s="23"/>
    </row>
    <row r="638" spans="1:31">
      <c r="A638" s="23"/>
      <c r="B638" s="64"/>
      <c r="C638" s="62"/>
      <c r="D638" s="65"/>
      <c r="E638" s="65"/>
      <c r="F638" s="65"/>
      <c r="G638" s="67"/>
      <c r="H638" s="67"/>
      <c r="I638" s="71"/>
      <c r="J638" s="70"/>
      <c r="K638" s="23"/>
      <c r="L638" s="70"/>
      <c r="M638" s="70"/>
      <c r="N638" s="70"/>
      <c r="O638" s="40"/>
      <c r="P638" s="23"/>
      <c r="Q638" s="23"/>
      <c r="R638" s="72"/>
      <c r="S638" s="72"/>
      <c r="T638" s="23"/>
      <c r="U638" s="40"/>
      <c r="V638" s="23"/>
      <c r="W638" s="72"/>
      <c r="X638" s="23"/>
      <c r="Y638" s="40"/>
      <c r="Z638" s="23"/>
      <c r="AA638" s="72"/>
      <c r="AB638" s="23"/>
      <c r="AC638" s="40"/>
      <c r="AD638" s="23"/>
      <c r="AE638" s="23"/>
    </row>
    <row r="639" spans="1:31" ht="24" customHeight="1">
      <c r="A639" s="23"/>
      <c r="B639" s="64"/>
      <c r="C639" s="62"/>
      <c r="D639" s="65"/>
      <c r="E639" s="65"/>
      <c r="F639" s="65"/>
      <c r="G639" s="67"/>
      <c r="H639" s="67"/>
      <c r="I639" s="71"/>
      <c r="J639" s="70"/>
      <c r="K639" s="23"/>
      <c r="L639" s="70"/>
      <c r="M639" s="70"/>
      <c r="N639" s="70"/>
      <c r="O639" s="40"/>
      <c r="P639" s="23"/>
      <c r="Q639" s="23"/>
      <c r="R639" s="72"/>
      <c r="S639" s="72"/>
      <c r="T639" s="23"/>
      <c r="U639" s="40"/>
      <c r="V639" s="23"/>
      <c r="W639" s="72"/>
      <c r="X639" s="23"/>
      <c r="Y639" s="40"/>
      <c r="Z639" s="23"/>
      <c r="AA639" s="72"/>
      <c r="AB639" s="23"/>
      <c r="AC639" s="40"/>
      <c r="AD639" s="23"/>
      <c r="AE639" s="23"/>
    </row>
    <row r="640" spans="1:31">
      <c r="A640" s="23"/>
      <c r="B640" s="64"/>
      <c r="C640" s="62"/>
      <c r="D640" s="65"/>
      <c r="E640" s="65"/>
      <c r="F640" s="65"/>
      <c r="G640" s="67"/>
      <c r="H640" s="67"/>
      <c r="I640" s="71"/>
      <c r="J640" s="70"/>
      <c r="K640" s="23"/>
      <c r="L640" s="70"/>
      <c r="M640" s="70"/>
      <c r="N640" s="70"/>
      <c r="O640" s="40"/>
      <c r="P640" s="23"/>
      <c r="Q640" s="23"/>
      <c r="R640" s="72"/>
      <c r="S640" s="72"/>
      <c r="T640" s="23"/>
      <c r="U640" s="40"/>
      <c r="V640" s="23"/>
      <c r="W640" s="72"/>
      <c r="X640" s="23"/>
      <c r="Y640" s="40"/>
      <c r="Z640" s="23"/>
      <c r="AA640" s="72"/>
      <c r="AB640" s="23"/>
      <c r="AC640" s="40"/>
      <c r="AD640" s="23"/>
      <c r="AE640" s="23"/>
    </row>
    <row r="641" spans="1:31" ht="24" customHeight="1">
      <c r="A641" s="23"/>
      <c r="B641" s="64"/>
      <c r="C641" s="62"/>
      <c r="D641" s="65"/>
      <c r="E641" s="65"/>
      <c r="F641" s="65"/>
      <c r="G641" s="67"/>
      <c r="H641" s="67"/>
      <c r="I641" s="71"/>
      <c r="J641" s="70"/>
      <c r="K641" s="23"/>
      <c r="L641" s="70"/>
      <c r="M641" s="70"/>
      <c r="N641" s="70"/>
      <c r="O641" s="40"/>
      <c r="P641" s="23"/>
      <c r="Q641" s="23"/>
      <c r="R641" s="72"/>
      <c r="S641" s="72"/>
      <c r="T641" s="23"/>
      <c r="U641" s="40"/>
      <c r="V641" s="23"/>
      <c r="W641" s="72"/>
      <c r="X641" s="23"/>
      <c r="Y641" s="40"/>
      <c r="Z641" s="23"/>
      <c r="AA641" s="72"/>
      <c r="AB641" s="23"/>
      <c r="AC641" s="40"/>
      <c r="AD641" s="23"/>
      <c r="AE641" s="23"/>
    </row>
    <row r="642" spans="1:31">
      <c r="A642" s="23"/>
      <c r="B642" s="64"/>
      <c r="C642" s="62"/>
      <c r="D642" s="65"/>
      <c r="E642" s="65"/>
      <c r="F642" s="65"/>
      <c r="G642" s="67"/>
      <c r="H642" s="67"/>
      <c r="I642" s="71"/>
      <c r="J642" s="70"/>
      <c r="K642" s="23"/>
      <c r="L642" s="70"/>
      <c r="M642" s="70"/>
      <c r="N642" s="70"/>
      <c r="O642" s="40"/>
      <c r="P642" s="23"/>
      <c r="Q642" s="23"/>
      <c r="R642" s="72"/>
      <c r="S642" s="72"/>
      <c r="T642" s="23"/>
      <c r="U642" s="40"/>
      <c r="V642" s="23"/>
      <c r="W642" s="72"/>
      <c r="X642" s="23"/>
      <c r="Y642" s="40"/>
      <c r="Z642" s="23"/>
      <c r="AA642" s="72"/>
      <c r="AB642" s="23"/>
      <c r="AC642" s="40"/>
      <c r="AD642" s="23"/>
      <c r="AE642" s="23"/>
    </row>
    <row r="643" spans="1:31">
      <c r="A643" s="23"/>
      <c r="B643" s="64"/>
      <c r="C643" s="62"/>
      <c r="D643" s="65"/>
      <c r="E643" s="65"/>
      <c r="F643" s="65"/>
      <c r="G643" s="67"/>
      <c r="H643" s="67"/>
      <c r="I643" s="71"/>
      <c r="J643" s="70"/>
      <c r="K643" s="23"/>
      <c r="L643" s="70"/>
      <c r="M643" s="70"/>
      <c r="N643" s="70"/>
      <c r="O643" s="40"/>
      <c r="P643" s="23"/>
      <c r="Q643" s="23"/>
      <c r="R643" s="72"/>
      <c r="S643" s="72"/>
      <c r="T643" s="23"/>
      <c r="U643" s="40"/>
      <c r="V643" s="23"/>
      <c r="W643" s="72"/>
      <c r="X643" s="23"/>
      <c r="Y643" s="40"/>
      <c r="Z643" s="23"/>
      <c r="AA643" s="72"/>
      <c r="AB643" s="23"/>
      <c r="AC643" s="40"/>
      <c r="AD643" s="23"/>
      <c r="AE643" s="23"/>
    </row>
    <row r="644" spans="1:31">
      <c r="A644" s="23"/>
      <c r="B644" s="64"/>
      <c r="C644" s="62"/>
      <c r="D644" s="65"/>
      <c r="E644" s="65"/>
      <c r="F644" s="65"/>
      <c r="G644" s="67"/>
      <c r="H644" s="67"/>
      <c r="I644" s="71"/>
      <c r="J644" s="70"/>
      <c r="K644" s="23"/>
      <c r="L644" s="70"/>
      <c r="M644" s="70"/>
      <c r="N644" s="70"/>
      <c r="O644" s="40"/>
      <c r="P644" s="23"/>
      <c r="Q644" s="23"/>
      <c r="R644" s="72"/>
      <c r="S644" s="72"/>
      <c r="T644" s="23"/>
      <c r="U644" s="40"/>
      <c r="V644" s="23"/>
      <c r="W644" s="72"/>
      <c r="X644" s="23"/>
      <c r="Y644" s="40"/>
      <c r="Z644" s="23"/>
      <c r="AA644" s="72"/>
      <c r="AB644" s="23"/>
      <c r="AC644" s="40"/>
      <c r="AD644" s="23"/>
      <c r="AE644" s="23"/>
    </row>
    <row r="645" spans="1:31">
      <c r="A645" s="23"/>
      <c r="B645" s="64"/>
      <c r="C645" s="62"/>
      <c r="D645" s="65"/>
      <c r="E645" s="65"/>
      <c r="F645" s="65"/>
      <c r="G645" s="67"/>
      <c r="H645" s="67"/>
      <c r="I645" s="71"/>
      <c r="J645" s="70"/>
      <c r="K645" s="23"/>
      <c r="L645" s="70"/>
      <c r="M645" s="70"/>
      <c r="N645" s="70"/>
      <c r="O645" s="40"/>
      <c r="P645" s="23"/>
      <c r="Q645" s="23"/>
      <c r="R645" s="72"/>
      <c r="S645" s="72"/>
      <c r="T645" s="23"/>
      <c r="U645" s="40"/>
      <c r="V645" s="23"/>
      <c r="W645" s="72"/>
      <c r="X645" s="23"/>
      <c r="Y645" s="40"/>
      <c r="Z645" s="23"/>
      <c r="AA645" s="72"/>
      <c r="AB645" s="23"/>
      <c r="AC645" s="40"/>
      <c r="AD645" s="23"/>
      <c r="AE645" s="23"/>
    </row>
    <row r="646" spans="1:31">
      <c r="A646" s="23"/>
      <c r="B646" s="64"/>
      <c r="C646" s="62"/>
      <c r="D646" s="65"/>
      <c r="E646" s="65"/>
      <c r="F646" s="65"/>
      <c r="G646" s="67"/>
      <c r="H646" s="67"/>
      <c r="I646" s="71"/>
      <c r="J646" s="70"/>
      <c r="K646" s="23"/>
      <c r="L646" s="70"/>
      <c r="M646" s="70"/>
      <c r="N646" s="70"/>
      <c r="O646" s="40"/>
      <c r="P646" s="23"/>
      <c r="Q646" s="23"/>
      <c r="R646" s="72"/>
      <c r="S646" s="72"/>
      <c r="T646" s="23"/>
      <c r="U646" s="40"/>
      <c r="V646" s="23"/>
      <c r="W646" s="72"/>
      <c r="X646" s="23"/>
      <c r="Y646" s="40"/>
      <c r="Z646" s="23"/>
      <c r="AA646" s="72"/>
      <c r="AB646" s="23"/>
      <c r="AC646" s="40"/>
      <c r="AD646" s="23"/>
      <c r="AE646" s="23"/>
    </row>
    <row r="647" spans="1:31">
      <c r="A647" s="23"/>
      <c r="B647" s="64"/>
      <c r="C647" s="62"/>
      <c r="D647" s="65"/>
      <c r="E647" s="65"/>
      <c r="F647" s="65"/>
      <c r="G647" s="67"/>
      <c r="H647" s="67"/>
      <c r="I647" s="71"/>
      <c r="J647" s="70"/>
      <c r="K647" s="23"/>
      <c r="L647" s="70"/>
      <c r="M647" s="70"/>
      <c r="N647" s="70"/>
      <c r="O647" s="40"/>
      <c r="P647" s="23"/>
      <c r="Q647" s="23"/>
      <c r="R647" s="72"/>
      <c r="S647" s="72"/>
      <c r="T647" s="23"/>
      <c r="U647" s="40"/>
      <c r="V647" s="23"/>
      <c r="W647" s="72"/>
      <c r="X647" s="23"/>
      <c r="Y647" s="40"/>
      <c r="Z647" s="23"/>
      <c r="AA647" s="72"/>
      <c r="AB647" s="23"/>
      <c r="AC647" s="40"/>
      <c r="AD647" s="23"/>
      <c r="AE647" s="23"/>
    </row>
    <row r="648" spans="1:31">
      <c r="A648" s="23"/>
      <c r="B648" s="64"/>
      <c r="C648" s="62"/>
      <c r="D648" s="65"/>
      <c r="E648" s="65"/>
      <c r="F648" s="65"/>
      <c r="G648" s="67"/>
      <c r="H648" s="67"/>
      <c r="I648" s="71"/>
      <c r="J648" s="70"/>
      <c r="K648" s="23"/>
      <c r="L648" s="70"/>
      <c r="M648" s="70"/>
      <c r="N648" s="70"/>
      <c r="O648" s="40"/>
      <c r="P648" s="23"/>
      <c r="Q648" s="23"/>
      <c r="R648" s="72"/>
      <c r="S648" s="72"/>
      <c r="T648" s="23"/>
      <c r="U648" s="40"/>
      <c r="V648" s="23"/>
      <c r="W648" s="72"/>
      <c r="X648" s="23"/>
      <c r="Y648" s="40"/>
      <c r="Z648" s="23"/>
      <c r="AA648" s="72"/>
      <c r="AB648" s="23"/>
      <c r="AC648" s="40"/>
      <c r="AD648" s="23"/>
      <c r="AE648" s="23"/>
    </row>
    <row r="649" spans="1:31">
      <c r="A649" s="23"/>
      <c r="B649" s="64"/>
      <c r="C649" s="62"/>
      <c r="D649" s="65"/>
      <c r="E649" s="65"/>
      <c r="F649" s="65"/>
      <c r="G649" s="67"/>
      <c r="H649" s="67"/>
      <c r="I649" s="71"/>
      <c r="J649" s="70"/>
      <c r="K649" s="23"/>
      <c r="L649" s="70"/>
      <c r="M649" s="70"/>
      <c r="N649" s="70"/>
      <c r="O649" s="40"/>
      <c r="P649" s="23"/>
      <c r="Q649" s="23"/>
      <c r="R649" s="72"/>
      <c r="S649" s="72"/>
      <c r="T649" s="23"/>
      <c r="U649" s="40"/>
      <c r="V649" s="23"/>
      <c r="W649" s="72"/>
      <c r="X649" s="23"/>
      <c r="Y649" s="40"/>
      <c r="Z649" s="23"/>
      <c r="AA649" s="72"/>
      <c r="AB649" s="23"/>
      <c r="AC649" s="40"/>
      <c r="AD649" s="23"/>
      <c r="AE649" s="23"/>
    </row>
    <row r="650" spans="1:31">
      <c r="A650" s="23"/>
      <c r="B650" s="64"/>
      <c r="C650" s="62"/>
      <c r="D650" s="65"/>
      <c r="E650" s="65"/>
      <c r="F650" s="65"/>
      <c r="G650" s="67"/>
      <c r="H650" s="67"/>
      <c r="I650" s="71"/>
      <c r="J650" s="70"/>
      <c r="K650" s="23"/>
      <c r="L650" s="70"/>
      <c r="M650" s="70"/>
      <c r="N650" s="70"/>
      <c r="O650" s="40"/>
      <c r="P650" s="23"/>
      <c r="Q650" s="23"/>
      <c r="R650" s="72"/>
      <c r="S650" s="72"/>
      <c r="T650" s="23"/>
      <c r="U650" s="40"/>
      <c r="V650" s="23"/>
      <c r="W650" s="72"/>
      <c r="X650" s="23"/>
      <c r="Y650" s="40"/>
      <c r="Z650" s="23"/>
      <c r="AA650" s="72"/>
      <c r="AB650" s="23"/>
      <c r="AC650" s="40"/>
      <c r="AD650" s="23"/>
      <c r="AE650" s="23"/>
    </row>
    <row r="651" spans="1:31">
      <c r="A651" s="23"/>
      <c r="B651" s="64"/>
      <c r="C651" s="62"/>
      <c r="D651" s="65"/>
      <c r="E651" s="65"/>
      <c r="F651" s="65"/>
      <c r="G651" s="67"/>
      <c r="H651" s="67"/>
      <c r="I651" s="71"/>
      <c r="J651" s="70"/>
      <c r="K651" s="23"/>
      <c r="L651" s="70"/>
      <c r="M651" s="70"/>
      <c r="N651" s="70"/>
      <c r="O651" s="40"/>
      <c r="P651" s="23"/>
      <c r="Q651" s="23"/>
      <c r="R651" s="72"/>
      <c r="S651" s="72"/>
      <c r="T651" s="23"/>
      <c r="U651" s="40"/>
      <c r="V651" s="23"/>
      <c r="W651" s="72"/>
      <c r="X651" s="23"/>
      <c r="Y651" s="40"/>
      <c r="Z651" s="23"/>
      <c r="AA651" s="72"/>
      <c r="AB651" s="23"/>
      <c r="AC651" s="40"/>
      <c r="AD651" s="23"/>
      <c r="AE651" s="23"/>
    </row>
    <row r="652" spans="1:31">
      <c r="A652" s="23"/>
      <c r="B652" s="64"/>
      <c r="C652" s="62"/>
      <c r="D652" s="65"/>
      <c r="E652" s="65"/>
      <c r="F652" s="65"/>
      <c r="G652" s="67"/>
      <c r="H652" s="67"/>
      <c r="I652" s="71"/>
      <c r="J652" s="70"/>
      <c r="K652" s="23"/>
      <c r="L652" s="70"/>
      <c r="M652" s="70"/>
      <c r="N652" s="70"/>
      <c r="O652" s="40"/>
      <c r="P652" s="23"/>
      <c r="Q652" s="23"/>
      <c r="R652" s="72"/>
      <c r="S652" s="72"/>
      <c r="T652" s="23"/>
      <c r="U652" s="40"/>
      <c r="V652" s="23"/>
      <c r="W652" s="72"/>
      <c r="X652" s="23"/>
      <c r="Y652" s="40"/>
      <c r="Z652" s="23"/>
      <c r="AA652" s="72"/>
      <c r="AB652" s="23"/>
      <c r="AC652" s="40"/>
      <c r="AD652" s="23"/>
      <c r="AE652" s="23"/>
    </row>
    <row r="653" spans="1:31">
      <c r="A653" s="23"/>
      <c r="B653" s="64"/>
      <c r="C653" s="62"/>
      <c r="D653" s="65"/>
      <c r="E653" s="65"/>
      <c r="F653" s="65"/>
      <c r="G653" s="67"/>
      <c r="H653" s="67"/>
      <c r="I653" s="71"/>
      <c r="J653" s="70"/>
      <c r="K653" s="23"/>
      <c r="L653" s="70"/>
      <c r="M653" s="70"/>
      <c r="N653" s="70"/>
      <c r="O653" s="40"/>
      <c r="P653" s="23"/>
      <c r="Q653" s="23"/>
      <c r="R653" s="72"/>
      <c r="S653" s="72"/>
      <c r="T653" s="23"/>
      <c r="U653" s="40"/>
      <c r="V653" s="23"/>
      <c r="W653" s="72"/>
      <c r="X653" s="23"/>
      <c r="Y653" s="40"/>
      <c r="Z653" s="23"/>
      <c r="AA653" s="72"/>
      <c r="AB653" s="23"/>
      <c r="AC653" s="40"/>
      <c r="AD653" s="23"/>
      <c r="AE653" s="23"/>
    </row>
    <row r="654" spans="1:31">
      <c r="A654" s="23"/>
      <c r="B654" s="64"/>
      <c r="C654" s="62"/>
      <c r="D654" s="65"/>
      <c r="E654" s="65"/>
      <c r="F654" s="65"/>
      <c r="G654" s="67"/>
      <c r="H654" s="67"/>
      <c r="I654" s="71"/>
      <c r="J654" s="70"/>
      <c r="K654" s="23"/>
      <c r="L654" s="70"/>
      <c r="M654" s="70"/>
      <c r="N654" s="70"/>
      <c r="O654" s="40"/>
      <c r="P654" s="23"/>
      <c r="Q654" s="23"/>
      <c r="R654" s="72"/>
      <c r="S654" s="72"/>
      <c r="T654" s="23"/>
      <c r="U654" s="40"/>
      <c r="V654" s="23"/>
      <c r="W654" s="72"/>
      <c r="X654" s="23"/>
      <c r="Y654" s="40"/>
      <c r="Z654" s="23"/>
      <c r="AA654" s="72"/>
      <c r="AB654" s="23"/>
      <c r="AC654" s="40"/>
      <c r="AD654" s="23"/>
      <c r="AE654" s="23"/>
    </row>
    <row r="655" spans="1:31">
      <c r="A655" s="23"/>
      <c r="B655" s="64"/>
      <c r="C655" s="62"/>
      <c r="D655" s="65"/>
      <c r="E655" s="65"/>
      <c r="F655" s="65"/>
      <c r="G655" s="67"/>
      <c r="H655" s="67"/>
      <c r="I655" s="71"/>
      <c r="J655" s="70"/>
      <c r="K655" s="23"/>
      <c r="L655" s="70"/>
      <c r="M655" s="70"/>
      <c r="N655" s="70"/>
      <c r="O655" s="40"/>
      <c r="P655" s="23"/>
      <c r="Q655" s="23"/>
      <c r="R655" s="72" t="s">
        <v>63</v>
      </c>
      <c r="S655" s="72"/>
      <c r="T655" s="23"/>
      <c r="U655" s="40"/>
      <c r="V655" s="23"/>
      <c r="W655" s="72"/>
      <c r="X655" s="23"/>
      <c r="Y655" s="40"/>
      <c r="Z655" s="23"/>
      <c r="AA655" s="72"/>
      <c r="AB655" s="23"/>
      <c r="AC655" s="40"/>
      <c r="AD655" s="23"/>
      <c r="AE655" s="23"/>
    </row>
    <row r="656" spans="1:31">
      <c r="A656" s="23"/>
      <c r="B656" s="64"/>
      <c r="C656" s="62"/>
      <c r="D656" s="65"/>
      <c r="E656" s="65"/>
      <c r="F656" s="65"/>
      <c r="G656" s="67"/>
      <c r="H656" s="67"/>
      <c r="I656" s="71"/>
      <c r="J656" s="70"/>
      <c r="K656" s="23"/>
      <c r="L656" s="70"/>
      <c r="M656" s="70"/>
      <c r="N656" s="70"/>
      <c r="O656" s="40"/>
      <c r="P656" s="23"/>
      <c r="Q656" s="23"/>
      <c r="R656" s="72"/>
      <c r="S656" s="72"/>
      <c r="T656" s="23"/>
      <c r="U656" s="40"/>
      <c r="V656" s="23"/>
      <c r="W656" s="72"/>
      <c r="X656" s="23"/>
      <c r="Y656" s="40"/>
      <c r="Z656" s="23"/>
      <c r="AA656" s="72"/>
      <c r="AB656" s="23"/>
      <c r="AC656" s="40"/>
      <c r="AD656" s="23"/>
      <c r="AE656" s="23"/>
    </row>
    <row r="657" spans="1:31" ht="12.75">
      <c r="A657" s="23"/>
      <c r="B657" s="64"/>
      <c r="C657" s="62"/>
      <c r="D657" s="92"/>
      <c r="E657" s="65"/>
      <c r="F657" s="65"/>
      <c r="G657" s="67"/>
      <c r="H657" s="67"/>
      <c r="I657" s="71"/>
      <c r="J657" s="70"/>
      <c r="K657" s="23"/>
      <c r="L657" s="70"/>
      <c r="M657" s="70"/>
      <c r="N657" s="70"/>
      <c r="O657" s="40"/>
      <c r="P657" s="23"/>
      <c r="Q657" s="23"/>
      <c r="R657" s="72"/>
      <c r="S657" s="72"/>
      <c r="T657" s="23"/>
      <c r="U657" s="40"/>
      <c r="V657" s="23"/>
      <c r="W657" s="72"/>
      <c r="X657" s="23"/>
      <c r="Y657" s="40"/>
      <c r="Z657" s="23"/>
      <c r="AA657" s="72"/>
      <c r="AB657" s="23"/>
      <c r="AC657" s="40"/>
      <c r="AD657" s="23"/>
      <c r="AE657" s="23"/>
    </row>
    <row r="658" spans="1:31" ht="12.75">
      <c r="A658" s="23"/>
      <c r="B658" s="64"/>
      <c r="C658" s="62"/>
      <c r="D658" s="92"/>
      <c r="E658" s="65"/>
      <c r="F658" s="65"/>
      <c r="G658" s="67"/>
      <c r="H658" s="67"/>
      <c r="I658" s="71"/>
      <c r="J658" s="70"/>
      <c r="K658" s="23"/>
      <c r="L658" s="70"/>
      <c r="M658" s="70"/>
      <c r="N658" s="70"/>
      <c r="O658" s="40"/>
      <c r="P658" s="23"/>
      <c r="Q658" s="23"/>
      <c r="R658" s="72"/>
      <c r="S658" s="72"/>
      <c r="T658" s="23"/>
      <c r="U658" s="40"/>
      <c r="V658" s="23"/>
      <c r="W658" s="72"/>
      <c r="X658" s="23"/>
      <c r="Y658" s="40"/>
      <c r="Z658" s="23"/>
      <c r="AA658" s="72"/>
      <c r="AB658" s="23"/>
      <c r="AC658" s="40"/>
      <c r="AD658" s="23"/>
      <c r="AE658" s="23"/>
    </row>
    <row r="659" spans="1:31" ht="12.75">
      <c r="A659" s="23"/>
      <c r="B659" s="64"/>
      <c r="C659" s="62"/>
      <c r="D659" s="92"/>
      <c r="E659" s="65"/>
      <c r="F659" s="65"/>
      <c r="G659" s="67"/>
      <c r="H659" s="67"/>
      <c r="I659" s="71"/>
      <c r="J659" s="70"/>
      <c r="K659" s="23"/>
      <c r="L659" s="70"/>
      <c r="M659" s="70"/>
      <c r="N659" s="70"/>
      <c r="O659" s="40"/>
      <c r="P659" s="23"/>
      <c r="Q659" s="23"/>
      <c r="R659" s="72"/>
      <c r="S659" s="72"/>
      <c r="T659" s="23"/>
      <c r="U659" s="40"/>
      <c r="V659" s="23"/>
      <c r="W659" s="72"/>
      <c r="X659" s="23"/>
      <c r="Y659" s="40"/>
      <c r="Z659" s="23"/>
      <c r="AA659" s="72"/>
      <c r="AB659" s="23"/>
      <c r="AC659" s="40"/>
      <c r="AD659" s="23"/>
      <c r="AE659" s="23"/>
    </row>
    <row r="660" spans="1:31" ht="12.75">
      <c r="A660" s="23"/>
      <c r="B660" s="64"/>
      <c r="C660" s="62"/>
      <c r="D660" s="92"/>
      <c r="E660" s="65"/>
      <c r="F660" s="65"/>
      <c r="G660" s="67"/>
      <c r="H660" s="67"/>
      <c r="I660" s="71"/>
      <c r="J660" s="70"/>
      <c r="K660" s="23"/>
      <c r="L660" s="70"/>
      <c r="M660" s="70"/>
      <c r="N660" s="70"/>
      <c r="O660" s="40"/>
      <c r="P660" s="23"/>
      <c r="Q660" s="23"/>
      <c r="R660" s="72"/>
      <c r="S660" s="72"/>
      <c r="T660" s="23"/>
      <c r="U660" s="40"/>
      <c r="V660" s="23"/>
      <c r="W660" s="72"/>
      <c r="X660" s="23"/>
      <c r="Y660" s="40"/>
      <c r="Z660" s="23"/>
      <c r="AA660" s="72"/>
      <c r="AB660" s="23"/>
      <c r="AC660" s="40"/>
      <c r="AD660" s="23"/>
      <c r="AE660" s="23"/>
    </row>
    <row r="661" spans="1:31" ht="12.75">
      <c r="A661" s="23"/>
      <c r="B661" s="64"/>
      <c r="C661" s="62"/>
      <c r="D661" s="92"/>
      <c r="E661" s="65"/>
      <c r="F661" s="65"/>
      <c r="G661" s="67"/>
      <c r="H661" s="67"/>
      <c r="I661" s="71"/>
      <c r="J661" s="70"/>
      <c r="K661" s="23"/>
      <c r="L661" s="70"/>
      <c r="M661" s="70"/>
      <c r="N661" s="70"/>
      <c r="O661" s="40"/>
      <c r="P661" s="23"/>
      <c r="Q661" s="23"/>
      <c r="R661" s="72"/>
      <c r="S661" s="72"/>
      <c r="T661" s="23"/>
      <c r="U661" s="40"/>
      <c r="V661" s="23"/>
      <c r="W661" s="72"/>
      <c r="X661" s="23"/>
      <c r="Y661" s="40"/>
      <c r="Z661" s="23"/>
      <c r="AA661" s="72"/>
      <c r="AB661" s="23"/>
      <c r="AC661" s="40"/>
      <c r="AD661" s="23"/>
      <c r="AE661" s="23"/>
    </row>
    <row r="662" spans="1:31" ht="12.75">
      <c r="A662" s="23"/>
      <c r="B662" s="64"/>
      <c r="C662" s="62"/>
      <c r="D662" s="92"/>
      <c r="E662" s="65"/>
      <c r="F662" s="65"/>
      <c r="G662" s="67"/>
      <c r="H662" s="67"/>
      <c r="I662" s="71"/>
      <c r="J662" s="70"/>
      <c r="K662" s="23"/>
      <c r="L662" s="70"/>
      <c r="M662" s="70"/>
      <c r="N662" s="70"/>
      <c r="O662" s="40"/>
      <c r="P662" s="23"/>
      <c r="Q662" s="23"/>
      <c r="R662" s="72"/>
      <c r="S662" s="72"/>
      <c r="T662" s="23"/>
      <c r="U662" s="40"/>
      <c r="V662" s="23"/>
      <c r="W662" s="72"/>
      <c r="X662" s="23"/>
      <c r="Y662" s="40"/>
      <c r="Z662" s="23"/>
      <c r="AA662" s="72"/>
      <c r="AB662" s="23"/>
      <c r="AC662" s="40"/>
      <c r="AD662" s="23"/>
      <c r="AE662" s="23"/>
    </row>
    <row r="663" spans="1:31" ht="12.75">
      <c r="A663" s="23"/>
      <c r="B663" s="64"/>
      <c r="C663" s="62"/>
      <c r="D663" s="92"/>
      <c r="E663" s="65"/>
      <c r="F663" s="65"/>
      <c r="G663" s="67"/>
      <c r="H663" s="67"/>
      <c r="I663" s="71"/>
      <c r="J663" s="70"/>
      <c r="K663" s="23"/>
      <c r="L663" s="70"/>
      <c r="M663" s="70"/>
      <c r="N663" s="70"/>
      <c r="O663" s="40"/>
      <c r="P663" s="23"/>
      <c r="Q663" s="23"/>
      <c r="R663" s="72"/>
      <c r="S663" s="72"/>
      <c r="T663" s="23"/>
      <c r="U663" s="40"/>
      <c r="V663" s="23"/>
      <c r="W663" s="72"/>
      <c r="X663" s="23"/>
      <c r="Y663" s="40"/>
      <c r="Z663" s="23"/>
      <c r="AA663" s="72"/>
      <c r="AB663" s="23"/>
      <c r="AC663" s="40"/>
      <c r="AD663" s="23"/>
      <c r="AE663" s="23"/>
    </row>
    <row r="664" spans="1:31" ht="12.75">
      <c r="A664" s="23"/>
      <c r="B664" s="64"/>
      <c r="C664" s="62"/>
      <c r="D664" s="92"/>
      <c r="E664" s="65"/>
      <c r="F664" s="65"/>
      <c r="G664" s="67"/>
      <c r="H664" s="67"/>
      <c r="I664" s="71"/>
      <c r="J664" s="70"/>
      <c r="K664" s="23"/>
      <c r="L664" s="70"/>
      <c r="M664" s="70"/>
      <c r="N664" s="70"/>
      <c r="O664" s="40"/>
      <c r="P664" s="23"/>
      <c r="Q664" s="23"/>
      <c r="R664" s="72"/>
      <c r="S664" s="72"/>
      <c r="T664" s="23"/>
      <c r="U664" s="40"/>
      <c r="V664" s="23"/>
      <c r="W664" s="72"/>
      <c r="X664" s="23"/>
      <c r="Y664" s="40"/>
      <c r="Z664" s="23"/>
      <c r="AA664" s="72"/>
      <c r="AB664" s="23"/>
      <c r="AC664" s="40"/>
      <c r="AD664" s="23"/>
      <c r="AE664" s="23"/>
    </row>
    <row r="665" spans="1:31" ht="12.75">
      <c r="A665" s="23"/>
      <c r="B665" s="64"/>
      <c r="C665" s="62"/>
      <c r="D665" s="92"/>
      <c r="E665" s="65"/>
      <c r="F665" s="65"/>
      <c r="G665" s="67"/>
      <c r="H665" s="67"/>
      <c r="I665" s="71"/>
      <c r="J665" s="70"/>
      <c r="K665" s="23"/>
      <c r="L665" s="70"/>
      <c r="M665" s="70"/>
      <c r="N665" s="70"/>
      <c r="O665" s="40"/>
      <c r="P665" s="23"/>
      <c r="Q665" s="23"/>
      <c r="R665" s="72"/>
      <c r="S665" s="72"/>
      <c r="T665" s="23"/>
      <c r="U665" s="40"/>
      <c r="V665" s="23"/>
      <c r="W665" s="72"/>
      <c r="X665" s="23"/>
      <c r="Y665" s="40"/>
      <c r="Z665" s="23"/>
      <c r="AA665" s="72"/>
      <c r="AB665" s="23"/>
      <c r="AC665" s="40"/>
      <c r="AD665" s="23"/>
      <c r="AE665" s="23"/>
    </row>
    <row r="666" spans="1:31" ht="12.75">
      <c r="A666" s="23"/>
      <c r="B666" s="64"/>
      <c r="C666" s="62"/>
      <c r="D666" s="92"/>
      <c r="E666" s="65"/>
      <c r="F666" s="65"/>
      <c r="G666" s="67"/>
      <c r="H666" s="67"/>
      <c r="I666" s="71"/>
      <c r="J666" s="70"/>
      <c r="K666" s="23"/>
      <c r="L666" s="70"/>
      <c r="M666" s="70"/>
      <c r="N666" s="70"/>
      <c r="O666" s="40"/>
      <c r="P666" s="23"/>
      <c r="Q666" s="23"/>
      <c r="R666" s="72"/>
      <c r="S666" s="72"/>
      <c r="T666" s="23"/>
      <c r="U666" s="40"/>
      <c r="V666" s="23"/>
      <c r="W666" s="72"/>
      <c r="X666" s="23"/>
      <c r="Y666" s="40"/>
      <c r="Z666" s="23"/>
      <c r="AA666" s="72"/>
      <c r="AB666" s="23"/>
      <c r="AC666" s="40"/>
      <c r="AD666" s="23"/>
      <c r="AE666" s="23"/>
    </row>
    <row r="667" spans="1:31" ht="12.75">
      <c r="A667" s="23"/>
      <c r="B667" s="64"/>
      <c r="C667" s="62"/>
      <c r="D667" s="92"/>
      <c r="E667" s="65"/>
      <c r="F667" s="65"/>
      <c r="G667" s="67"/>
      <c r="H667" s="67"/>
      <c r="I667" s="71"/>
      <c r="J667" s="70"/>
      <c r="K667" s="23"/>
      <c r="L667" s="70"/>
      <c r="M667" s="70"/>
      <c r="N667" s="70"/>
      <c r="O667" s="40"/>
      <c r="P667" s="23"/>
      <c r="Q667" s="23"/>
      <c r="R667" s="72"/>
      <c r="S667" s="72"/>
      <c r="T667" s="23"/>
      <c r="U667" s="40"/>
      <c r="V667" s="23"/>
      <c r="W667" s="72"/>
      <c r="X667" s="23"/>
      <c r="Y667" s="40"/>
      <c r="Z667" s="23"/>
      <c r="AA667" s="72"/>
      <c r="AB667" s="23"/>
      <c r="AC667" s="40"/>
      <c r="AD667" s="23"/>
      <c r="AE667" s="23"/>
    </row>
    <row r="668" spans="1:31" ht="12.75">
      <c r="A668" s="23"/>
      <c r="B668" s="64"/>
      <c r="C668" s="62"/>
      <c r="D668" s="92"/>
      <c r="E668" s="65"/>
      <c r="F668" s="65"/>
      <c r="G668" s="67"/>
      <c r="H668" s="67"/>
      <c r="I668" s="71"/>
      <c r="J668" s="70"/>
      <c r="K668" s="23"/>
      <c r="L668" s="70"/>
      <c r="M668" s="70"/>
      <c r="N668" s="70"/>
      <c r="O668" s="40"/>
      <c r="P668" s="23"/>
      <c r="Q668" s="23"/>
      <c r="R668" s="72"/>
      <c r="S668" s="72"/>
      <c r="T668" s="23"/>
      <c r="U668" s="40"/>
      <c r="V668" s="23"/>
      <c r="W668" s="72"/>
      <c r="X668" s="23"/>
      <c r="Y668" s="40"/>
      <c r="Z668" s="23"/>
      <c r="AA668" s="72"/>
      <c r="AB668" s="23"/>
      <c r="AC668" s="40"/>
      <c r="AD668" s="23"/>
      <c r="AE668" s="23"/>
    </row>
    <row r="669" spans="1:31" ht="12.75">
      <c r="A669" s="23"/>
      <c r="B669" s="64"/>
      <c r="C669" s="62"/>
      <c r="D669" s="92"/>
      <c r="E669" s="65"/>
      <c r="F669" s="65"/>
      <c r="G669" s="67"/>
      <c r="H669" s="67"/>
      <c r="I669" s="71"/>
      <c r="J669" s="70"/>
      <c r="K669" s="23"/>
      <c r="L669" s="70"/>
      <c r="M669" s="70"/>
      <c r="N669" s="70"/>
      <c r="O669" s="40"/>
      <c r="P669" s="23"/>
      <c r="Q669" s="23"/>
      <c r="R669" s="72"/>
      <c r="S669" s="72"/>
      <c r="T669" s="23"/>
      <c r="U669" s="40"/>
      <c r="V669" s="23"/>
      <c r="W669" s="72"/>
      <c r="X669" s="23"/>
      <c r="Y669" s="40"/>
      <c r="Z669" s="23"/>
      <c r="AA669" s="72"/>
      <c r="AB669" s="23"/>
      <c r="AC669" s="40"/>
      <c r="AD669" s="23"/>
      <c r="AE669" s="23"/>
    </row>
    <row r="670" spans="1:31" ht="12.75">
      <c r="A670" s="23"/>
      <c r="B670" s="64"/>
      <c r="C670" s="62"/>
      <c r="D670" s="92"/>
      <c r="E670" s="65"/>
      <c r="F670" s="65"/>
      <c r="G670" s="67"/>
      <c r="H670" s="67"/>
      <c r="I670" s="71"/>
      <c r="J670" s="70"/>
      <c r="K670" s="23"/>
      <c r="L670" s="70"/>
      <c r="M670" s="70"/>
      <c r="N670" s="70"/>
      <c r="O670" s="40"/>
      <c r="P670" s="23"/>
      <c r="Q670" s="23"/>
      <c r="R670" s="72"/>
      <c r="S670" s="72"/>
      <c r="T670" s="23"/>
      <c r="U670" s="40"/>
      <c r="V670" s="23"/>
      <c r="W670" s="72"/>
      <c r="X670" s="23"/>
      <c r="Y670" s="40"/>
      <c r="Z670" s="23"/>
      <c r="AA670" s="72"/>
      <c r="AB670" s="23"/>
      <c r="AC670" s="40"/>
      <c r="AD670" s="23"/>
      <c r="AE670" s="23"/>
    </row>
    <row r="671" spans="1:31" ht="12.75">
      <c r="A671" s="23"/>
      <c r="B671" s="64"/>
      <c r="C671" s="62"/>
      <c r="D671" s="92"/>
      <c r="E671" s="65"/>
      <c r="F671" s="65"/>
      <c r="G671" s="67"/>
      <c r="H671" s="67"/>
      <c r="I671" s="71"/>
      <c r="J671" s="70"/>
      <c r="K671" s="23"/>
      <c r="L671" s="70"/>
      <c r="M671" s="70"/>
      <c r="N671" s="70"/>
      <c r="O671" s="40"/>
      <c r="P671" s="23"/>
      <c r="Q671" s="23"/>
      <c r="R671" s="72"/>
      <c r="S671" s="72"/>
      <c r="T671" s="23"/>
      <c r="U671" s="40"/>
      <c r="V671" s="23"/>
      <c r="W671" s="72"/>
      <c r="X671" s="23"/>
      <c r="Y671" s="40"/>
      <c r="Z671" s="23"/>
      <c r="AA671" s="72"/>
      <c r="AB671" s="23"/>
      <c r="AC671" s="40"/>
      <c r="AD671" s="23"/>
      <c r="AE671" s="23"/>
    </row>
    <row r="672" spans="1:31" ht="12.75">
      <c r="A672" s="23"/>
      <c r="B672" s="64"/>
      <c r="C672" s="62"/>
      <c r="D672" s="92"/>
      <c r="E672" s="65"/>
      <c r="F672" s="65"/>
      <c r="G672" s="67"/>
      <c r="H672" s="67"/>
      <c r="I672" s="71"/>
      <c r="J672" s="70"/>
      <c r="K672" s="23"/>
      <c r="L672" s="70"/>
      <c r="M672" s="70"/>
      <c r="N672" s="70"/>
      <c r="O672" s="40"/>
      <c r="P672" s="23"/>
      <c r="Q672" s="23"/>
      <c r="R672" s="72"/>
      <c r="S672" s="72"/>
      <c r="T672" s="23"/>
      <c r="U672" s="40"/>
      <c r="V672" s="23"/>
      <c r="W672" s="72"/>
      <c r="X672" s="23"/>
      <c r="Y672" s="40"/>
      <c r="Z672" s="23"/>
      <c r="AA672" s="72"/>
      <c r="AB672" s="23"/>
      <c r="AC672" s="40"/>
      <c r="AD672" s="23"/>
      <c r="AE672" s="23"/>
    </row>
    <row r="673" spans="1:31" ht="12.75">
      <c r="A673" s="23"/>
      <c r="B673" s="64"/>
      <c r="C673" s="62"/>
      <c r="D673" s="92"/>
      <c r="E673" s="65"/>
      <c r="F673" s="65"/>
      <c r="G673" s="67"/>
      <c r="H673" s="67"/>
      <c r="I673" s="71"/>
      <c r="J673" s="70"/>
      <c r="K673" s="23"/>
      <c r="L673" s="70"/>
      <c r="M673" s="70"/>
      <c r="N673" s="70"/>
      <c r="O673" s="40"/>
      <c r="P673" s="23"/>
      <c r="Q673" s="23"/>
      <c r="R673" s="72"/>
      <c r="S673" s="72"/>
      <c r="T673" s="23"/>
      <c r="U673" s="40"/>
      <c r="V673" s="23"/>
      <c r="W673" s="72"/>
      <c r="X673" s="23"/>
      <c r="Y673" s="40"/>
      <c r="Z673" s="23"/>
      <c r="AA673" s="72"/>
      <c r="AB673" s="23"/>
      <c r="AC673" s="40"/>
      <c r="AD673" s="23"/>
      <c r="AE673" s="23"/>
    </row>
    <row r="674" spans="1:31" ht="12.75">
      <c r="A674" s="23"/>
      <c r="B674" s="64"/>
      <c r="C674" s="62"/>
      <c r="D674" s="92"/>
      <c r="E674" s="65"/>
      <c r="F674" s="65"/>
      <c r="G674" s="67"/>
      <c r="H674" s="67"/>
      <c r="I674" s="71"/>
      <c r="J674" s="70"/>
      <c r="K674" s="23"/>
      <c r="L674" s="70"/>
      <c r="M674" s="70"/>
      <c r="N674" s="70"/>
      <c r="O674" s="40"/>
      <c r="P674" s="23"/>
      <c r="Q674" s="23"/>
      <c r="R674" s="72"/>
      <c r="S674" s="72"/>
      <c r="T674" s="23"/>
      <c r="U674" s="40"/>
      <c r="V674" s="23"/>
      <c r="W674" s="72"/>
      <c r="X674" s="23"/>
      <c r="Y674" s="40"/>
      <c r="Z674" s="23"/>
      <c r="AA674" s="72"/>
      <c r="AB674" s="23"/>
      <c r="AC674" s="40"/>
      <c r="AD674" s="23"/>
      <c r="AE674" s="23"/>
    </row>
    <row r="675" spans="1:31" ht="12.75">
      <c r="A675" s="23"/>
      <c r="B675" s="64"/>
      <c r="C675" s="62"/>
      <c r="D675" s="92"/>
      <c r="E675" s="65"/>
      <c r="F675" s="65"/>
      <c r="G675" s="67"/>
      <c r="H675" s="67"/>
      <c r="I675" s="71"/>
      <c r="J675" s="70"/>
      <c r="K675" s="23"/>
      <c r="L675" s="70"/>
      <c r="M675" s="70"/>
      <c r="N675" s="70"/>
      <c r="O675" s="40"/>
      <c r="P675" s="23"/>
      <c r="Q675" s="23"/>
      <c r="R675" s="72"/>
      <c r="S675" s="72"/>
      <c r="T675" s="23"/>
      <c r="U675" s="40"/>
      <c r="V675" s="23"/>
      <c r="W675" s="72"/>
      <c r="X675" s="23"/>
      <c r="Y675" s="40"/>
      <c r="Z675" s="23"/>
      <c r="AA675" s="72"/>
      <c r="AB675" s="23"/>
      <c r="AC675" s="40"/>
      <c r="AD675" s="23"/>
      <c r="AE675" s="23"/>
    </row>
    <row r="676" spans="1:31" ht="12.75">
      <c r="A676" s="23"/>
      <c r="B676" s="64"/>
      <c r="C676" s="62"/>
      <c r="D676" s="92"/>
      <c r="E676" s="65"/>
      <c r="F676" s="65"/>
      <c r="G676" s="67"/>
      <c r="H676" s="67"/>
      <c r="I676" s="71"/>
      <c r="J676" s="70"/>
      <c r="K676" s="23"/>
      <c r="L676" s="70"/>
      <c r="M676" s="70"/>
      <c r="N676" s="70"/>
      <c r="O676" s="40"/>
      <c r="P676" s="23"/>
      <c r="Q676" s="23"/>
      <c r="R676" s="72"/>
      <c r="S676" s="72"/>
      <c r="T676" s="23"/>
      <c r="U676" s="40"/>
      <c r="V676" s="23"/>
      <c r="W676" s="72"/>
      <c r="X676" s="23"/>
      <c r="Y676" s="40"/>
      <c r="Z676" s="23"/>
      <c r="AA676" s="72"/>
      <c r="AB676" s="23"/>
      <c r="AC676" s="40"/>
      <c r="AD676" s="23"/>
      <c r="AE676" s="23"/>
    </row>
    <row r="677" spans="1:31" ht="12.75">
      <c r="A677" s="23"/>
      <c r="B677" s="64"/>
      <c r="C677" s="62"/>
      <c r="D677" s="92"/>
      <c r="E677" s="65"/>
      <c r="F677" s="65"/>
      <c r="G677" s="67"/>
      <c r="H677" s="67"/>
      <c r="I677" s="71"/>
      <c r="J677" s="70"/>
      <c r="K677" s="23"/>
      <c r="L677" s="70"/>
      <c r="M677" s="70"/>
      <c r="N677" s="70"/>
      <c r="O677" s="40"/>
      <c r="P677" s="23"/>
      <c r="Q677" s="23"/>
      <c r="R677" s="72"/>
      <c r="S677" s="72"/>
      <c r="T677" s="23"/>
      <c r="U677" s="40"/>
      <c r="V677" s="23"/>
      <c r="W677" s="72"/>
      <c r="X677" s="23"/>
      <c r="Y677" s="40"/>
      <c r="Z677" s="23"/>
      <c r="AA677" s="72"/>
      <c r="AB677" s="23"/>
      <c r="AC677" s="40"/>
      <c r="AD677" s="23"/>
      <c r="AE677" s="23"/>
    </row>
    <row r="678" spans="1:31" ht="12.75">
      <c r="A678" s="23"/>
      <c r="B678" s="64"/>
      <c r="C678" s="62"/>
      <c r="D678" s="92"/>
      <c r="E678" s="65"/>
      <c r="F678" s="65"/>
      <c r="G678" s="67"/>
      <c r="H678" s="67"/>
      <c r="I678" s="71"/>
      <c r="J678" s="70"/>
      <c r="K678" s="23"/>
      <c r="L678" s="70"/>
      <c r="M678" s="70"/>
      <c r="N678" s="70"/>
      <c r="O678" s="40"/>
      <c r="P678" s="23"/>
      <c r="Q678" s="23"/>
      <c r="R678" s="72"/>
      <c r="S678" s="72"/>
      <c r="T678" s="23"/>
      <c r="U678" s="40"/>
      <c r="V678" s="23"/>
      <c r="W678" s="72"/>
      <c r="X678" s="23"/>
      <c r="Y678" s="40"/>
      <c r="Z678" s="23"/>
      <c r="AA678" s="72"/>
      <c r="AB678" s="23"/>
      <c r="AC678" s="40"/>
      <c r="AD678" s="23"/>
      <c r="AE678" s="23"/>
    </row>
    <row r="679" spans="1:31" ht="12.75">
      <c r="A679" s="23"/>
      <c r="B679" s="64"/>
      <c r="C679" s="62"/>
      <c r="D679" s="92"/>
      <c r="E679" s="65"/>
      <c r="F679" s="65"/>
      <c r="G679" s="67"/>
      <c r="H679" s="67"/>
      <c r="I679" s="71"/>
      <c r="J679" s="70"/>
      <c r="K679" s="23"/>
      <c r="L679" s="70"/>
      <c r="M679" s="70"/>
      <c r="N679" s="70"/>
      <c r="O679" s="40"/>
      <c r="P679" s="23"/>
      <c r="Q679" s="23"/>
      <c r="R679" s="72"/>
      <c r="S679" s="72"/>
      <c r="T679" s="23"/>
      <c r="U679" s="40"/>
      <c r="V679" s="23"/>
      <c r="W679" s="72"/>
      <c r="X679" s="23"/>
      <c r="Y679" s="40"/>
      <c r="Z679" s="23"/>
      <c r="AA679" s="72"/>
      <c r="AB679" s="23"/>
      <c r="AC679" s="40"/>
      <c r="AD679" s="23"/>
      <c r="AE679" s="23"/>
    </row>
    <row r="680" spans="1:31" ht="39" customHeight="1">
      <c r="A680" s="23"/>
      <c r="B680" s="64"/>
      <c r="C680" s="62"/>
      <c r="D680" s="92"/>
      <c r="E680" s="65"/>
      <c r="F680" s="65"/>
      <c r="G680" s="67"/>
      <c r="H680" s="67"/>
      <c r="I680" s="71"/>
      <c r="J680" s="70"/>
      <c r="K680" s="23"/>
      <c r="L680" s="70"/>
      <c r="M680" s="70"/>
      <c r="N680" s="70"/>
      <c r="O680" s="40"/>
      <c r="P680" s="23"/>
      <c r="Q680" s="23"/>
      <c r="R680" s="72"/>
      <c r="S680" s="72"/>
      <c r="T680" s="23"/>
      <c r="U680" s="40"/>
      <c r="V680" s="23"/>
      <c r="W680" s="72"/>
      <c r="X680" s="23"/>
      <c r="Y680" s="40"/>
      <c r="Z680" s="23"/>
      <c r="AA680" s="72"/>
      <c r="AB680" s="23"/>
      <c r="AC680" s="40"/>
      <c r="AD680" s="23"/>
      <c r="AE680" s="23"/>
    </row>
    <row r="681" spans="1:31" ht="39" customHeight="1">
      <c r="A681" s="23"/>
      <c r="B681" s="64"/>
      <c r="C681" s="62"/>
      <c r="D681" s="92"/>
      <c r="E681" s="65"/>
      <c r="F681" s="65"/>
      <c r="G681" s="67"/>
      <c r="H681" s="67"/>
      <c r="I681" s="71"/>
      <c r="J681" s="70"/>
      <c r="K681" s="23"/>
      <c r="L681" s="70"/>
      <c r="M681" s="70"/>
      <c r="N681" s="70"/>
      <c r="O681" s="40"/>
      <c r="P681" s="23"/>
      <c r="Q681" s="23"/>
      <c r="R681" s="72"/>
      <c r="S681" s="72"/>
      <c r="T681" s="23"/>
      <c r="U681" s="40"/>
      <c r="V681" s="23"/>
      <c r="W681" s="72"/>
      <c r="X681" s="23"/>
      <c r="Y681" s="40"/>
      <c r="Z681" s="23"/>
      <c r="AA681" s="72"/>
      <c r="AB681" s="23"/>
      <c r="AC681" s="40"/>
      <c r="AD681" s="23"/>
      <c r="AE681" s="23"/>
    </row>
    <row r="682" spans="1:31" ht="39" customHeight="1">
      <c r="A682" s="23"/>
      <c r="B682" s="64"/>
      <c r="C682" s="62"/>
      <c r="D682" s="92"/>
      <c r="E682" s="65"/>
      <c r="F682" s="65"/>
      <c r="G682" s="67"/>
      <c r="H682" s="67"/>
      <c r="I682" s="71"/>
      <c r="J682" s="70"/>
      <c r="K682" s="23"/>
      <c r="L682" s="70"/>
      <c r="M682" s="70"/>
      <c r="N682" s="70"/>
      <c r="O682" s="40"/>
      <c r="P682" s="23"/>
      <c r="Q682" s="23"/>
      <c r="R682" s="72"/>
      <c r="S682" s="72"/>
      <c r="T682" s="23"/>
      <c r="U682" s="40"/>
      <c r="V682" s="23"/>
      <c r="W682" s="72"/>
      <c r="X682" s="23"/>
      <c r="Y682" s="40"/>
      <c r="Z682" s="23"/>
      <c r="AA682" s="72"/>
      <c r="AB682" s="23"/>
      <c r="AC682" s="40"/>
      <c r="AD682" s="23"/>
      <c r="AE682" s="23"/>
    </row>
    <row r="683" spans="1:31" ht="12.75">
      <c r="A683" s="23"/>
      <c r="B683" s="64"/>
      <c r="C683" s="62"/>
      <c r="D683" s="92"/>
      <c r="E683" s="65"/>
      <c r="F683" s="65"/>
      <c r="G683" s="67"/>
      <c r="H683" s="67"/>
      <c r="I683" s="71"/>
      <c r="J683" s="70"/>
      <c r="K683" s="23"/>
      <c r="L683" s="70"/>
      <c r="M683" s="70"/>
      <c r="N683" s="70"/>
      <c r="O683" s="40"/>
      <c r="P683" s="23"/>
      <c r="Q683" s="23"/>
      <c r="R683" s="72"/>
      <c r="S683" s="72"/>
      <c r="T683" s="23"/>
      <c r="U683" s="40"/>
      <c r="V683" s="23"/>
      <c r="W683" s="72"/>
      <c r="X683" s="23"/>
      <c r="Y683" s="40"/>
      <c r="Z683" s="23"/>
      <c r="AA683" s="72"/>
      <c r="AB683" s="23"/>
      <c r="AC683" s="40"/>
      <c r="AD683" s="23"/>
      <c r="AE683" s="23"/>
    </row>
    <row r="684" spans="1:31" ht="12.75">
      <c r="A684" s="23"/>
      <c r="B684" s="64"/>
      <c r="C684" s="62"/>
      <c r="D684" s="92"/>
      <c r="E684" s="65"/>
      <c r="F684" s="65"/>
      <c r="G684" s="67"/>
      <c r="H684" s="67"/>
      <c r="I684" s="71"/>
      <c r="J684" s="70"/>
      <c r="K684" s="23"/>
      <c r="L684" s="70"/>
      <c r="M684" s="70"/>
      <c r="N684" s="70"/>
      <c r="O684" s="40"/>
      <c r="P684" s="23"/>
      <c r="Q684" s="23"/>
      <c r="R684" s="72"/>
      <c r="S684" s="72"/>
      <c r="T684" s="23"/>
      <c r="U684" s="40"/>
      <c r="V684" s="23"/>
      <c r="W684" s="72"/>
      <c r="X684" s="23"/>
      <c r="Y684" s="40"/>
      <c r="Z684" s="23"/>
      <c r="AA684" s="72"/>
      <c r="AB684" s="23"/>
      <c r="AC684" s="40"/>
      <c r="AD684" s="23"/>
      <c r="AE684" s="23"/>
    </row>
    <row r="685" spans="1:31" ht="12.75">
      <c r="A685" s="23"/>
      <c r="B685" s="64"/>
      <c r="C685" s="62"/>
      <c r="D685" s="92"/>
      <c r="E685" s="65"/>
      <c r="F685" s="65"/>
      <c r="G685" s="67"/>
      <c r="H685" s="67"/>
      <c r="I685" s="71"/>
      <c r="J685" s="70"/>
      <c r="K685" s="23"/>
      <c r="L685" s="70"/>
      <c r="M685" s="70"/>
      <c r="N685" s="70"/>
      <c r="O685" s="40"/>
      <c r="P685" s="23"/>
      <c r="Q685" s="23"/>
      <c r="R685" s="72"/>
      <c r="S685" s="72"/>
      <c r="T685" s="23"/>
      <c r="U685" s="40"/>
      <c r="V685" s="23"/>
      <c r="W685" s="72"/>
      <c r="X685" s="23"/>
      <c r="Y685" s="40"/>
      <c r="Z685" s="23"/>
      <c r="AA685" s="72"/>
      <c r="AB685" s="23"/>
      <c r="AC685" s="40"/>
      <c r="AD685" s="23"/>
      <c r="AE685" s="23"/>
    </row>
    <row r="686" spans="1:31" ht="12.75">
      <c r="A686" s="23"/>
      <c r="B686" s="64"/>
      <c r="C686" s="62"/>
      <c r="D686" s="92"/>
      <c r="E686" s="65"/>
      <c r="F686" s="65"/>
      <c r="G686" s="67"/>
      <c r="H686" s="67"/>
      <c r="I686" s="71"/>
      <c r="J686" s="70"/>
      <c r="K686" s="23"/>
      <c r="L686" s="70"/>
      <c r="M686" s="70"/>
      <c r="N686" s="70"/>
      <c r="O686" s="40"/>
      <c r="P686" s="23"/>
      <c r="Q686" s="23"/>
      <c r="R686" s="72"/>
      <c r="S686" s="72"/>
      <c r="T686" s="23"/>
      <c r="U686" s="40"/>
      <c r="V686" s="23"/>
      <c r="W686" s="72"/>
      <c r="X686" s="23"/>
      <c r="Y686" s="40"/>
      <c r="Z686" s="23"/>
      <c r="AA686" s="72"/>
      <c r="AB686" s="23"/>
      <c r="AC686" s="40"/>
      <c r="AD686" s="23"/>
      <c r="AE686" s="23"/>
    </row>
    <row r="687" spans="1:31" ht="12.75">
      <c r="A687" s="23"/>
      <c r="B687" s="64"/>
      <c r="C687" s="62"/>
      <c r="D687" s="92"/>
      <c r="E687" s="65"/>
      <c r="F687" s="65"/>
      <c r="G687" s="67"/>
      <c r="H687" s="67"/>
      <c r="I687" s="71"/>
      <c r="J687" s="70"/>
      <c r="K687" s="23"/>
      <c r="L687" s="70"/>
      <c r="M687" s="70"/>
      <c r="N687" s="70"/>
      <c r="O687" s="40"/>
      <c r="P687" s="23"/>
      <c r="Q687" s="23"/>
      <c r="R687" s="72"/>
      <c r="S687" s="72"/>
      <c r="T687" s="23"/>
      <c r="U687" s="40"/>
      <c r="V687" s="23"/>
      <c r="W687" s="72"/>
      <c r="X687" s="23"/>
      <c r="Y687" s="40"/>
      <c r="Z687" s="23"/>
      <c r="AA687" s="72"/>
      <c r="AB687" s="23"/>
      <c r="AC687" s="40"/>
      <c r="AD687" s="23"/>
      <c r="AE687" s="23"/>
    </row>
    <row r="688" spans="1:31" ht="12.75">
      <c r="A688" s="23"/>
      <c r="B688" s="64"/>
      <c r="C688" s="62"/>
      <c r="D688" s="92"/>
      <c r="E688" s="65"/>
      <c r="F688" s="65"/>
      <c r="G688" s="67"/>
      <c r="H688" s="67"/>
      <c r="I688" s="71"/>
      <c r="J688" s="70"/>
      <c r="K688" s="23"/>
      <c r="L688" s="70"/>
      <c r="M688" s="70"/>
      <c r="N688" s="70"/>
      <c r="O688" s="40"/>
      <c r="P688" s="23"/>
      <c r="Q688" s="23"/>
      <c r="R688" s="72"/>
      <c r="S688" s="72"/>
      <c r="T688" s="23"/>
      <c r="U688" s="40"/>
      <c r="V688" s="23"/>
      <c r="W688" s="72"/>
      <c r="X688" s="23"/>
      <c r="Y688" s="40"/>
      <c r="Z688" s="23"/>
      <c r="AA688" s="72"/>
      <c r="AB688" s="23"/>
      <c r="AC688" s="40"/>
      <c r="AD688" s="23"/>
      <c r="AE688" s="23"/>
    </row>
    <row r="689" spans="1:32" ht="12.75">
      <c r="A689" s="23"/>
      <c r="B689" s="64"/>
      <c r="C689" s="62"/>
      <c r="D689" s="92"/>
      <c r="E689" s="65"/>
      <c r="F689" s="65"/>
      <c r="G689" s="67"/>
      <c r="H689" s="67"/>
      <c r="I689" s="71"/>
      <c r="J689" s="70"/>
      <c r="K689" s="23"/>
      <c r="L689" s="70"/>
      <c r="M689" s="70"/>
      <c r="N689" s="70"/>
      <c r="O689" s="40"/>
      <c r="P689" s="23"/>
      <c r="Q689" s="23"/>
      <c r="R689" s="72"/>
      <c r="S689" s="72"/>
      <c r="T689" s="23"/>
      <c r="U689" s="40"/>
      <c r="V689" s="23"/>
      <c r="W689" s="72"/>
      <c r="X689" s="23"/>
      <c r="Y689" s="40"/>
      <c r="Z689" s="23"/>
      <c r="AA689" s="72"/>
      <c r="AB689" s="23"/>
      <c r="AC689" s="40"/>
      <c r="AD689" s="23"/>
      <c r="AE689" s="23"/>
    </row>
    <row r="690" spans="1:32" ht="12.75">
      <c r="A690" s="23"/>
      <c r="B690" s="64"/>
      <c r="C690" s="62"/>
      <c r="D690" s="92"/>
      <c r="E690" s="65"/>
      <c r="F690" s="65"/>
      <c r="G690" s="67"/>
      <c r="H690" s="67"/>
      <c r="I690" s="71"/>
      <c r="J690" s="70"/>
      <c r="K690" s="23"/>
      <c r="L690" s="70"/>
      <c r="M690" s="70"/>
      <c r="N690" s="70"/>
      <c r="O690" s="40"/>
      <c r="P690" s="23"/>
      <c r="Q690" s="23"/>
      <c r="R690" s="72"/>
      <c r="S690" s="72"/>
      <c r="T690" s="23"/>
      <c r="U690" s="40"/>
      <c r="V690" s="23"/>
      <c r="W690" s="72"/>
      <c r="X690" s="23"/>
      <c r="Y690" s="40"/>
      <c r="Z690" s="23"/>
      <c r="AA690" s="72"/>
      <c r="AB690" s="23"/>
      <c r="AC690" s="40"/>
      <c r="AD690" s="23"/>
      <c r="AE690" s="23"/>
    </row>
    <row r="691" spans="1:32" ht="12.75">
      <c r="A691" s="23"/>
      <c r="B691" s="64"/>
      <c r="C691" s="62"/>
      <c r="D691" s="92"/>
      <c r="E691" s="65"/>
      <c r="F691" s="65"/>
      <c r="G691" s="67"/>
      <c r="H691" s="67"/>
      <c r="I691" s="71"/>
      <c r="J691" s="70"/>
      <c r="K691" s="23"/>
      <c r="L691" s="70"/>
      <c r="M691" s="70"/>
      <c r="N691" s="70"/>
      <c r="O691" s="40"/>
      <c r="P691" s="23"/>
      <c r="Q691" s="23"/>
      <c r="R691" s="72"/>
      <c r="S691" s="72"/>
      <c r="T691" s="23"/>
      <c r="U691" s="40"/>
      <c r="V691" s="23"/>
      <c r="W691" s="72"/>
      <c r="X691" s="23"/>
      <c r="Y691" s="40"/>
      <c r="Z691" s="23"/>
      <c r="AA691" s="72"/>
      <c r="AB691" s="23"/>
      <c r="AC691" s="40"/>
      <c r="AD691" s="23"/>
      <c r="AE691" s="23"/>
    </row>
    <row r="692" spans="1:32" ht="12.75">
      <c r="A692" s="23"/>
      <c r="B692" s="64"/>
      <c r="C692" s="62"/>
      <c r="D692" s="92"/>
      <c r="E692" s="65"/>
      <c r="F692" s="65"/>
      <c r="G692" s="67"/>
      <c r="H692" s="67"/>
      <c r="I692" s="71"/>
      <c r="J692" s="70"/>
      <c r="K692" s="23"/>
      <c r="L692" s="70"/>
      <c r="M692" s="70"/>
      <c r="N692" s="70"/>
      <c r="O692" s="40"/>
      <c r="P692" s="23"/>
      <c r="Q692" s="23"/>
      <c r="R692" s="72"/>
      <c r="S692" s="72"/>
      <c r="T692" s="23"/>
      <c r="U692" s="40"/>
      <c r="V692" s="23"/>
      <c r="W692" s="72"/>
      <c r="X692" s="23"/>
      <c r="Y692" s="40"/>
      <c r="Z692" s="23"/>
      <c r="AA692" s="72"/>
      <c r="AB692" s="23"/>
      <c r="AC692" s="40"/>
      <c r="AD692" s="23"/>
      <c r="AE692" s="23"/>
    </row>
    <row r="693" spans="1:32" ht="12.75">
      <c r="A693" s="23"/>
      <c r="B693" s="64"/>
      <c r="C693" s="62"/>
      <c r="D693" s="92"/>
      <c r="E693" s="65"/>
      <c r="F693" s="65"/>
      <c r="G693" s="67"/>
      <c r="H693" s="67"/>
      <c r="I693" s="71"/>
      <c r="J693" s="70"/>
      <c r="K693" s="23"/>
      <c r="L693" s="70"/>
      <c r="M693" s="70"/>
      <c r="N693" s="70"/>
      <c r="O693" s="40"/>
      <c r="P693" s="23"/>
      <c r="Q693" s="23"/>
      <c r="R693" s="72"/>
      <c r="S693" s="72"/>
      <c r="T693" s="23"/>
      <c r="U693" s="40"/>
      <c r="V693" s="23"/>
      <c r="W693" s="72"/>
      <c r="X693" s="23"/>
      <c r="Y693" s="40"/>
      <c r="Z693" s="23"/>
      <c r="AA693" s="72"/>
      <c r="AB693" s="23"/>
      <c r="AC693" s="40"/>
      <c r="AD693" s="23"/>
      <c r="AE693" s="23"/>
    </row>
    <row r="694" spans="1:32" ht="12.75">
      <c r="A694" s="23"/>
      <c r="B694" s="64"/>
      <c r="C694" s="62"/>
      <c r="D694" s="92"/>
      <c r="E694" s="65"/>
      <c r="F694" s="65"/>
      <c r="G694" s="67"/>
      <c r="H694" s="67"/>
      <c r="I694" s="71"/>
      <c r="J694" s="70"/>
      <c r="K694" s="23"/>
      <c r="L694" s="70"/>
      <c r="M694" s="70"/>
      <c r="N694" s="70"/>
      <c r="O694" s="40"/>
      <c r="P694" s="23"/>
      <c r="Q694" s="23"/>
      <c r="R694" s="72"/>
      <c r="S694" s="72"/>
      <c r="T694" s="23"/>
      <c r="U694" s="40"/>
      <c r="V694" s="23"/>
      <c r="W694" s="72"/>
      <c r="X694" s="23"/>
      <c r="Y694" s="40"/>
      <c r="Z694" s="23"/>
      <c r="AA694" s="72"/>
      <c r="AB694" s="23"/>
      <c r="AC694" s="40"/>
      <c r="AD694" s="23"/>
      <c r="AE694" s="23"/>
    </row>
    <row r="695" spans="1:32" ht="12.75">
      <c r="A695" s="23"/>
      <c r="B695" s="64"/>
      <c r="C695" s="62"/>
      <c r="D695" s="92"/>
      <c r="E695" s="65"/>
      <c r="F695" s="65"/>
      <c r="G695" s="67"/>
      <c r="H695" s="67"/>
      <c r="I695" s="71"/>
      <c r="J695" s="70"/>
      <c r="K695" s="23"/>
      <c r="L695" s="70"/>
      <c r="M695" s="70"/>
      <c r="N695" s="70"/>
      <c r="O695" s="40"/>
      <c r="P695" s="23"/>
      <c r="Q695" s="23"/>
      <c r="R695" s="72"/>
      <c r="S695" s="72"/>
      <c r="T695" s="23"/>
      <c r="U695" s="40"/>
      <c r="V695" s="23"/>
      <c r="W695" s="72"/>
      <c r="X695" s="23"/>
      <c r="Y695" s="40"/>
      <c r="Z695" s="23"/>
      <c r="AA695" s="72"/>
      <c r="AB695" s="23"/>
      <c r="AC695" s="40"/>
      <c r="AD695" s="23"/>
      <c r="AE695" s="23"/>
    </row>
    <row r="696" spans="1:32" ht="12.75">
      <c r="A696" s="23"/>
      <c r="B696" s="64"/>
      <c r="C696" s="62"/>
      <c r="D696" s="92"/>
      <c r="E696" s="65"/>
      <c r="F696" s="65"/>
      <c r="G696" s="67"/>
      <c r="H696" s="67"/>
      <c r="I696" s="71"/>
      <c r="J696" s="70"/>
      <c r="K696" s="23"/>
      <c r="L696" s="70"/>
      <c r="M696" s="70"/>
      <c r="N696" s="70"/>
      <c r="O696" s="40"/>
      <c r="P696" s="23"/>
      <c r="Q696" s="23"/>
      <c r="R696" s="72"/>
      <c r="S696" s="72"/>
      <c r="T696" s="23"/>
      <c r="U696" s="40"/>
      <c r="V696" s="23"/>
      <c r="W696" s="72"/>
      <c r="X696" s="23"/>
      <c r="Y696" s="40"/>
      <c r="Z696" s="23"/>
      <c r="AA696" s="72"/>
      <c r="AB696" s="23"/>
      <c r="AC696" s="40"/>
      <c r="AD696" s="23"/>
      <c r="AE696" s="23"/>
    </row>
    <row r="697" spans="1:32" s="23" customFormat="1" ht="12.75">
      <c r="B697" s="64"/>
      <c r="C697" s="62"/>
      <c r="D697" s="92"/>
      <c r="E697" s="65"/>
      <c r="F697" s="65"/>
      <c r="G697" s="67"/>
      <c r="H697" s="67"/>
      <c r="I697" s="71"/>
      <c r="J697" s="70"/>
      <c r="L697" s="70"/>
      <c r="M697" s="70"/>
      <c r="N697" s="70"/>
      <c r="O697" s="40"/>
      <c r="R697" s="72"/>
      <c r="S697" s="72"/>
      <c r="U697" s="40"/>
      <c r="W697" s="72"/>
      <c r="Y697" s="40"/>
      <c r="AA697" s="72"/>
      <c r="AC697" s="40"/>
      <c r="AF697" s="93"/>
    </row>
    <row r="698" spans="1:32" s="23" customFormat="1" ht="12.75">
      <c r="B698" s="64"/>
      <c r="C698" s="62"/>
      <c r="D698" s="92"/>
      <c r="E698" s="65"/>
      <c r="F698" s="65"/>
      <c r="G698" s="67"/>
      <c r="H698" s="67"/>
      <c r="I698" s="71"/>
      <c r="J698" s="70"/>
      <c r="L698" s="70"/>
      <c r="M698" s="70"/>
      <c r="N698" s="70"/>
      <c r="O698" s="40"/>
      <c r="R698" s="72"/>
      <c r="S698" s="72"/>
      <c r="U698" s="40"/>
      <c r="W698" s="72"/>
      <c r="Y698" s="40"/>
      <c r="AA698" s="72"/>
      <c r="AC698" s="40"/>
      <c r="AF698" s="93"/>
    </row>
    <row r="699" spans="1:32" s="23" customFormat="1" ht="12.75">
      <c r="B699" s="64"/>
      <c r="C699" s="62"/>
      <c r="D699" s="92"/>
      <c r="E699" s="65"/>
      <c r="F699" s="65"/>
      <c r="G699" s="67"/>
      <c r="H699" s="67"/>
      <c r="I699" s="71"/>
      <c r="J699" s="70"/>
      <c r="L699" s="70"/>
      <c r="M699" s="70"/>
      <c r="O699" s="40"/>
      <c r="R699" s="72"/>
      <c r="S699" s="72"/>
      <c r="U699" s="40"/>
      <c r="W699" s="72"/>
      <c r="Y699" s="40"/>
      <c r="AA699" s="72"/>
      <c r="AC699" s="40"/>
      <c r="AF699" s="93"/>
    </row>
    <row r="700" spans="1:32" s="23" customFormat="1" ht="12.75">
      <c r="B700" s="64"/>
      <c r="C700" s="62"/>
      <c r="D700" s="92"/>
      <c r="E700" s="65"/>
      <c r="F700" s="65"/>
      <c r="G700" s="67"/>
      <c r="H700" s="67"/>
      <c r="I700" s="71"/>
      <c r="J700" s="70"/>
      <c r="L700" s="70"/>
      <c r="M700" s="70"/>
      <c r="N700" s="70"/>
      <c r="O700" s="40"/>
      <c r="R700" s="72"/>
      <c r="S700" s="72"/>
      <c r="U700" s="40"/>
      <c r="W700" s="72"/>
      <c r="Y700" s="40"/>
      <c r="AA700" s="72"/>
      <c r="AC700" s="40"/>
      <c r="AF700" s="93"/>
    </row>
    <row r="701" spans="1:32" s="23" customFormat="1" ht="12.75">
      <c r="B701" s="64"/>
      <c r="C701" s="62"/>
      <c r="D701" s="92"/>
      <c r="E701" s="65"/>
      <c r="F701" s="65"/>
      <c r="G701" s="67"/>
      <c r="H701" s="67"/>
      <c r="I701" s="71"/>
      <c r="J701" s="70"/>
      <c r="L701" s="70"/>
      <c r="M701" s="70"/>
      <c r="N701" s="70"/>
      <c r="O701" s="40"/>
      <c r="R701" s="72"/>
      <c r="S701" s="72"/>
      <c r="U701" s="40"/>
      <c r="W701" s="72"/>
      <c r="Y701" s="40"/>
      <c r="AA701" s="72"/>
      <c r="AC701" s="40"/>
      <c r="AF701" s="93"/>
    </row>
    <row r="702" spans="1:32" s="23" customFormat="1" ht="12.75">
      <c r="B702" s="64"/>
      <c r="C702" s="62"/>
      <c r="D702" s="92"/>
      <c r="E702" s="65"/>
      <c r="F702" s="65"/>
      <c r="G702" s="67"/>
      <c r="H702" s="67"/>
      <c r="I702" s="71"/>
      <c r="J702" s="70"/>
      <c r="L702" s="70"/>
      <c r="M702" s="70"/>
      <c r="N702" s="70"/>
      <c r="O702" s="40"/>
      <c r="R702" s="72"/>
      <c r="S702" s="72"/>
      <c r="U702" s="40"/>
      <c r="W702" s="72"/>
      <c r="Y702" s="40"/>
      <c r="AA702" s="72"/>
      <c r="AC702" s="40"/>
      <c r="AF702" s="93"/>
    </row>
    <row r="703" spans="1:32" s="23" customFormat="1" ht="12.75">
      <c r="B703" s="64"/>
      <c r="C703" s="62"/>
      <c r="D703" s="92"/>
      <c r="E703" s="65"/>
      <c r="F703" s="65"/>
      <c r="G703" s="67"/>
      <c r="H703" s="67"/>
      <c r="I703" s="71"/>
      <c r="J703" s="70"/>
      <c r="L703" s="70"/>
      <c r="M703" s="70"/>
      <c r="N703" s="70"/>
      <c r="O703" s="40"/>
      <c r="R703" s="72"/>
      <c r="S703" s="72"/>
      <c r="U703" s="40"/>
      <c r="W703" s="72"/>
      <c r="Y703" s="40"/>
      <c r="AA703" s="72"/>
      <c r="AC703" s="40"/>
      <c r="AF703" s="93"/>
    </row>
    <row r="704" spans="1:32" s="23" customFormat="1" ht="12.75">
      <c r="B704" s="64"/>
      <c r="C704" s="62"/>
      <c r="D704" s="92"/>
      <c r="E704" s="65"/>
      <c r="F704" s="65"/>
      <c r="G704" s="67"/>
      <c r="H704" s="67"/>
      <c r="I704" s="71"/>
      <c r="J704" s="70"/>
      <c r="L704" s="70"/>
      <c r="M704" s="70"/>
      <c r="N704" s="70"/>
      <c r="O704" s="40"/>
      <c r="R704" s="72"/>
      <c r="S704" s="72"/>
      <c r="U704" s="40"/>
      <c r="W704" s="72"/>
      <c r="Y704" s="40"/>
      <c r="AA704" s="72"/>
      <c r="AC704" s="40"/>
      <c r="AF704" s="93"/>
    </row>
    <row r="705" spans="1:32" s="23" customFormat="1" ht="12.75">
      <c r="B705" s="64"/>
      <c r="C705" s="62"/>
      <c r="D705" s="92"/>
      <c r="E705" s="65"/>
      <c r="F705" s="65"/>
      <c r="G705" s="67"/>
      <c r="H705" s="67"/>
      <c r="I705" s="71"/>
      <c r="J705" s="70"/>
      <c r="L705" s="70"/>
      <c r="M705" s="70"/>
      <c r="N705" s="70"/>
      <c r="O705" s="40"/>
      <c r="R705" s="72"/>
      <c r="S705" s="72"/>
      <c r="U705" s="40"/>
      <c r="W705" s="72"/>
      <c r="Y705" s="40"/>
      <c r="AA705" s="72"/>
      <c r="AC705" s="40"/>
      <c r="AF705" s="93"/>
    </row>
    <row r="706" spans="1:32" s="23" customFormat="1" ht="12.75">
      <c r="B706" s="64"/>
      <c r="C706" s="62"/>
      <c r="D706" s="92"/>
      <c r="E706" s="65"/>
      <c r="F706" s="65"/>
      <c r="G706" s="67"/>
      <c r="H706" s="67"/>
      <c r="I706" s="71"/>
      <c r="J706" s="70"/>
      <c r="L706" s="70"/>
      <c r="M706" s="70"/>
      <c r="N706" s="70"/>
      <c r="O706" s="40"/>
      <c r="R706" s="72"/>
      <c r="S706" s="72"/>
      <c r="U706" s="40"/>
      <c r="W706" s="72"/>
      <c r="Y706" s="40"/>
      <c r="AA706" s="72"/>
      <c r="AC706" s="40"/>
      <c r="AF706" s="93"/>
    </row>
    <row r="707" spans="1:32" s="23" customFormat="1" ht="12.75">
      <c r="B707" s="64"/>
      <c r="C707" s="62"/>
      <c r="D707" s="92"/>
      <c r="E707" s="65"/>
      <c r="F707" s="65"/>
      <c r="G707" s="67"/>
      <c r="H707" s="67"/>
      <c r="I707" s="71"/>
      <c r="J707" s="70"/>
      <c r="L707" s="70"/>
      <c r="M707" s="70"/>
      <c r="N707" s="70"/>
      <c r="O707" s="40"/>
      <c r="R707" s="72"/>
      <c r="S707" s="72"/>
      <c r="U707" s="40"/>
      <c r="W707" s="72"/>
      <c r="Y707" s="40"/>
      <c r="AA707" s="72"/>
      <c r="AC707" s="40"/>
      <c r="AF707" s="93"/>
    </row>
    <row r="708" spans="1:32" s="23" customFormat="1" ht="12.75">
      <c r="B708" s="64"/>
      <c r="C708" s="62"/>
      <c r="D708" s="92"/>
      <c r="E708" s="65"/>
      <c r="F708" s="65"/>
      <c r="G708" s="67"/>
      <c r="H708" s="67"/>
      <c r="I708" s="71"/>
      <c r="J708" s="70"/>
      <c r="L708" s="70"/>
      <c r="M708" s="70"/>
      <c r="N708" s="70"/>
      <c r="O708" s="40"/>
      <c r="R708" s="72"/>
      <c r="S708" s="72"/>
      <c r="U708" s="40"/>
      <c r="W708" s="72"/>
      <c r="Y708" s="40"/>
      <c r="AA708" s="72"/>
      <c r="AC708" s="40"/>
      <c r="AF708" s="93"/>
    </row>
    <row r="709" spans="1:32" s="23" customFormat="1" ht="12.75">
      <c r="B709" s="64"/>
      <c r="C709" s="62"/>
      <c r="D709" s="92"/>
      <c r="E709" s="65"/>
      <c r="F709" s="65"/>
      <c r="G709" s="67"/>
      <c r="H709" s="67"/>
      <c r="I709" s="71"/>
      <c r="J709" s="70"/>
      <c r="L709" s="70"/>
      <c r="M709" s="70"/>
      <c r="N709" s="70"/>
      <c r="O709" s="40"/>
      <c r="R709" s="72"/>
      <c r="S709" s="72"/>
      <c r="U709" s="40"/>
      <c r="W709" s="72"/>
      <c r="Y709" s="40"/>
      <c r="AA709" s="72"/>
      <c r="AC709" s="40"/>
      <c r="AF709" s="93"/>
    </row>
    <row r="710" spans="1:32" s="23" customFormat="1" ht="12.75">
      <c r="B710" s="64"/>
      <c r="C710" s="62"/>
      <c r="D710" s="92"/>
      <c r="E710" s="65"/>
      <c r="F710" s="65"/>
      <c r="G710" s="67"/>
      <c r="H710" s="67"/>
      <c r="I710" s="71"/>
      <c r="J710" s="70"/>
      <c r="L710" s="70"/>
      <c r="M710" s="70"/>
      <c r="N710" s="70"/>
      <c r="O710" s="40"/>
      <c r="R710" s="72"/>
      <c r="S710" s="72"/>
      <c r="U710" s="40"/>
      <c r="W710" s="72"/>
      <c r="Y710" s="40"/>
      <c r="AA710" s="72"/>
      <c r="AC710" s="40"/>
      <c r="AF710" s="93"/>
    </row>
    <row r="711" spans="1:32" s="23" customFormat="1" ht="12.75">
      <c r="B711" s="64"/>
      <c r="C711" s="62"/>
      <c r="D711" s="92"/>
      <c r="E711" s="65"/>
      <c r="F711" s="65"/>
      <c r="G711" s="67"/>
      <c r="H711" s="67"/>
      <c r="I711" s="71"/>
      <c r="J711" s="70"/>
      <c r="L711" s="70"/>
      <c r="M711" s="70"/>
      <c r="N711" s="70"/>
      <c r="O711" s="40"/>
      <c r="R711" s="72"/>
      <c r="S711" s="72"/>
      <c r="U711" s="40"/>
      <c r="W711" s="72"/>
      <c r="Y711" s="40"/>
      <c r="AA711" s="72"/>
      <c r="AC711" s="40"/>
      <c r="AF711" s="93"/>
    </row>
    <row r="712" spans="1:32" s="23" customFormat="1" ht="12.75">
      <c r="B712" s="64"/>
      <c r="C712" s="62"/>
      <c r="D712" s="92"/>
      <c r="E712" s="65"/>
      <c r="F712" s="65"/>
      <c r="G712" s="67"/>
      <c r="H712" s="67"/>
      <c r="I712" s="71"/>
      <c r="J712" s="70"/>
      <c r="L712" s="70"/>
      <c r="M712" s="70"/>
      <c r="N712" s="70"/>
      <c r="O712" s="40"/>
      <c r="R712" s="72"/>
      <c r="S712" s="72"/>
      <c r="U712" s="40"/>
      <c r="W712" s="72"/>
      <c r="Y712" s="40"/>
      <c r="AA712" s="72"/>
      <c r="AC712" s="40"/>
      <c r="AF712" s="93"/>
    </row>
    <row r="713" spans="1:32" s="23" customFormat="1" ht="12.75">
      <c r="B713" s="64"/>
      <c r="C713" s="62"/>
      <c r="D713" s="92"/>
      <c r="E713" s="65"/>
      <c r="F713" s="65"/>
      <c r="G713" s="67"/>
      <c r="H713" s="67"/>
      <c r="I713" s="71"/>
      <c r="J713" s="70"/>
      <c r="L713" s="70"/>
      <c r="M713" s="70"/>
      <c r="N713" s="70"/>
      <c r="O713" s="40"/>
      <c r="R713" s="72"/>
      <c r="S713" s="72"/>
      <c r="U713" s="40"/>
      <c r="W713" s="72"/>
      <c r="Y713" s="40"/>
      <c r="AA713" s="72"/>
      <c r="AC713" s="40"/>
      <c r="AF713" s="93"/>
    </row>
    <row r="714" spans="1:32" s="23" customFormat="1" ht="12.75">
      <c r="B714" s="64"/>
      <c r="C714" s="62"/>
      <c r="D714" s="92"/>
      <c r="E714" s="65"/>
      <c r="F714" s="65"/>
      <c r="G714" s="67"/>
      <c r="H714" s="67"/>
      <c r="I714" s="71"/>
      <c r="J714" s="70"/>
      <c r="L714" s="70"/>
      <c r="M714" s="70"/>
      <c r="N714" s="70"/>
      <c r="O714" s="40"/>
      <c r="R714" s="72"/>
      <c r="S714" s="72"/>
      <c r="U714" s="40"/>
      <c r="W714" s="72"/>
      <c r="Y714" s="40"/>
      <c r="AA714" s="72"/>
      <c r="AC714" s="40"/>
      <c r="AF714" s="93"/>
    </row>
    <row r="715" spans="1:32" ht="12.75">
      <c r="A715" s="23"/>
      <c r="B715" s="64"/>
      <c r="C715" s="62"/>
      <c r="D715" s="92"/>
      <c r="E715" s="65"/>
      <c r="F715" s="65"/>
      <c r="G715" s="67"/>
      <c r="H715" s="67"/>
      <c r="I715" s="71"/>
      <c r="J715" s="70"/>
      <c r="K715" s="23"/>
      <c r="L715" s="70"/>
      <c r="M715" s="70"/>
      <c r="N715" s="70"/>
      <c r="O715" s="40"/>
      <c r="P715" s="23"/>
      <c r="Q715" s="23"/>
      <c r="R715" s="72"/>
      <c r="S715" s="72"/>
      <c r="T715" s="23"/>
      <c r="U715" s="40"/>
      <c r="V715" s="23"/>
      <c r="W715" s="72"/>
      <c r="X715" s="23"/>
      <c r="Y715" s="40"/>
      <c r="Z715" s="23"/>
      <c r="AA715" s="72"/>
      <c r="AB715" s="23"/>
      <c r="AC715" s="40"/>
      <c r="AD715" s="23"/>
      <c r="AE715" s="23"/>
    </row>
    <row r="716" spans="1:32" ht="12.75">
      <c r="A716" s="23"/>
      <c r="B716" s="64"/>
      <c r="C716" s="62"/>
      <c r="D716" s="92"/>
      <c r="E716" s="65"/>
      <c r="F716" s="65"/>
      <c r="G716" s="67"/>
      <c r="H716" s="67"/>
      <c r="I716" s="71"/>
      <c r="J716" s="70"/>
      <c r="K716" s="23"/>
      <c r="L716" s="70"/>
      <c r="M716" s="70"/>
      <c r="N716" s="70"/>
      <c r="O716" s="40"/>
      <c r="P716" s="23"/>
      <c r="Q716" s="23"/>
      <c r="R716" s="72"/>
      <c r="S716" s="72"/>
      <c r="T716" s="23"/>
      <c r="U716" s="40"/>
      <c r="V716" s="23"/>
      <c r="W716" s="72"/>
      <c r="X716" s="23"/>
      <c r="Y716" s="40"/>
      <c r="Z716" s="23"/>
      <c r="AA716" s="72"/>
      <c r="AB716" s="23"/>
      <c r="AC716" s="40"/>
      <c r="AD716" s="23"/>
      <c r="AE716" s="23"/>
    </row>
    <row r="717" spans="1:32" ht="12.75">
      <c r="A717" s="23"/>
      <c r="B717" s="64"/>
      <c r="C717" s="62"/>
      <c r="D717" s="92"/>
      <c r="E717" s="65"/>
      <c r="F717" s="65"/>
      <c r="G717" s="67"/>
      <c r="H717" s="67"/>
      <c r="I717" s="71"/>
      <c r="J717" s="70"/>
      <c r="K717" s="23"/>
      <c r="L717" s="70"/>
      <c r="M717" s="70"/>
      <c r="N717" s="70"/>
      <c r="O717" s="40"/>
      <c r="P717" s="23"/>
      <c r="Q717" s="23"/>
      <c r="R717" s="72"/>
      <c r="S717" s="72"/>
      <c r="T717" s="23"/>
      <c r="U717" s="40"/>
      <c r="V717" s="23"/>
      <c r="W717" s="72"/>
      <c r="X717" s="23"/>
      <c r="Y717" s="40"/>
      <c r="Z717" s="23"/>
      <c r="AA717" s="72"/>
      <c r="AB717" s="23"/>
      <c r="AC717" s="40"/>
      <c r="AD717" s="23"/>
      <c r="AE717" s="23"/>
    </row>
    <row r="718" spans="1:32" ht="12.75">
      <c r="A718" s="23"/>
      <c r="B718" s="64"/>
      <c r="C718" s="62"/>
      <c r="D718" s="92"/>
      <c r="E718" s="65"/>
      <c r="F718" s="65"/>
      <c r="G718" s="67"/>
      <c r="H718" s="67"/>
      <c r="I718" s="71"/>
      <c r="J718" s="70"/>
      <c r="K718" s="23"/>
      <c r="L718" s="70"/>
      <c r="M718" s="70"/>
      <c r="N718" s="70"/>
      <c r="O718" s="40"/>
      <c r="P718" s="23"/>
      <c r="Q718" s="23"/>
      <c r="R718" s="72"/>
      <c r="S718" s="72"/>
      <c r="T718" s="23"/>
      <c r="U718" s="40"/>
      <c r="V718" s="23"/>
      <c r="W718" s="72"/>
      <c r="X718" s="23"/>
      <c r="Y718" s="40"/>
      <c r="Z718" s="23"/>
      <c r="AA718" s="72"/>
      <c r="AB718" s="23"/>
      <c r="AC718" s="40"/>
      <c r="AD718" s="23"/>
      <c r="AE718" s="23"/>
    </row>
    <row r="719" spans="1:32" ht="12.75">
      <c r="A719" s="23"/>
      <c r="B719" s="64"/>
      <c r="C719" s="62"/>
      <c r="D719" s="92"/>
      <c r="E719" s="65"/>
      <c r="F719" s="65"/>
      <c r="G719" s="67"/>
      <c r="H719" s="67"/>
      <c r="I719" s="71"/>
      <c r="J719" s="70"/>
      <c r="K719" s="23"/>
      <c r="L719" s="70"/>
      <c r="M719" s="70"/>
      <c r="N719" s="70"/>
      <c r="O719" s="40"/>
      <c r="P719" s="23"/>
      <c r="Q719" s="23"/>
      <c r="R719" s="72"/>
      <c r="S719" s="72"/>
      <c r="T719" s="23"/>
      <c r="U719" s="40"/>
      <c r="V719" s="23"/>
      <c r="W719" s="72"/>
      <c r="X719" s="23"/>
      <c r="Y719" s="40"/>
      <c r="Z719" s="23"/>
      <c r="AA719" s="72"/>
      <c r="AB719" s="23"/>
      <c r="AC719" s="40"/>
      <c r="AD719" s="23"/>
      <c r="AE719" s="23"/>
    </row>
    <row r="720" spans="1:32" ht="12.75">
      <c r="A720" s="23"/>
      <c r="B720" s="64"/>
      <c r="C720" s="62"/>
      <c r="D720" s="92"/>
      <c r="E720" s="65"/>
      <c r="F720" s="65"/>
      <c r="G720" s="67"/>
      <c r="H720" s="67"/>
      <c r="I720" s="71"/>
      <c r="J720" s="70"/>
      <c r="K720" s="23"/>
      <c r="L720" s="70"/>
      <c r="M720" s="70"/>
      <c r="N720" s="70"/>
      <c r="O720" s="40"/>
      <c r="P720" s="23"/>
      <c r="Q720" s="23"/>
      <c r="R720" s="72"/>
      <c r="S720" s="72"/>
      <c r="T720" s="23"/>
      <c r="U720" s="40"/>
      <c r="V720" s="23"/>
      <c r="W720" s="72"/>
      <c r="X720" s="23"/>
      <c r="Y720" s="40"/>
      <c r="Z720" s="23"/>
      <c r="AA720" s="72"/>
      <c r="AB720" s="23"/>
      <c r="AC720" s="40"/>
      <c r="AD720" s="23"/>
      <c r="AE720" s="23"/>
    </row>
    <row r="721" spans="1:31" ht="12.75">
      <c r="A721" s="23"/>
      <c r="B721" s="64"/>
      <c r="C721" s="62"/>
      <c r="D721" s="92"/>
      <c r="E721" s="65"/>
      <c r="F721" s="65"/>
      <c r="G721" s="67"/>
      <c r="H721" s="67"/>
      <c r="I721" s="71"/>
      <c r="J721" s="70"/>
      <c r="K721" s="23"/>
      <c r="L721" s="70"/>
      <c r="M721" s="70"/>
      <c r="N721" s="70"/>
      <c r="O721" s="40"/>
      <c r="P721" s="23"/>
      <c r="Q721" s="23"/>
      <c r="R721" s="72"/>
      <c r="S721" s="72"/>
      <c r="T721" s="23"/>
      <c r="U721" s="40"/>
      <c r="V721" s="23"/>
      <c r="W721" s="72"/>
      <c r="X721" s="23"/>
      <c r="Y721" s="40"/>
      <c r="Z721" s="23"/>
      <c r="AA721" s="72"/>
      <c r="AB721" s="23"/>
      <c r="AC721" s="40"/>
      <c r="AD721" s="23"/>
      <c r="AE721" s="23"/>
    </row>
    <row r="722" spans="1:31" ht="12.75">
      <c r="A722" s="23"/>
      <c r="B722" s="64"/>
      <c r="C722" s="62"/>
      <c r="D722" s="92"/>
      <c r="E722" s="65"/>
      <c r="F722" s="65"/>
      <c r="G722" s="67"/>
      <c r="H722" s="67"/>
      <c r="I722" s="71"/>
      <c r="J722" s="70"/>
      <c r="K722" s="23"/>
      <c r="L722" s="70"/>
      <c r="M722" s="70"/>
      <c r="N722" s="70"/>
      <c r="O722" s="40"/>
      <c r="P722" s="23"/>
      <c r="Q722" s="23"/>
      <c r="R722" s="72"/>
      <c r="S722" s="72"/>
      <c r="T722" s="23"/>
      <c r="U722" s="40"/>
      <c r="V722" s="23"/>
      <c r="W722" s="72"/>
      <c r="X722" s="23"/>
      <c r="Y722" s="40"/>
      <c r="Z722" s="23"/>
      <c r="AA722" s="72"/>
      <c r="AB722" s="23"/>
      <c r="AC722" s="40"/>
      <c r="AD722" s="23"/>
      <c r="AE722" s="23"/>
    </row>
    <row r="723" spans="1:31" ht="12.75">
      <c r="A723" s="23"/>
      <c r="B723" s="64"/>
      <c r="C723" s="62"/>
      <c r="D723" s="92"/>
      <c r="E723" s="65"/>
      <c r="F723" s="65"/>
      <c r="G723" s="67"/>
      <c r="H723" s="67"/>
      <c r="I723" s="71"/>
      <c r="J723" s="70"/>
      <c r="K723" s="23"/>
      <c r="L723" s="70"/>
      <c r="M723" s="70"/>
      <c r="N723" s="70"/>
      <c r="O723" s="40"/>
      <c r="P723" s="23"/>
      <c r="Q723" s="23"/>
      <c r="R723" s="72"/>
      <c r="S723" s="72"/>
      <c r="T723" s="23"/>
      <c r="U723" s="40"/>
      <c r="V723" s="23"/>
      <c r="W723" s="72"/>
      <c r="X723" s="23"/>
      <c r="Y723" s="40"/>
      <c r="Z723" s="23"/>
      <c r="AA723" s="72"/>
      <c r="AB723" s="23"/>
      <c r="AC723" s="40"/>
      <c r="AD723" s="23"/>
      <c r="AE723" s="23"/>
    </row>
    <row r="724" spans="1:31" ht="12.75">
      <c r="A724" s="23"/>
      <c r="B724" s="64"/>
      <c r="C724" s="62"/>
      <c r="D724" s="92"/>
      <c r="E724" s="65"/>
      <c r="F724" s="65"/>
      <c r="G724" s="67"/>
      <c r="H724" s="67"/>
      <c r="I724" s="71"/>
      <c r="J724" s="70"/>
      <c r="K724" s="23"/>
      <c r="L724" s="70"/>
      <c r="M724" s="70"/>
      <c r="N724" s="70"/>
      <c r="O724" s="40"/>
      <c r="P724" s="23"/>
      <c r="Q724" s="23"/>
      <c r="R724" s="72"/>
      <c r="S724" s="72"/>
      <c r="T724" s="23"/>
      <c r="U724" s="40"/>
      <c r="V724" s="23"/>
      <c r="W724" s="72"/>
      <c r="X724" s="23"/>
      <c r="Y724" s="40"/>
      <c r="Z724" s="23"/>
      <c r="AA724" s="72"/>
      <c r="AB724" s="23"/>
      <c r="AC724" s="40"/>
      <c r="AD724" s="23"/>
      <c r="AE724" s="23"/>
    </row>
    <row r="725" spans="1:31" ht="12.75">
      <c r="A725" s="23"/>
      <c r="B725" s="64"/>
      <c r="C725" s="62"/>
      <c r="D725" s="92"/>
      <c r="E725" s="65"/>
      <c r="F725" s="65"/>
      <c r="G725" s="67"/>
      <c r="H725" s="67"/>
      <c r="I725" s="71"/>
      <c r="J725" s="70"/>
      <c r="K725" s="23"/>
      <c r="L725" s="70"/>
      <c r="M725" s="70"/>
      <c r="N725" s="70"/>
      <c r="O725" s="40"/>
      <c r="P725" s="23"/>
      <c r="Q725" s="23"/>
      <c r="R725" s="72"/>
      <c r="S725" s="72"/>
      <c r="T725" s="23"/>
      <c r="U725" s="40"/>
      <c r="V725" s="23"/>
      <c r="W725" s="72"/>
      <c r="X725" s="23"/>
      <c r="Y725" s="40"/>
      <c r="Z725" s="23"/>
      <c r="AA725" s="72"/>
      <c r="AB725" s="23"/>
      <c r="AC725" s="40"/>
      <c r="AD725" s="23"/>
      <c r="AE725" s="23"/>
    </row>
    <row r="726" spans="1:31" ht="12.75">
      <c r="A726" s="23"/>
      <c r="B726" s="64"/>
      <c r="C726" s="62"/>
      <c r="D726" s="92"/>
      <c r="E726" s="65"/>
      <c r="F726" s="65"/>
      <c r="G726" s="67"/>
      <c r="H726" s="67"/>
      <c r="I726" s="71"/>
      <c r="J726" s="70"/>
      <c r="K726" s="23"/>
      <c r="L726" s="70"/>
      <c r="M726" s="70"/>
      <c r="N726" s="70"/>
      <c r="O726" s="40"/>
      <c r="P726" s="23"/>
      <c r="Q726" s="23"/>
      <c r="R726" s="72"/>
      <c r="S726" s="72"/>
      <c r="T726" s="23"/>
      <c r="U726" s="40"/>
      <c r="V726" s="23"/>
      <c r="W726" s="72"/>
      <c r="X726" s="23"/>
      <c r="Y726" s="40"/>
      <c r="Z726" s="23"/>
      <c r="AA726" s="72"/>
      <c r="AB726" s="23"/>
      <c r="AC726" s="40"/>
      <c r="AD726" s="23"/>
      <c r="AE726" s="23"/>
    </row>
    <row r="727" spans="1:31" ht="12.75">
      <c r="A727" s="23"/>
      <c r="B727" s="64"/>
      <c r="C727" s="62"/>
      <c r="D727" s="92"/>
      <c r="E727" s="65"/>
      <c r="F727" s="65"/>
      <c r="G727" s="67"/>
      <c r="H727" s="67"/>
      <c r="I727" s="71"/>
      <c r="J727" s="70"/>
      <c r="K727" s="23"/>
      <c r="L727" s="70"/>
      <c r="M727" s="70"/>
      <c r="N727" s="70"/>
      <c r="O727" s="40"/>
      <c r="P727" s="23"/>
      <c r="Q727" s="23"/>
      <c r="R727" s="72"/>
      <c r="S727" s="72"/>
      <c r="T727" s="23"/>
      <c r="U727" s="40"/>
      <c r="V727" s="23"/>
      <c r="W727" s="72"/>
      <c r="X727" s="23"/>
      <c r="Y727" s="40"/>
      <c r="Z727" s="23"/>
      <c r="AA727" s="72"/>
      <c r="AB727" s="23"/>
      <c r="AC727" s="40"/>
      <c r="AD727" s="23"/>
      <c r="AE727" s="23"/>
    </row>
    <row r="728" spans="1:31" ht="12.75">
      <c r="A728" s="23"/>
      <c r="B728" s="64"/>
      <c r="C728" s="62"/>
      <c r="D728" s="92"/>
      <c r="E728" s="65"/>
      <c r="F728" s="65"/>
      <c r="G728" s="67"/>
      <c r="H728" s="67"/>
      <c r="I728" s="71"/>
      <c r="J728" s="70"/>
      <c r="K728" s="23"/>
      <c r="L728" s="70"/>
      <c r="M728" s="70"/>
      <c r="N728" s="70"/>
      <c r="O728" s="40"/>
      <c r="P728" s="23"/>
      <c r="Q728" s="23"/>
      <c r="R728" s="72"/>
      <c r="S728" s="72"/>
      <c r="T728" s="23"/>
      <c r="U728" s="40"/>
      <c r="V728" s="23"/>
      <c r="W728" s="72"/>
      <c r="X728" s="23"/>
      <c r="Y728" s="40"/>
      <c r="Z728" s="23"/>
      <c r="AA728" s="72"/>
      <c r="AB728" s="23"/>
      <c r="AC728" s="40"/>
      <c r="AD728" s="23"/>
      <c r="AE728" s="23"/>
    </row>
    <row r="729" spans="1:31" ht="12.75">
      <c r="A729" s="23"/>
      <c r="B729" s="64"/>
      <c r="C729" s="62"/>
      <c r="D729" s="92"/>
      <c r="E729" s="65"/>
      <c r="F729" s="65"/>
      <c r="G729" s="67"/>
      <c r="H729" s="67"/>
      <c r="I729" s="71"/>
      <c r="J729" s="70"/>
      <c r="K729" s="23"/>
      <c r="L729" s="70"/>
      <c r="M729" s="70"/>
      <c r="N729" s="70"/>
      <c r="O729" s="40"/>
      <c r="P729" s="23"/>
      <c r="Q729" s="23"/>
      <c r="R729" s="72"/>
      <c r="S729" s="72"/>
      <c r="T729" s="23"/>
      <c r="U729" s="40"/>
      <c r="V729" s="23"/>
      <c r="W729" s="72"/>
      <c r="X729" s="23"/>
      <c r="Y729" s="40"/>
      <c r="Z729" s="23"/>
      <c r="AA729" s="72"/>
      <c r="AB729" s="23"/>
      <c r="AC729" s="40"/>
      <c r="AD729" s="23"/>
      <c r="AE729" s="23"/>
    </row>
    <row r="730" spans="1:31" ht="12.75">
      <c r="A730" s="23"/>
      <c r="B730" s="64"/>
      <c r="C730" s="62"/>
      <c r="D730" s="92"/>
      <c r="E730" s="65"/>
      <c r="F730" s="65"/>
      <c r="G730" s="67"/>
      <c r="H730" s="67"/>
      <c r="I730" s="71"/>
      <c r="J730" s="70"/>
      <c r="K730" s="23"/>
      <c r="L730" s="70"/>
      <c r="M730" s="70"/>
      <c r="N730" s="70"/>
      <c r="O730" s="40"/>
      <c r="P730" s="23"/>
      <c r="Q730" s="23"/>
      <c r="R730" s="72"/>
      <c r="S730" s="72"/>
      <c r="T730" s="23"/>
      <c r="U730" s="40"/>
      <c r="V730" s="23"/>
      <c r="W730" s="72"/>
      <c r="X730" s="23"/>
      <c r="Y730" s="40"/>
      <c r="Z730" s="23"/>
      <c r="AA730" s="72"/>
      <c r="AB730" s="23"/>
      <c r="AC730" s="40"/>
      <c r="AD730" s="23"/>
      <c r="AE730" s="23"/>
    </row>
    <row r="731" spans="1:31" ht="12.75">
      <c r="A731" s="23"/>
      <c r="B731" s="64"/>
      <c r="C731" s="62"/>
      <c r="D731" s="92"/>
      <c r="E731" s="65"/>
      <c r="F731" s="65"/>
      <c r="G731" s="67"/>
      <c r="H731" s="67"/>
      <c r="I731" s="71"/>
      <c r="J731" s="70"/>
      <c r="K731" s="23"/>
      <c r="L731" s="70"/>
      <c r="M731" s="70"/>
      <c r="N731" s="70"/>
      <c r="O731" s="40"/>
      <c r="P731" s="23"/>
      <c r="Q731" s="23"/>
      <c r="R731" s="72"/>
      <c r="S731" s="72"/>
      <c r="T731" s="23"/>
      <c r="U731" s="40"/>
      <c r="V731" s="23"/>
      <c r="W731" s="72"/>
      <c r="X731" s="23"/>
      <c r="Y731" s="40"/>
      <c r="Z731" s="23"/>
      <c r="AA731" s="72"/>
      <c r="AB731" s="23"/>
      <c r="AC731" s="40"/>
      <c r="AD731" s="23"/>
      <c r="AE731" s="23"/>
    </row>
    <row r="732" spans="1:31" ht="12.75">
      <c r="A732" s="23"/>
      <c r="B732" s="64"/>
      <c r="C732" s="62"/>
      <c r="D732" s="92"/>
      <c r="E732" s="65"/>
      <c r="F732" s="65"/>
      <c r="G732" s="67"/>
      <c r="H732" s="67"/>
      <c r="I732" s="71"/>
      <c r="J732" s="70"/>
      <c r="K732" s="23"/>
      <c r="L732" s="70"/>
      <c r="M732" s="70"/>
      <c r="N732" s="70"/>
      <c r="O732" s="40"/>
      <c r="P732" s="23"/>
      <c r="Q732" s="23"/>
      <c r="R732" s="72"/>
      <c r="S732" s="72"/>
      <c r="T732" s="23"/>
      <c r="U732" s="40"/>
      <c r="V732" s="23"/>
      <c r="W732" s="72"/>
      <c r="X732" s="23"/>
      <c r="Y732" s="40"/>
      <c r="Z732" s="23"/>
      <c r="AA732" s="72"/>
      <c r="AB732" s="23"/>
      <c r="AC732" s="40"/>
      <c r="AD732" s="23"/>
      <c r="AE732" s="23"/>
    </row>
    <row r="733" spans="1:31" ht="12.75">
      <c r="A733" s="23"/>
      <c r="B733" s="64"/>
      <c r="C733" s="62"/>
      <c r="D733" s="92"/>
      <c r="E733" s="65"/>
      <c r="F733" s="65"/>
      <c r="G733" s="67"/>
      <c r="H733" s="67"/>
      <c r="I733" s="71"/>
      <c r="J733" s="70"/>
      <c r="K733" s="23"/>
      <c r="L733" s="70"/>
      <c r="M733" s="70"/>
      <c r="N733" s="70"/>
      <c r="O733" s="40"/>
      <c r="P733" s="23"/>
      <c r="Q733" s="23"/>
      <c r="R733" s="72"/>
      <c r="S733" s="72"/>
      <c r="T733" s="23"/>
      <c r="U733" s="40"/>
      <c r="V733" s="23"/>
      <c r="W733" s="72"/>
      <c r="X733" s="23"/>
      <c r="Y733" s="40"/>
      <c r="Z733" s="23"/>
      <c r="AA733" s="72"/>
      <c r="AB733" s="23"/>
      <c r="AC733" s="40"/>
      <c r="AD733" s="23"/>
      <c r="AE733" s="23"/>
    </row>
    <row r="734" spans="1:31" ht="12.75">
      <c r="A734" s="23"/>
      <c r="B734" s="64"/>
      <c r="C734" s="62"/>
      <c r="D734" s="92"/>
      <c r="E734" s="65"/>
      <c r="F734" s="65"/>
      <c r="G734" s="67"/>
      <c r="H734" s="67"/>
      <c r="I734" s="71"/>
      <c r="J734" s="70"/>
      <c r="K734" s="23"/>
      <c r="L734" s="70"/>
      <c r="M734" s="70"/>
      <c r="N734" s="70"/>
      <c r="O734" s="40"/>
      <c r="P734" s="23"/>
      <c r="Q734" s="23"/>
      <c r="R734" s="72"/>
      <c r="S734" s="72"/>
      <c r="T734" s="23"/>
      <c r="U734" s="40"/>
      <c r="V734" s="23"/>
      <c r="W734" s="72"/>
      <c r="X734" s="23"/>
      <c r="Y734" s="40"/>
      <c r="Z734" s="23"/>
      <c r="AA734" s="72"/>
      <c r="AB734" s="23"/>
      <c r="AC734" s="40"/>
      <c r="AD734" s="23"/>
      <c r="AE734" s="23"/>
    </row>
    <row r="735" spans="1:31" ht="12.75">
      <c r="A735" s="23"/>
      <c r="B735" s="64"/>
      <c r="C735" s="62"/>
      <c r="D735" s="92"/>
      <c r="E735" s="65"/>
      <c r="F735" s="65"/>
      <c r="G735" s="67"/>
      <c r="H735" s="67"/>
      <c r="I735" s="71"/>
      <c r="J735" s="70"/>
      <c r="K735" s="23"/>
      <c r="L735" s="70"/>
      <c r="M735" s="70"/>
      <c r="N735" s="70"/>
      <c r="O735" s="40"/>
      <c r="P735" s="23"/>
      <c r="Q735" s="23"/>
      <c r="R735" s="72"/>
      <c r="S735" s="72"/>
      <c r="T735" s="23"/>
      <c r="U735" s="40"/>
      <c r="V735" s="23"/>
      <c r="W735" s="72"/>
      <c r="X735" s="23"/>
      <c r="Y735" s="40"/>
      <c r="Z735" s="23"/>
      <c r="AA735" s="72"/>
      <c r="AB735" s="23"/>
      <c r="AC735" s="40"/>
      <c r="AD735" s="23"/>
      <c r="AE735" s="23"/>
    </row>
    <row r="736" spans="1:31" ht="12.75">
      <c r="A736" s="23"/>
      <c r="B736" s="64"/>
      <c r="C736" s="62"/>
      <c r="D736" s="92"/>
      <c r="E736" s="65"/>
      <c r="F736" s="65"/>
      <c r="G736" s="67"/>
      <c r="H736" s="67"/>
      <c r="I736" s="71"/>
      <c r="J736" s="70"/>
      <c r="K736" s="23"/>
      <c r="L736" s="70"/>
      <c r="M736" s="70"/>
      <c r="N736" s="70"/>
      <c r="O736" s="40"/>
      <c r="P736" s="23"/>
      <c r="Q736" s="23"/>
      <c r="R736" s="72"/>
      <c r="S736" s="72"/>
      <c r="T736" s="23"/>
      <c r="U736" s="40"/>
      <c r="V736" s="23"/>
      <c r="W736" s="72"/>
      <c r="X736" s="23"/>
      <c r="Y736" s="40"/>
      <c r="Z736" s="23"/>
      <c r="AA736" s="72"/>
      <c r="AB736" s="23"/>
      <c r="AC736" s="40"/>
      <c r="AD736" s="23"/>
      <c r="AE736" s="23"/>
    </row>
    <row r="737" spans="1:31" ht="12.75">
      <c r="A737" s="23"/>
      <c r="B737" s="64"/>
      <c r="C737" s="62"/>
      <c r="D737" s="92"/>
      <c r="E737" s="65"/>
      <c r="F737" s="65"/>
      <c r="G737" s="67"/>
      <c r="H737" s="67"/>
      <c r="I737" s="71"/>
      <c r="J737" s="70"/>
      <c r="K737" s="23"/>
      <c r="L737" s="70"/>
      <c r="M737" s="70"/>
      <c r="N737" s="70"/>
      <c r="O737" s="40"/>
      <c r="P737" s="23"/>
      <c r="Q737" s="23"/>
      <c r="R737" s="72"/>
      <c r="S737" s="72"/>
      <c r="T737" s="23"/>
      <c r="U737" s="40"/>
      <c r="V737" s="23"/>
      <c r="W737" s="72"/>
      <c r="X737" s="23"/>
      <c r="Y737" s="40"/>
      <c r="Z737" s="23"/>
      <c r="AA737" s="72"/>
      <c r="AB737" s="23"/>
      <c r="AC737" s="40"/>
      <c r="AD737" s="23"/>
      <c r="AE737" s="23"/>
    </row>
    <row r="738" spans="1:31" ht="12.75">
      <c r="A738" s="23"/>
      <c r="B738" s="64"/>
      <c r="C738" s="62"/>
      <c r="D738" s="92"/>
      <c r="E738" s="65"/>
      <c r="F738" s="65"/>
      <c r="G738" s="67"/>
      <c r="H738" s="67"/>
      <c r="I738" s="71"/>
      <c r="J738" s="70"/>
      <c r="K738" s="23"/>
      <c r="L738" s="70"/>
      <c r="M738" s="70"/>
      <c r="N738" s="70"/>
      <c r="O738" s="40"/>
      <c r="P738" s="23"/>
      <c r="Q738" s="23"/>
      <c r="R738" s="72"/>
      <c r="S738" s="72"/>
      <c r="T738" s="23"/>
      <c r="U738" s="40"/>
      <c r="V738" s="23"/>
      <c r="W738" s="72"/>
      <c r="X738" s="23"/>
      <c r="Y738" s="40"/>
      <c r="Z738" s="23"/>
      <c r="AA738" s="72"/>
      <c r="AB738" s="23"/>
      <c r="AC738" s="40"/>
      <c r="AD738" s="23"/>
      <c r="AE738" s="23"/>
    </row>
    <row r="739" spans="1:31" ht="12.75">
      <c r="A739" s="23"/>
      <c r="B739" s="64"/>
      <c r="C739" s="62"/>
      <c r="D739" s="92"/>
      <c r="E739" s="65"/>
      <c r="F739" s="65"/>
      <c r="G739" s="67"/>
      <c r="H739" s="67"/>
      <c r="I739" s="71"/>
      <c r="J739" s="70"/>
      <c r="K739" s="23"/>
      <c r="L739" s="70"/>
      <c r="M739" s="70"/>
      <c r="N739" s="70"/>
      <c r="O739" s="40"/>
      <c r="P739" s="23"/>
      <c r="Q739" s="23"/>
      <c r="R739" s="72"/>
      <c r="S739" s="72"/>
      <c r="T739" s="23"/>
      <c r="U739" s="40"/>
      <c r="V739" s="23"/>
      <c r="W739" s="72"/>
      <c r="X739" s="23"/>
      <c r="Y739" s="40"/>
      <c r="Z739" s="23"/>
      <c r="AA739" s="72"/>
      <c r="AB739" s="23"/>
      <c r="AC739" s="40"/>
      <c r="AD739" s="23"/>
      <c r="AE739" s="23"/>
    </row>
    <row r="740" spans="1:31" ht="12.75">
      <c r="A740" s="23"/>
      <c r="B740" s="64"/>
      <c r="C740" s="62"/>
      <c r="D740" s="92"/>
      <c r="E740" s="65"/>
      <c r="F740" s="65"/>
      <c r="G740" s="67"/>
      <c r="H740" s="67"/>
      <c r="I740" s="71"/>
      <c r="J740" s="70"/>
      <c r="K740" s="23"/>
      <c r="L740" s="70"/>
      <c r="M740" s="70"/>
      <c r="N740" s="70"/>
      <c r="O740" s="40"/>
      <c r="P740" s="23"/>
      <c r="Q740" s="23"/>
      <c r="R740" s="72"/>
      <c r="S740" s="72"/>
      <c r="T740" s="23"/>
      <c r="U740" s="40"/>
      <c r="V740" s="23"/>
      <c r="W740" s="72"/>
      <c r="X740" s="23"/>
      <c r="Y740" s="40"/>
      <c r="Z740" s="23"/>
      <c r="AA740" s="72"/>
      <c r="AB740" s="23"/>
      <c r="AC740" s="40"/>
      <c r="AD740" s="23"/>
      <c r="AE740" s="23"/>
    </row>
    <row r="741" spans="1:31" ht="12.75">
      <c r="A741" s="23"/>
      <c r="B741" s="64"/>
      <c r="C741" s="62"/>
      <c r="D741" s="92"/>
      <c r="E741" s="65"/>
      <c r="F741" s="65"/>
      <c r="G741" s="67"/>
      <c r="H741" s="67"/>
      <c r="I741" s="71"/>
      <c r="J741" s="70"/>
      <c r="K741" s="23"/>
      <c r="L741" s="70"/>
      <c r="M741" s="70"/>
      <c r="N741" s="70"/>
      <c r="O741" s="40"/>
      <c r="P741" s="23"/>
      <c r="Q741" s="23"/>
      <c r="R741" s="72"/>
      <c r="S741" s="72"/>
      <c r="T741" s="23"/>
      <c r="U741" s="40"/>
      <c r="V741" s="23"/>
      <c r="W741" s="72"/>
      <c r="X741" s="23"/>
      <c r="Y741" s="40"/>
      <c r="Z741" s="23"/>
      <c r="AA741" s="72"/>
      <c r="AB741" s="23"/>
      <c r="AC741" s="40"/>
      <c r="AD741" s="23"/>
      <c r="AE741" s="23"/>
    </row>
    <row r="742" spans="1:31" ht="12.75">
      <c r="A742" s="23"/>
      <c r="B742" s="64"/>
      <c r="C742" s="62"/>
      <c r="D742" s="92"/>
      <c r="E742" s="65"/>
      <c r="F742" s="65"/>
      <c r="G742" s="67"/>
      <c r="H742" s="67"/>
      <c r="I742" s="71"/>
      <c r="J742" s="70"/>
      <c r="K742" s="23"/>
      <c r="L742" s="70"/>
      <c r="M742" s="70"/>
      <c r="N742" s="70"/>
      <c r="O742" s="40"/>
      <c r="P742" s="23"/>
      <c r="Q742" s="23"/>
      <c r="R742" s="72"/>
      <c r="S742" s="72"/>
      <c r="T742" s="23"/>
      <c r="U742" s="40"/>
      <c r="V742" s="23"/>
      <c r="W742" s="72"/>
      <c r="X742" s="23"/>
      <c r="Y742" s="40"/>
      <c r="Z742" s="23"/>
      <c r="AA742" s="72"/>
      <c r="AB742" s="23"/>
      <c r="AC742" s="40"/>
      <c r="AD742" s="23"/>
      <c r="AE742" s="23"/>
    </row>
    <row r="743" spans="1:31" ht="12.75">
      <c r="A743" s="23"/>
      <c r="B743" s="64"/>
      <c r="C743" s="62"/>
      <c r="D743" s="92"/>
      <c r="E743" s="65"/>
      <c r="F743" s="65"/>
      <c r="G743" s="67"/>
      <c r="H743" s="67"/>
      <c r="I743" s="71"/>
      <c r="J743" s="70"/>
      <c r="K743" s="23"/>
      <c r="L743" s="70"/>
      <c r="M743" s="70"/>
      <c r="N743" s="70"/>
      <c r="O743" s="40"/>
      <c r="P743" s="23"/>
      <c r="Q743" s="23"/>
      <c r="R743" s="72"/>
      <c r="S743" s="72"/>
      <c r="T743" s="23"/>
      <c r="U743" s="40"/>
      <c r="V743" s="23"/>
      <c r="W743" s="72"/>
      <c r="X743" s="23"/>
      <c r="Y743" s="40"/>
      <c r="Z743" s="23"/>
      <c r="AA743" s="72"/>
      <c r="AB743" s="23"/>
      <c r="AC743" s="40"/>
      <c r="AD743" s="23"/>
      <c r="AE743" s="23"/>
    </row>
    <row r="744" spans="1:31" ht="12.75">
      <c r="A744" s="23"/>
      <c r="B744" s="64"/>
      <c r="C744" s="62"/>
      <c r="D744" s="92"/>
      <c r="E744" s="65"/>
      <c r="F744" s="65"/>
      <c r="G744" s="67"/>
      <c r="H744" s="67"/>
      <c r="I744" s="71"/>
      <c r="J744" s="70"/>
      <c r="K744" s="23"/>
      <c r="L744" s="70"/>
      <c r="M744" s="70"/>
      <c r="N744" s="70"/>
      <c r="O744" s="40"/>
      <c r="P744" s="23"/>
      <c r="Q744" s="23"/>
      <c r="R744" s="72"/>
      <c r="S744" s="72"/>
      <c r="T744" s="23"/>
      <c r="U744" s="40"/>
      <c r="V744" s="23"/>
      <c r="W744" s="72"/>
      <c r="X744" s="23"/>
      <c r="Y744" s="40"/>
      <c r="Z744" s="23"/>
      <c r="AA744" s="72"/>
      <c r="AB744" s="23"/>
      <c r="AC744" s="40"/>
      <c r="AD744" s="23"/>
      <c r="AE744" s="23"/>
    </row>
    <row r="745" spans="1:31" ht="12.75">
      <c r="A745" s="23"/>
      <c r="B745" s="64"/>
      <c r="C745" s="62"/>
      <c r="D745" s="92"/>
      <c r="E745" s="65"/>
      <c r="F745" s="65"/>
      <c r="G745" s="67"/>
      <c r="H745" s="67"/>
      <c r="I745" s="71"/>
      <c r="J745" s="70"/>
      <c r="K745" s="23"/>
      <c r="L745" s="70"/>
      <c r="M745" s="70"/>
      <c r="N745" s="70"/>
      <c r="O745" s="40"/>
      <c r="P745" s="23"/>
      <c r="Q745" s="23"/>
      <c r="R745" s="72"/>
      <c r="S745" s="72"/>
      <c r="T745" s="23"/>
      <c r="U745" s="40"/>
      <c r="V745" s="23"/>
      <c r="W745" s="72"/>
      <c r="X745" s="23"/>
      <c r="Y745" s="40"/>
      <c r="Z745" s="23"/>
      <c r="AA745" s="72"/>
      <c r="AB745" s="23"/>
      <c r="AC745" s="40"/>
      <c r="AD745" s="23"/>
      <c r="AE745" s="23"/>
    </row>
    <row r="746" spans="1:31" ht="12.75">
      <c r="A746" s="23"/>
      <c r="B746" s="64"/>
      <c r="C746" s="62"/>
      <c r="D746" s="92"/>
      <c r="E746" s="65"/>
      <c r="F746" s="65"/>
      <c r="G746" s="67"/>
      <c r="H746" s="67"/>
      <c r="I746" s="71"/>
      <c r="J746" s="70"/>
      <c r="K746" s="23"/>
      <c r="L746" s="70"/>
      <c r="M746" s="70"/>
      <c r="N746" s="70"/>
      <c r="O746" s="40"/>
      <c r="P746" s="23"/>
      <c r="Q746" s="23"/>
      <c r="R746" s="72"/>
      <c r="S746" s="72"/>
      <c r="T746" s="23"/>
      <c r="U746" s="40"/>
      <c r="V746" s="23"/>
      <c r="W746" s="72"/>
      <c r="X746" s="23"/>
      <c r="Y746" s="40"/>
      <c r="Z746" s="23"/>
      <c r="AA746" s="72"/>
      <c r="AB746" s="23"/>
      <c r="AC746" s="40"/>
      <c r="AD746" s="23"/>
      <c r="AE746" s="23"/>
    </row>
    <row r="747" spans="1:31" ht="12.75">
      <c r="A747" s="23"/>
      <c r="B747" s="64"/>
      <c r="C747" s="62"/>
      <c r="D747" s="92"/>
      <c r="E747" s="65"/>
      <c r="F747" s="65"/>
      <c r="G747" s="67"/>
      <c r="H747" s="67"/>
      <c r="I747" s="71"/>
      <c r="J747" s="70"/>
      <c r="K747" s="23"/>
      <c r="L747" s="70"/>
      <c r="M747" s="70"/>
      <c r="N747" s="70"/>
      <c r="O747" s="40"/>
      <c r="P747" s="23"/>
      <c r="Q747" s="23"/>
      <c r="R747" s="72"/>
      <c r="S747" s="72"/>
      <c r="T747" s="23"/>
      <c r="U747" s="40"/>
      <c r="V747" s="23"/>
      <c r="W747" s="72"/>
      <c r="X747" s="23"/>
      <c r="Y747" s="40"/>
      <c r="Z747" s="23"/>
      <c r="AA747" s="72"/>
      <c r="AB747" s="23"/>
      <c r="AC747" s="40"/>
      <c r="AD747" s="23"/>
      <c r="AE747" s="23"/>
    </row>
    <row r="748" spans="1:31" ht="12.75">
      <c r="A748" s="23"/>
      <c r="B748" s="64"/>
      <c r="C748" s="62"/>
      <c r="D748" s="92"/>
      <c r="E748" s="65"/>
      <c r="F748" s="65"/>
      <c r="G748" s="67"/>
      <c r="H748" s="67"/>
      <c r="I748" s="71"/>
      <c r="J748" s="70"/>
      <c r="K748" s="23"/>
      <c r="L748" s="70"/>
      <c r="M748" s="70"/>
      <c r="N748" s="70"/>
      <c r="O748" s="40"/>
      <c r="P748" s="23"/>
      <c r="Q748" s="23"/>
      <c r="R748" s="72"/>
      <c r="S748" s="72"/>
      <c r="T748" s="23"/>
      <c r="U748" s="40"/>
      <c r="V748" s="23"/>
      <c r="W748" s="72"/>
      <c r="X748" s="23"/>
      <c r="Y748" s="40"/>
      <c r="Z748" s="23"/>
      <c r="AA748" s="72"/>
      <c r="AB748" s="23"/>
      <c r="AC748" s="40"/>
      <c r="AD748" s="23"/>
      <c r="AE748" s="23"/>
    </row>
    <row r="749" spans="1:31" ht="12.75">
      <c r="A749" s="23"/>
      <c r="B749" s="64"/>
      <c r="C749" s="62"/>
      <c r="D749" s="92"/>
      <c r="E749" s="65"/>
      <c r="F749" s="65"/>
      <c r="G749" s="67"/>
      <c r="H749" s="67"/>
      <c r="I749" s="71"/>
      <c r="J749" s="70"/>
      <c r="K749" s="23"/>
      <c r="L749" s="70"/>
      <c r="M749" s="70"/>
      <c r="N749" s="70"/>
      <c r="O749" s="40"/>
      <c r="P749" s="23"/>
      <c r="Q749" s="23"/>
      <c r="R749" s="72"/>
      <c r="S749" s="72"/>
      <c r="T749" s="23"/>
      <c r="U749" s="40"/>
      <c r="V749" s="23"/>
      <c r="W749" s="72"/>
      <c r="X749" s="23"/>
      <c r="Y749" s="40"/>
      <c r="Z749" s="23"/>
      <c r="AA749" s="72"/>
      <c r="AB749" s="23"/>
      <c r="AC749" s="40"/>
      <c r="AD749" s="23"/>
      <c r="AE749" s="23"/>
    </row>
    <row r="750" spans="1:31" ht="12.75">
      <c r="A750" s="23"/>
      <c r="B750" s="64"/>
      <c r="C750" s="62"/>
      <c r="D750" s="92"/>
      <c r="E750" s="65"/>
      <c r="F750" s="65"/>
      <c r="G750" s="67"/>
      <c r="H750" s="67"/>
      <c r="I750" s="71"/>
      <c r="J750" s="70"/>
      <c r="K750" s="23"/>
      <c r="L750" s="70"/>
      <c r="M750" s="70"/>
      <c r="N750" s="70"/>
      <c r="O750" s="40"/>
      <c r="P750" s="23"/>
      <c r="Q750" s="23"/>
      <c r="R750" s="72"/>
      <c r="S750" s="72"/>
      <c r="T750" s="23"/>
      <c r="U750" s="40"/>
      <c r="V750" s="23"/>
      <c r="W750" s="72"/>
      <c r="X750" s="23"/>
      <c r="Y750" s="40"/>
      <c r="Z750" s="23"/>
      <c r="AA750" s="72"/>
      <c r="AB750" s="23"/>
      <c r="AC750" s="40"/>
      <c r="AD750" s="23"/>
      <c r="AE750" s="23"/>
    </row>
    <row r="751" spans="1:31" ht="12.75">
      <c r="A751" s="23"/>
      <c r="B751" s="64"/>
      <c r="C751" s="62"/>
      <c r="D751" s="92"/>
      <c r="E751" s="65"/>
      <c r="F751" s="65"/>
      <c r="G751" s="67"/>
      <c r="H751" s="67"/>
      <c r="I751" s="71"/>
      <c r="J751" s="70"/>
      <c r="K751" s="23"/>
      <c r="L751" s="70"/>
      <c r="M751" s="70"/>
      <c r="N751" s="70"/>
      <c r="O751" s="40"/>
      <c r="P751" s="23"/>
      <c r="Q751" s="23"/>
      <c r="R751" s="72"/>
      <c r="S751" s="72"/>
      <c r="T751" s="23"/>
      <c r="U751" s="40"/>
      <c r="V751" s="23"/>
      <c r="W751" s="72"/>
      <c r="X751" s="23"/>
      <c r="Y751" s="40"/>
      <c r="Z751" s="23"/>
      <c r="AA751" s="72"/>
      <c r="AB751" s="23"/>
      <c r="AC751" s="40"/>
      <c r="AD751" s="23"/>
      <c r="AE751" s="23"/>
    </row>
    <row r="752" spans="1:31" ht="12.75">
      <c r="A752" s="23"/>
      <c r="B752" s="64"/>
      <c r="C752" s="62"/>
      <c r="D752" s="92"/>
      <c r="E752" s="65"/>
      <c r="F752" s="65"/>
      <c r="G752" s="67"/>
      <c r="H752" s="67"/>
      <c r="I752" s="71"/>
      <c r="J752" s="70"/>
      <c r="K752" s="23"/>
      <c r="L752" s="70"/>
      <c r="M752" s="70"/>
      <c r="N752" s="70"/>
      <c r="O752" s="40"/>
      <c r="P752" s="23"/>
      <c r="Q752" s="23"/>
      <c r="R752" s="72"/>
      <c r="S752" s="72"/>
      <c r="T752" s="23"/>
      <c r="U752" s="40"/>
      <c r="V752" s="23"/>
      <c r="W752" s="72"/>
      <c r="X752" s="23"/>
      <c r="Y752" s="40"/>
      <c r="Z752" s="23"/>
      <c r="AA752" s="72"/>
      <c r="AB752" s="23"/>
      <c r="AC752" s="40"/>
      <c r="AD752" s="23"/>
      <c r="AE752" s="23"/>
    </row>
    <row r="753" spans="1:31" ht="12.75">
      <c r="A753" s="23"/>
      <c r="B753" s="64"/>
      <c r="C753" s="62"/>
      <c r="D753" s="92"/>
      <c r="E753" s="65"/>
      <c r="F753" s="65"/>
      <c r="G753" s="67"/>
      <c r="H753" s="67"/>
      <c r="I753" s="71"/>
      <c r="J753" s="70"/>
      <c r="K753" s="23"/>
      <c r="L753" s="70"/>
      <c r="M753" s="70"/>
      <c r="N753" s="70"/>
      <c r="O753" s="40"/>
      <c r="P753" s="23"/>
      <c r="Q753" s="23"/>
      <c r="R753" s="72"/>
      <c r="S753" s="72"/>
      <c r="T753" s="23"/>
      <c r="U753" s="40"/>
      <c r="V753" s="23"/>
      <c r="W753" s="72"/>
      <c r="X753" s="23"/>
      <c r="Y753" s="40"/>
      <c r="Z753" s="23"/>
      <c r="AA753" s="72"/>
      <c r="AB753" s="23"/>
      <c r="AC753" s="40"/>
      <c r="AD753" s="23"/>
      <c r="AE753" s="23"/>
    </row>
    <row r="754" spans="1:31" ht="12.75">
      <c r="A754" s="23"/>
      <c r="B754" s="64"/>
      <c r="C754" s="62"/>
      <c r="D754" s="92"/>
      <c r="E754" s="65"/>
      <c r="F754" s="65"/>
      <c r="G754" s="67"/>
      <c r="H754" s="67"/>
      <c r="I754" s="71"/>
      <c r="J754" s="70"/>
      <c r="K754" s="23"/>
      <c r="L754" s="70"/>
      <c r="M754" s="70"/>
      <c r="N754" s="70"/>
      <c r="O754" s="40"/>
      <c r="P754" s="23"/>
      <c r="Q754" s="23"/>
      <c r="R754" s="72"/>
      <c r="S754" s="72"/>
      <c r="T754" s="23"/>
      <c r="U754" s="40"/>
      <c r="V754" s="23"/>
      <c r="W754" s="72"/>
      <c r="X754" s="23"/>
      <c r="Y754" s="40"/>
      <c r="Z754" s="23"/>
      <c r="AA754" s="72"/>
      <c r="AB754" s="23"/>
      <c r="AC754" s="40"/>
      <c r="AD754" s="23"/>
      <c r="AE754" s="23"/>
    </row>
    <row r="755" spans="1:31" ht="12.75">
      <c r="A755" s="23"/>
      <c r="B755" s="64"/>
      <c r="C755" s="62"/>
      <c r="D755" s="92"/>
      <c r="E755" s="65"/>
      <c r="F755" s="65"/>
      <c r="G755" s="67"/>
      <c r="H755" s="67"/>
      <c r="I755" s="71"/>
      <c r="J755" s="70"/>
      <c r="K755" s="23"/>
      <c r="L755" s="70"/>
      <c r="M755" s="70"/>
      <c r="N755" s="70"/>
      <c r="O755" s="40"/>
      <c r="P755" s="23"/>
      <c r="Q755" s="23"/>
      <c r="R755" s="72"/>
      <c r="S755" s="72"/>
      <c r="T755" s="23"/>
      <c r="U755" s="40"/>
      <c r="V755" s="23"/>
      <c r="W755" s="72"/>
      <c r="X755" s="23"/>
      <c r="Y755" s="40"/>
      <c r="Z755" s="23"/>
      <c r="AA755" s="72"/>
      <c r="AB755" s="23"/>
      <c r="AC755" s="40"/>
      <c r="AD755" s="23"/>
      <c r="AE755" s="23"/>
    </row>
    <row r="756" spans="1:31" ht="12.75">
      <c r="A756" s="23"/>
      <c r="B756" s="64"/>
      <c r="C756" s="62"/>
      <c r="D756" s="92"/>
      <c r="E756" s="65"/>
      <c r="F756" s="65"/>
      <c r="G756" s="67"/>
      <c r="H756" s="67"/>
      <c r="I756" s="71"/>
      <c r="J756" s="70"/>
      <c r="K756" s="23"/>
      <c r="L756" s="70"/>
      <c r="M756" s="70"/>
      <c r="N756" s="70"/>
      <c r="O756" s="40"/>
      <c r="P756" s="23"/>
      <c r="Q756" s="23"/>
      <c r="R756" s="72"/>
      <c r="S756" s="72"/>
      <c r="T756" s="23"/>
      <c r="U756" s="40"/>
      <c r="V756" s="23"/>
      <c r="W756" s="72"/>
      <c r="X756" s="23"/>
      <c r="Y756" s="40"/>
      <c r="Z756" s="23"/>
      <c r="AA756" s="72"/>
      <c r="AB756" s="23"/>
      <c r="AC756" s="40"/>
      <c r="AD756" s="23"/>
      <c r="AE756" s="23"/>
    </row>
    <row r="757" spans="1:31" ht="12.75">
      <c r="A757" s="23"/>
      <c r="B757" s="64"/>
      <c r="C757" s="62"/>
      <c r="D757" s="92"/>
      <c r="E757" s="65"/>
      <c r="F757" s="65"/>
      <c r="G757" s="67"/>
      <c r="H757" s="67"/>
      <c r="I757" s="71"/>
      <c r="J757" s="70"/>
      <c r="K757" s="23"/>
      <c r="L757" s="70"/>
      <c r="M757" s="70"/>
      <c r="N757" s="70"/>
      <c r="O757" s="40"/>
      <c r="P757" s="23"/>
      <c r="Q757" s="23"/>
      <c r="R757" s="72"/>
      <c r="S757" s="72"/>
      <c r="T757" s="23"/>
      <c r="U757" s="40"/>
      <c r="V757" s="23"/>
      <c r="W757" s="72"/>
      <c r="X757" s="23"/>
      <c r="Y757" s="40"/>
      <c r="Z757" s="23"/>
      <c r="AA757" s="72"/>
      <c r="AB757" s="23"/>
      <c r="AC757" s="40"/>
      <c r="AD757" s="23"/>
      <c r="AE757" s="23"/>
    </row>
    <row r="758" spans="1:31" ht="12.75">
      <c r="A758" s="23"/>
      <c r="B758" s="64"/>
      <c r="C758" s="62"/>
      <c r="D758" s="92"/>
      <c r="E758" s="65"/>
      <c r="F758" s="65"/>
      <c r="G758" s="67"/>
      <c r="H758" s="67"/>
      <c r="I758" s="71"/>
      <c r="J758" s="70"/>
      <c r="K758" s="23"/>
      <c r="L758" s="70"/>
      <c r="M758" s="70"/>
      <c r="N758" s="70"/>
      <c r="O758" s="40"/>
      <c r="P758" s="23"/>
      <c r="Q758" s="23"/>
      <c r="R758" s="72"/>
      <c r="S758" s="72"/>
      <c r="T758" s="23"/>
      <c r="U758" s="40"/>
      <c r="V758" s="23"/>
      <c r="W758" s="72"/>
      <c r="X758" s="23"/>
      <c r="Y758" s="40"/>
      <c r="Z758" s="23"/>
      <c r="AA758" s="72"/>
      <c r="AB758" s="23"/>
      <c r="AC758" s="40"/>
      <c r="AD758" s="23"/>
      <c r="AE758" s="23"/>
    </row>
    <row r="759" spans="1:31" ht="12.75">
      <c r="A759" s="23"/>
      <c r="B759" s="64"/>
      <c r="C759" s="62"/>
      <c r="D759" s="92"/>
      <c r="E759" s="65"/>
      <c r="F759" s="65"/>
      <c r="G759" s="67"/>
      <c r="H759" s="67"/>
      <c r="I759" s="71"/>
      <c r="J759" s="70"/>
      <c r="K759" s="23"/>
      <c r="L759" s="70"/>
      <c r="M759" s="70"/>
      <c r="N759" s="70"/>
      <c r="O759" s="40"/>
      <c r="P759" s="23"/>
      <c r="Q759" s="23"/>
      <c r="R759" s="72"/>
      <c r="S759" s="72"/>
      <c r="T759" s="23"/>
      <c r="U759" s="40"/>
      <c r="V759" s="23"/>
      <c r="W759" s="72"/>
      <c r="X759" s="23"/>
      <c r="Y759" s="40"/>
      <c r="Z759" s="23"/>
      <c r="AA759" s="72"/>
      <c r="AB759" s="23"/>
      <c r="AC759" s="40"/>
      <c r="AD759" s="23"/>
      <c r="AE759" s="23"/>
    </row>
    <row r="760" spans="1:31" ht="12.75">
      <c r="A760" s="23"/>
      <c r="B760" s="64"/>
      <c r="C760" s="62"/>
      <c r="D760" s="92"/>
      <c r="E760" s="65"/>
      <c r="F760" s="65"/>
      <c r="G760" s="67"/>
      <c r="H760" s="67"/>
      <c r="I760" s="71"/>
      <c r="J760" s="70"/>
      <c r="K760" s="23"/>
      <c r="L760" s="70"/>
      <c r="M760" s="70"/>
      <c r="N760" s="70"/>
      <c r="O760" s="40"/>
      <c r="P760" s="23"/>
      <c r="Q760" s="23"/>
      <c r="R760" s="72"/>
      <c r="S760" s="72"/>
      <c r="T760" s="23"/>
      <c r="U760" s="40"/>
      <c r="V760" s="23"/>
      <c r="W760" s="72"/>
      <c r="X760" s="23"/>
      <c r="Y760" s="40"/>
      <c r="Z760" s="23"/>
      <c r="AA760" s="72"/>
      <c r="AB760" s="23"/>
      <c r="AC760" s="40"/>
      <c r="AD760" s="23"/>
      <c r="AE760" s="23"/>
    </row>
    <row r="761" spans="1:31" ht="12.75">
      <c r="A761" s="23"/>
      <c r="B761" s="64"/>
      <c r="C761" s="62"/>
      <c r="D761" s="92"/>
      <c r="E761" s="65"/>
      <c r="F761" s="65"/>
      <c r="G761" s="67"/>
      <c r="H761" s="67"/>
      <c r="I761" s="71"/>
      <c r="J761" s="70"/>
      <c r="K761" s="23"/>
      <c r="L761" s="70"/>
      <c r="M761" s="70"/>
      <c r="N761" s="70"/>
      <c r="O761" s="40"/>
      <c r="P761" s="23"/>
      <c r="Q761" s="23"/>
      <c r="R761" s="72"/>
      <c r="S761" s="72"/>
      <c r="T761" s="23"/>
      <c r="U761" s="40"/>
      <c r="V761" s="23"/>
      <c r="W761" s="72"/>
      <c r="X761" s="23"/>
      <c r="Y761" s="40"/>
      <c r="Z761" s="23"/>
      <c r="AA761" s="72"/>
      <c r="AB761" s="23"/>
      <c r="AC761" s="40"/>
      <c r="AD761" s="23"/>
      <c r="AE761" s="23"/>
    </row>
    <row r="762" spans="1:31" ht="12.75">
      <c r="A762" s="23"/>
      <c r="B762" s="64"/>
      <c r="C762" s="62"/>
      <c r="D762" s="92"/>
      <c r="E762" s="65"/>
      <c r="F762" s="65"/>
      <c r="G762" s="67"/>
      <c r="H762" s="67"/>
      <c r="I762" s="71"/>
      <c r="J762" s="70"/>
      <c r="K762" s="23"/>
      <c r="L762" s="70"/>
      <c r="M762" s="70"/>
      <c r="N762" s="70"/>
      <c r="O762" s="40"/>
      <c r="P762" s="23"/>
      <c r="Q762" s="23"/>
      <c r="R762" s="72"/>
      <c r="S762" s="72"/>
      <c r="T762" s="23"/>
      <c r="U762" s="40"/>
      <c r="V762" s="23"/>
      <c r="W762" s="72"/>
      <c r="X762" s="23"/>
      <c r="Y762" s="40"/>
      <c r="Z762" s="23"/>
      <c r="AA762" s="72"/>
      <c r="AB762" s="23"/>
      <c r="AC762" s="40"/>
      <c r="AD762" s="23"/>
      <c r="AE762" s="23"/>
    </row>
    <row r="763" spans="1:31" ht="12.75">
      <c r="A763" s="23"/>
      <c r="B763" s="64"/>
      <c r="C763" s="62"/>
      <c r="D763" s="92"/>
      <c r="E763" s="65"/>
      <c r="F763" s="65"/>
      <c r="G763" s="67"/>
      <c r="H763" s="67"/>
      <c r="I763" s="71"/>
      <c r="J763" s="70"/>
      <c r="K763" s="23"/>
      <c r="L763" s="70"/>
      <c r="M763" s="70"/>
      <c r="N763" s="70"/>
      <c r="O763" s="40"/>
      <c r="P763" s="23"/>
      <c r="Q763" s="23"/>
      <c r="R763" s="72"/>
      <c r="S763" s="72"/>
      <c r="T763" s="23"/>
      <c r="U763" s="40"/>
      <c r="V763" s="23"/>
      <c r="W763" s="72"/>
      <c r="X763" s="23"/>
      <c r="Y763" s="40"/>
      <c r="Z763" s="23"/>
      <c r="AA763" s="72"/>
      <c r="AB763" s="23"/>
      <c r="AC763" s="40"/>
      <c r="AD763" s="23"/>
      <c r="AE763" s="23"/>
    </row>
    <row r="764" spans="1:31" ht="12.75">
      <c r="A764" s="23"/>
      <c r="B764" s="64"/>
      <c r="C764" s="62"/>
      <c r="D764" s="92"/>
      <c r="E764" s="65"/>
      <c r="F764" s="65"/>
      <c r="G764" s="67"/>
      <c r="H764" s="67"/>
      <c r="I764" s="71"/>
      <c r="J764" s="70"/>
      <c r="K764" s="23"/>
      <c r="L764" s="70"/>
      <c r="M764" s="70"/>
      <c r="N764" s="70"/>
      <c r="O764" s="40"/>
      <c r="P764" s="23"/>
      <c r="Q764" s="23"/>
      <c r="R764" s="72"/>
      <c r="S764" s="72"/>
      <c r="T764" s="23"/>
      <c r="U764" s="40"/>
      <c r="V764" s="23"/>
      <c r="W764" s="72"/>
      <c r="X764" s="23"/>
      <c r="Y764" s="40"/>
      <c r="Z764" s="23"/>
      <c r="AA764" s="72"/>
      <c r="AB764" s="23"/>
      <c r="AC764" s="40"/>
      <c r="AD764" s="23"/>
      <c r="AE764" s="23"/>
    </row>
    <row r="765" spans="1:31" ht="12.75">
      <c r="A765" s="23"/>
      <c r="B765" s="64"/>
      <c r="C765" s="62"/>
      <c r="D765" s="92"/>
      <c r="E765" s="65"/>
      <c r="F765" s="65"/>
      <c r="G765" s="67"/>
      <c r="H765" s="67"/>
      <c r="I765" s="71"/>
      <c r="J765" s="70"/>
      <c r="K765" s="23"/>
      <c r="L765" s="70"/>
      <c r="M765" s="70"/>
      <c r="N765" s="70"/>
      <c r="O765" s="40"/>
      <c r="P765" s="23"/>
      <c r="Q765" s="23"/>
      <c r="R765" s="72"/>
      <c r="S765" s="72"/>
      <c r="T765" s="23"/>
      <c r="U765" s="40"/>
      <c r="V765" s="23"/>
      <c r="W765" s="72"/>
      <c r="X765" s="23"/>
      <c r="Y765" s="40"/>
      <c r="Z765" s="23"/>
      <c r="AA765" s="72"/>
      <c r="AB765" s="23"/>
      <c r="AC765" s="40"/>
      <c r="AD765" s="23"/>
      <c r="AE765" s="23"/>
    </row>
    <row r="766" spans="1:31" ht="12.75">
      <c r="A766" s="23"/>
      <c r="B766" s="64"/>
      <c r="C766" s="62"/>
      <c r="D766" s="92"/>
      <c r="E766" s="65"/>
      <c r="F766" s="65"/>
      <c r="G766" s="67"/>
      <c r="H766" s="67"/>
      <c r="I766" s="71"/>
      <c r="J766" s="70"/>
      <c r="K766" s="23"/>
      <c r="L766" s="70"/>
      <c r="M766" s="70"/>
      <c r="N766" s="70"/>
      <c r="O766" s="40"/>
      <c r="P766" s="23"/>
      <c r="Q766" s="23"/>
      <c r="R766" s="72"/>
      <c r="S766" s="72"/>
      <c r="T766" s="23"/>
      <c r="U766" s="40"/>
      <c r="V766" s="23"/>
      <c r="W766" s="72"/>
      <c r="X766" s="23"/>
      <c r="Y766" s="40"/>
      <c r="Z766" s="23"/>
      <c r="AA766" s="72"/>
      <c r="AB766" s="23"/>
      <c r="AC766" s="40"/>
      <c r="AD766" s="23"/>
      <c r="AE766" s="23"/>
    </row>
    <row r="767" spans="1:31" ht="12.75">
      <c r="A767" s="23"/>
      <c r="B767" s="64"/>
      <c r="C767" s="62"/>
      <c r="D767" s="92"/>
      <c r="E767" s="65"/>
      <c r="F767" s="65"/>
      <c r="G767" s="67"/>
      <c r="H767" s="67"/>
      <c r="I767" s="71"/>
      <c r="J767" s="70"/>
      <c r="K767" s="23"/>
      <c r="L767" s="70"/>
      <c r="M767" s="70"/>
      <c r="N767" s="70"/>
      <c r="O767" s="40"/>
      <c r="P767" s="23"/>
      <c r="Q767" s="23"/>
      <c r="R767" s="72"/>
      <c r="S767" s="72"/>
      <c r="T767" s="23"/>
      <c r="U767" s="40"/>
      <c r="V767" s="23"/>
      <c r="W767" s="72"/>
      <c r="X767" s="23"/>
      <c r="Y767" s="40"/>
      <c r="Z767" s="23"/>
      <c r="AA767" s="72"/>
      <c r="AB767" s="23"/>
      <c r="AC767" s="40"/>
      <c r="AD767" s="23"/>
      <c r="AE767" s="23"/>
    </row>
    <row r="768" spans="1:31" ht="12.75">
      <c r="A768" s="23"/>
      <c r="B768" s="64"/>
      <c r="C768" s="62"/>
      <c r="D768" s="92"/>
      <c r="E768" s="65"/>
      <c r="F768" s="65"/>
      <c r="G768" s="67"/>
      <c r="H768" s="67"/>
      <c r="I768" s="71"/>
      <c r="J768" s="70"/>
      <c r="K768" s="23"/>
      <c r="L768" s="70"/>
      <c r="M768" s="70"/>
      <c r="N768" s="70"/>
      <c r="O768" s="40"/>
      <c r="P768" s="23"/>
      <c r="Q768" s="23"/>
      <c r="R768" s="72"/>
      <c r="S768" s="72"/>
      <c r="T768" s="23"/>
      <c r="U768" s="40"/>
      <c r="V768" s="23"/>
      <c r="W768" s="72"/>
      <c r="X768" s="23"/>
      <c r="Y768" s="40"/>
      <c r="Z768" s="23"/>
      <c r="AA768" s="72"/>
      <c r="AB768" s="23"/>
      <c r="AC768" s="40"/>
      <c r="AD768" s="23"/>
      <c r="AE768" s="23"/>
    </row>
    <row r="769" spans="1:31" ht="12.75">
      <c r="A769" s="23"/>
      <c r="B769" s="64"/>
      <c r="C769" s="62"/>
      <c r="D769" s="92"/>
      <c r="E769" s="65"/>
      <c r="F769" s="65"/>
      <c r="G769" s="67"/>
      <c r="H769" s="67"/>
      <c r="I769" s="71"/>
      <c r="J769" s="70"/>
      <c r="K769" s="23"/>
      <c r="L769" s="70"/>
      <c r="M769" s="70"/>
      <c r="N769" s="70"/>
      <c r="O769" s="40"/>
      <c r="P769" s="23"/>
      <c r="Q769" s="23"/>
      <c r="R769" s="72"/>
      <c r="S769" s="72"/>
      <c r="T769" s="23"/>
      <c r="U769" s="40"/>
      <c r="V769" s="23"/>
      <c r="W769" s="72"/>
      <c r="X769" s="23"/>
      <c r="Y769" s="40"/>
      <c r="Z769" s="23"/>
      <c r="AA769" s="72"/>
      <c r="AB769" s="23"/>
      <c r="AC769" s="40"/>
      <c r="AD769" s="23"/>
      <c r="AE769" s="23"/>
    </row>
    <row r="770" spans="1:31" ht="12.75">
      <c r="A770" s="23"/>
      <c r="B770" s="40"/>
      <c r="C770" s="40"/>
      <c r="D770" s="92"/>
      <c r="E770" s="65"/>
      <c r="F770" s="65"/>
      <c r="G770" s="67"/>
      <c r="H770" s="67"/>
      <c r="I770" s="71"/>
      <c r="J770" s="70"/>
      <c r="K770" s="23"/>
      <c r="L770" s="70"/>
      <c r="M770" s="70"/>
      <c r="N770" s="70"/>
      <c r="O770" s="23"/>
      <c r="P770" s="23"/>
      <c r="Q770" s="23"/>
      <c r="R770" s="72"/>
      <c r="S770" s="23"/>
      <c r="T770" s="23"/>
      <c r="U770" s="23"/>
      <c r="V770" s="23"/>
      <c r="W770" s="23"/>
      <c r="X770" s="23"/>
      <c r="Y770" s="23"/>
      <c r="Z770" s="23"/>
      <c r="AA770" s="23"/>
      <c r="AB770" s="23"/>
      <c r="AC770" s="23"/>
      <c r="AD770" s="23"/>
      <c r="AE770" s="23"/>
    </row>
    <row r="771" spans="1:31" ht="12.75">
      <c r="A771" s="23"/>
      <c r="B771" s="40"/>
      <c r="C771" s="40"/>
      <c r="D771" s="92"/>
      <c r="E771" s="65"/>
      <c r="F771" s="65"/>
      <c r="G771" s="67"/>
      <c r="H771" s="67"/>
      <c r="I771" s="71"/>
      <c r="J771" s="70"/>
      <c r="K771" s="23"/>
      <c r="L771" s="70"/>
      <c r="M771" s="70"/>
      <c r="N771" s="70"/>
      <c r="O771" s="23"/>
      <c r="P771" s="23"/>
      <c r="Q771" s="23"/>
      <c r="R771" s="72"/>
      <c r="S771" s="23"/>
      <c r="T771" s="23"/>
      <c r="U771" s="23"/>
      <c r="V771" s="23"/>
      <c r="W771" s="23"/>
      <c r="X771" s="23"/>
      <c r="Y771" s="23"/>
      <c r="Z771" s="23"/>
      <c r="AA771" s="23"/>
      <c r="AB771" s="23"/>
      <c r="AC771" s="23"/>
      <c r="AD771" s="23"/>
      <c r="AE771" s="23"/>
    </row>
    <row r="772" spans="1:31" ht="12" customHeight="1">
      <c r="A772" s="23"/>
      <c r="B772" s="40"/>
      <c r="C772" s="40"/>
      <c r="D772" s="92"/>
      <c r="E772" s="65"/>
      <c r="F772" s="65"/>
      <c r="G772" s="67"/>
      <c r="H772" s="67"/>
      <c r="I772" s="71"/>
      <c r="J772" s="70"/>
      <c r="K772" s="23"/>
      <c r="L772" s="70"/>
      <c r="M772" s="70"/>
      <c r="N772" s="70"/>
      <c r="O772" s="23"/>
      <c r="P772" s="23"/>
      <c r="Q772" s="23"/>
      <c r="R772" s="72"/>
      <c r="S772" s="23"/>
      <c r="T772" s="23"/>
      <c r="U772" s="23"/>
      <c r="V772" s="23"/>
      <c r="W772" s="23"/>
      <c r="X772" s="23"/>
      <c r="Y772" s="23"/>
      <c r="Z772" s="23"/>
      <c r="AA772" s="23"/>
      <c r="AB772" s="23"/>
      <c r="AC772" s="23"/>
      <c r="AD772" s="23"/>
      <c r="AE772" s="23"/>
    </row>
    <row r="773" spans="1:31" ht="12" customHeight="1">
      <c r="A773" s="23"/>
      <c r="B773" s="40"/>
      <c r="C773" s="40"/>
      <c r="D773" s="92"/>
      <c r="E773" s="65"/>
      <c r="F773" s="65"/>
      <c r="G773" s="67"/>
      <c r="H773" s="67"/>
      <c r="I773" s="71"/>
      <c r="J773" s="70"/>
      <c r="K773" s="23"/>
      <c r="L773" s="70"/>
      <c r="M773" s="70"/>
      <c r="N773" s="70"/>
      <c r="O773" s="23"/>
      <c r="P773" s="23"/>
      <c r="Q773" s="23"/>
      <c r="R773" s="72"/>
      <c r="S773" s="23"/>
      <c r="T773" s="23"/>
      <c r="U773" s="23"/>
      <c r="V773" s="23"/>
      <c r="W773" s="23"/>
      <c r="X773" s="23"/>
      <c r="Y773" s="23"/>
      <c r="Z773" s="23"/>
      <c r="AA773" s="23"/>
      <c r="AB773" s="23"/>
      <c r="AC773" s="23"/>
      <c r="AD773" s="23"/>
      <c r="AE773" s="23"/>
    </row>
    <row r="774" spans="1:31" ht="12" customHeight="1">
      <c r="A774" s="23"/>
      <c r="B774" s="40"/>
      <c r="C774" s="40"/>
      <c r="D774" s="92"/>
      <c r="E774" s="65"/>
      <c r="F774" s="65"/>
      <c r="G774" s="67"/>
      <c r="H774" s="67"/>
      <c r="I774" s="71"/>
      <c r="J774" s="70"/>
      <c r="K774" s="23"/>
      <c r="L774" s="70"/>
      <c r="M774" s="70"/>
      <c r="N774" s="70"/>
      <c r="O774" s="23"/>
      <c r="P774" s="23"/>
      <c r="Q774" s="23"/>
      <c r="R774" s="72"/>
      <c r="S774" s="23"/>
      <c r="T774" s="23"/>
      <c r="U774" s="23"/>
      <c r="V774" s="23"/>
      <c r="W774" s="23"/>
      <c r="X774" s="23"/>
      <c r="Y774" s="23"/>
      <c r="Z774" s="23"/>
      <c r="AA774" s="23"/>
      <c r="AB774" s="23"/>
      <c r="AC774" s="23"/>
      <c r="AD774" s="23"/>
      <c r="AE774" s="23"/>
    </row>
    <row r="775" spans="1:31" ht="12" customHeight="1">
      <c r="A775" s="23"/>
      <c r="B775" s="40"/>
      <c r="C775" s="40"/>
      <c r="D775" s="92"/>
      <c r="E775" s="65"/>
      <c r="F775" s="65"/>
      <c r="G775" s="67"/>
      <c r="H775" s="67"/>
      <c r="I775" s="71"/>
      <c r="J775" s="70"/>
      <c r="K775" s="23"/>
      <c r="L775" s="70"/>
      <c r="M775" s="70"/>
      <c r="N775" s="70"/>
      <c r="O775" s="23"/>
      <c r="P775" s="23"/>
      <c r="Q775" s="23"/>
      <c r="R775" s="72"/>
      <c r="S775" s="23"/>
      <c r="T775" s="23"/>
      <c r="U775" s="23"/>
      <c r="V775" s="23"/>
      <c r="W775" s="23"/>
      <c r="X775" s="23"/>
      <c r="Y775" s="23"/>
      <c r="Z775" s="23"/>
      <c r="AA775" s="23"/>
      <c r="AB775" s="23"/>
      <c r="AC775" s="23"/>
      <c r="AD775" s="23"/>
      <c r="AE775" s="23"/>
    </row>
    <row r="776" spans="1:31" ht="12.75">
      <c r="A776" s="23"/>
      <c r="B776" s="64"/>
      <c r="C776" s="62"/>
      <c r="D776" s="92"/>
      <c r="E776" s="65"/>
      <c r="F776" s="65"/>
      <c r="G776" s="67"/>
      <c r="H776" s="67"/>
      <c r="I776" s="71"/>
      <c r="J776" s="70"/>
      <c r="K776" s="23"/>
      <c r="L776" s="70"/>
      <c r="M776" s="70"/>
      <c r="N776" s="70"/>
      <c r="O776" s="40"/>
      <c r="P776" s="23"/>
      <c r="Q776" s="23"/>
      <c r="R776" s="72"/>
      <c r="S776" s="72"/>
      <c r="T776" s="23"/>
      <c r="U776" s="40"/>
      <c r="V776" s="23"/>
      <c r="W776" s="72"/>
      <c r="X776" s="23"/>
      <c r="Y776" s="40"/>
      <c r="Z776" s="23"/>
      <c r="AA776" s="72"/>
      <c r="AB776" s="23"/>
      <c r="AC776" s="40"/>
      <c r="AD776" s="23"/>
      <c r="AE776" s="23"/>
    </row>
    <row r="777" spans="1:31" ht="12.75">
      <c r="A777" s="23"/>
      <c r="B777" s="64"/>
      <c r="C777" s="62"/>
      <c r="D777" s="92"/>
      <c r="E777" s="65"/>
      <c r="F777" s="65"/>
      <c r="G777" s="67"/>
      <c r="H777" s="67"/>
      <c r="I777" s="71"/>
      <c r="J777" s="70"/>
      <c r="K777" s="23"/>
      <c r="L777" s="70"/>
      <c r="M777" s="70"/>
      <c r="N777" s="70"/>
      <c r="O777" s="40"/>
      <c r="P777" s="23"/>
      <c r="Q777" s="23"/>
      <c r="R777" s="72"/>
      <c r="S777" s="72"/>
      <c r="T777" s="23"/>
      <c r="U777" s="40"/>
      <c r="V777" s="23"/>
      <c r="W777" s="72"/>
      <c r="X777" s="23"/>
      <c r="Y777" s="40"/>
      <c r="Z777" s="23"/>
      <c r="AA777" s="72"/>
      <c r="AB777" s="23"/>
      <c r="AC777" s="40"/>
      <c r="AD777" s="23"/>
      <c r="AE777" s="23"/>
    </row>
    <row r="778" spans="1:31" ht="12.75">
      <c r="A778" s="23"/>
      <c r="B778" s="64"/>
      <c r="C778" s="62"/>
      <c r="D778" s="92"/>
      <c r="E778" s="65"/>
      <c r="F778" s="65"/>
      <c r="G778" s="67"/>
      <c r="H778" s="67"/>
      <c r="I778" s="71"/>
      <c r="J778" s="70"/>
      <c r="K778" s="23"/>
      <c r="L778" s="70"/>
      <c r="M778" s="70"/>
      <c r="N778" s="70"/>
      <c r="O778" s="40"/>
      <c r="P778" s="23"/>
      <c r="Q778" s="23"/>
      <c r="R778" s="72"/>
      <c r="S778" s="72"/>
      <c r="T778" s="23"/>
      <c r="U778" s="40"/>
      <c r="V778" s="23"/>
      <c r="W778" s="72"/>
      <c r="X778" s="23"/>
      <c r="Y778" s="40"/>
      <c r="Z778" s="23"/>
      <c r="AA778" s="72"/>
      <c r="AB778" s="23"/>
      <c r="AC778" s="40"/>
      <c r="AD778" s="23"/>
      <c r="AE778" s="23"/>
    </row>
    <row r="779" spans="1:31" ht="12.75">
      <c r="A779" s="23"/>
      <c r="B779" s="64"/>
      <c r="C779" s="62"/>
      <c r="D779" s="92"/>
      <c r="E779" s="65"/>
      <c r="F779" s="65"/>
      <c r="G779" s="67"/>
      <c r="H779" s="67"/>
      <c r="I779" s="71"/>
      <c r="J779" s="70"/>
      <c r="K779" s="23"/>
      <c r="L779" s="70"/>
      <c r="M779" s="70"/>
      <c r="N779" s="70"/>
      <c r="O779" s="40"/>
      <c r="P779" s="23"/>
      <c r="Q779" s="23"/>
      <c r="R779" s="72"/>
      <c r="S779" s="72"/>
      <c r="T779" s="23"/>
      <c r="U779" s="40"/>
      <c r="V779" s="23"/>
      <c r="W779" s="72"/>
      <c r="X779" s="23"/>
      <c r="Y779" s="40"/>
      <c r="Z779" s="23"/>
      <c r="AA779" s="72"/>
      <c r="AB779" s="23"/>
      <c r="AC779" s="40"/>
      <c r="AD779" s="23"/>
      <c r="AE779" s="23"/>
    </row>
    <row r="780" spans="1:31" ht="12.75">
      <c r="A780" s="23"/>
      <c r="B780" s="64"/>
      <c r="C780" s="62"/>
      <c r="D780" s="92"/>
      <c r="E780" s="65"/>
      <c r="F780" s="65"/>
      <c r="G780" s="67"/>
      <c r="H780" s="67"/>
      <c r="I780" s="71"/>
      <c r="J780" s="70"/>
      <c r="K780" s="23"/>
      <c r="L780" s="70"/>
      <c r="M780" s="70"/>
      <c r="N780" s="70"/>
      <c r="O780" s="40"/>
      <c r="P780" s="23"/>
      <c r="Q780" s="23"/>
      <c r="R780" s="72"/>
      <c r="S780" s="72"/>
      <c r="T780" s="23"/>
      <c r="U780" s="40"/>
      <c r="V780" s="23"/>
      <c r="W780" s="72"/>
      <c r="X780" s="23"/>
      <c r="Y780" s="40"/>
      <c r="Z780" s="23"/>
      <c r="AA780" s="72"/>
      <c r="AB780" s="23"/>
      <c r="AC780" s="40"/>
      <c r="AD780" s="23"/>
      <c r="AE780" s="23"/>
    </row>
    <row r="781" spans="1:31" ht="12.75">
      <c r="A781" s="23"/>
      <c r="B781" s="64"/>
      <c r="C781" s="62"/>
      <c r="D781" s="92"/>
      <c r="E781" s="65"/>
      <c r="F781" s="65"/>
      <c r="G781" s="67"/>
      <c r="H781" s="67"/>
      <c r="I781" s="71"/>
      <c r="J781" s="70"/>
      <c r="K781" s="23"/>
      <c r="L781" s="70"/>
      <c r="M781" s="70"/>
      <c r="N781" s="70"/>
      <c r="O781" s="40"/>
      <c r="P781" s="23"/>
      <c r="Q781" s="23"/>
      <c r="R781" s="72"/>
      <c r="S781" s="72"/>
      <c r="T781" s="23"/>
      <c r="U781" s="40"/>
      <c r="V781" s="23"/>
      <c r="W781" s="72"/>
      <c r="X781" s="23"/>
      <c r="Y781" s="40"/>
      <c r="Z781" s="23"/>
      <c r="AA781" s="72"/>
      <c r="AB781" s="23"/>
      <c r="AC781" s="40"/>
      <c r="AD781" s="23"/>
      <c r="AE781" s="23"/>
    </row>
    <row r="782" spans="1:31" ht="12.75">
      <c r="A782" s="23"/>
      <c r="B782" s="64"/>
      <c r="C782" s="62"/>
      <c r="D782" s="92"/>
      <c r="E782" s="65"/>
      <c r="F782" s="65"/>
      <c r="G782" s="67"/>
      <c r="H782" s="67"/>
      <c r="I782" s="71"/>
      <c r="J782" s="70"/>
      <c r="K782" s="23"/>
      <c r="L782" s="70"/>
      <c r="M782" s="70"/>
      <c r="N782" s="70"/>
      <c r="O782" s="40"/>
      <c r="P782" s="23"/>
      <c r="Q782" s="23"/>
      <c r="R782" s="72"/>
      <c r="S782" s="72"/>
      <c r="T782" s="23"/>
      <c r="U782" s="40"/>
      <c r="V782" s="23"/>
      <c r="W782" s="72"/>
      <c r="X782" s="23"/>
      <c r="Y782" s="40"/>
      <c r="Z782" s="23"/>
      <c r="AA782" s="72"/>
      <c r="AB782" s="23"/>
      <c r="AC782" s="40"/>
      <c r="AD782" s="23"/>
      <c r="AE782" s="23"/>
    </row>
    <row r="783" spans="1:31" ht="12.75">
      <c r="A783" s="23"/>
      <c r="B783" s="64"/>
      <c r="C783" s="62"/>
      <c r="D783" s="92"/>
      <c r="E783" s="65"/>
      <c r="F783" s="65"/>
      <c r="G783" s="67"/>
      <c r="H783" s="67"/>
      <c r="I783" s="71"/>
      <c r="J783" s="70"/>
      <c r="K783" s="23"/>
      <c r="L783" s="70"/>
      <c r="M783" s="70"/>
      <c r="N783" s="70"/>
      <c r="O783" s="40"/>
      <c r="P783" s="23"/>
      <c r="Q783" s="23"/>
      <c r="R783" s="72"/>
      <c r="S783" s="72"/>
      <c r="T783" s="23"/>
      <c r="U783" s="40"/>
      <c r="V783" s="23"/>
      <c r="W783" s="72"/>
      <c r="X783" s="23"/>
      <c r="Y783" s="40"/>
      <c r="Z783" s="23"/>
      <c r="AA783" s="72"/>
      <c r="AB783" s="23"/>
      <c r="AC783" s="40"/>
      <c r="AD783" s="23"/>
      <c r="AE783" s="23"/>
    </row>
    <row r="784" spans="1:31" ht="12.75">
      <c r="A784" s="23"/>
      <c r="B784" s="64"/>
      <c r="C784" s="62"/>
      <c r="D784" s="92"/>
      <c r="E784" s="65"/>
      <c r="F784" s="65"/>
      <c r="G784" s="67"/>
      <c r="H784" s="67"/>
      <c r="I784" s="71"/>
      <c r="J784" s="70"/>
      <c r="K784" s="23"/>
      <c r="L784" s="70"/>
      <c r="M784" s="70"/>
      <c r="N784" s="70"/>
      <c r="O784" s="40"/>
      <c r="P784" s="23"/>
      <c r="Q784" s="23"/>
      <c r="R784" s="72"/>
      <c r="S784" s="72"/>
      <c r="T784" s="23"/>
      <c r="U784" s="40"/>
      <c r="V784" s="23"/>
      <c r="W784" s="72"/>
      <c r="X784" s="23"/>
      <c r="Y784" s="40"/>
      <c r="Z784" s="23"/>
      <c r="AA784" s="72"/>
      <c r="AB784" s="23"/>
      <c r="AC784" s="40"/>
      <c r="AD784" s="23"/>
      <c r="AE784" s="23"/>
    </row>
    <row r="785" spans="1:31" ht="12.75">
      <c r="A785" s="23"/>
      <c r="B785" s="64"/>
      <c r="C785" s="62"/>
      <c r="D785" s="92"/>
      <c r="E785" s="65"/>
      <c r="F785" s="65"/>
      <c r="G785" s="67"/>
      <c r="H785" s="67"/>
      <c r="I785" s="71"/>
      <c r="J785" s="70"/>
      <c r="K785" s="23"/>
      <c r="L785" s="70"/>
      <c r="M785" s="70"/>
      <c r="N785" s="70"/>
      <c r="O785" s="40"/>
      <c r="P785" s="23"/>
      <c r="Q785" s="23"/>
      <c r="R785" s="72"/>
      <c r="S785" s="72"/>
      <c r="T785" s="23"/>
      <c r="U785" s="40"/>
      <c r="V785" s="23"/>
      <c r="W785" s="72"/>
      <c r="X785" s="23"/>
      <c r="Y785" s="40"/>
      <c r="Z785" s="23"/>
      <c r="AA785" s="72"/>
      <c r="AB785" s="23"/>
      <c r="AC785" s="40"/>
      <c r="AD785" s="23"/>
      <c r="AE785" s="23"/>
    </row>
    <row r="786" spans="1:31" ht="12.75">
      <c r="A786" s="23"/>
      <c r="B786" s="64"/>
      <c r="C786" s="62"/>
      <c r="D786" s="92"/>
      <c r="E786" s="65"/>
      <c r="F786" s="65"/>
      <c r="G786" s="67"/>
      <c r="H786" s="67"/>
      <c r="I786" s="71"/>
      <c r="J786" s="70"/>
      <c r="K786" s="23"/>
      <c r="L786" s="70"/>
      <c r="M786" s="70"/>
      <c r="N786" s="70"/>
      <c r="O786" s="40"/>
      <c r="P786" s="23"/>
      <c r="Q786" s="23"/>
      <c r="R786" s="72"/>
      <c r="S786" s="72"/>
      <c r="T786" s="23"/>
      <c r="U786" s="40"/>
      <c r="V786" s="23"/>
      <c r="W786" s="72"/>
      <c r="X786" s="23"/>
      <c r="Y786" s="40"/>
      <c r="Z786" s="23"/>
      <c r="AA786" s="72"/>
      <c r="AB786" s="23"/>
      <c r="AC786" s="40"/>
      <c r="AD786" s="23"/>
      <c r="AE786" s="23"/>
    </row>
    <row r="787" spans="1:31" ht="12.75">
      <c r="A787" s="23"/>
      <c r="B787" s="64"/>
      <c r="C787" s="62"/>
      <c r="D787" s="92"/>
      <c r="E787" s="65"/>
      <c r="F787" s="65"/>
      <c r="G787" s="67"/>
      <c r="H787" s="67"/>
      <c r="I787" s="71"/>
      <c r="J787" s="70"/>
      <c r="K787" s="23"/>
      <c r="L787" s="70"/>
      <c r="M787" s="70"/>
      <c r="N787" s="70"/>
      <c r="O787" s="40"/>
      <c r="P787" s="23"/>
      <c r="Q787" s="23"/>
      <c r="R787" s="72"/>
      <c r="S787" s="72"/>
      <c r="T787" s="23"/>
      <c r="U787" s="40"/>
      <c r="V787" s="23"/>
      <c r="W787" s="72"/>
      <c r="X787" s="23"/>
      <c r="Y787" s="40"/>
      <c r="Z787" s="23"/>
      <c r="AA787" s="72"/>
      <c r="AB787" s="23"/>
      <c r="AC787" s="40"/>
      <c r="AD787" s="23"/>
      <c r="AE787" s="23"/>
    </row>
    <row r="788" spans="1:31" ht="12.75">
      <c r="A788" s="23"/>
      <c r="B788" s="64"/>
      <c r="C788" s="62"/>
      <c r="D788" s="92"/>
      <c r="E788" s="65"/>
      <c r="F788" s="65"/>
      <c r="G788" s="67"/>
      <c r="H788" s="67"/>
      <c r="I788" s="71"/>
      <c r="J788" s="70"/>
      <c r="K788" s="23"/>
      <c r="L788" s="70"/>
      <c r="M788" s="70"/>
      <c r="N788" s="70"/>
      <c r="O788" s="40"/>
      <c r="P788" s="23"/>
      <c r="Q788" s="23"/>
      <c r="R788" s="72"/>
      <c r="S788" s="72"/>
      <c r="T788" s="23"/>
      <c r="U788" s="40"/>
      <c r="V788" s="23"/>
      <c r="W788" s="72"/>
      <c r="X788" s="23"/>
      <c r="Y788" s="40"/>
      <c r="Z788" s="23"/>
      <c r="AA788" s="72"/>
      <c r="AB788" s="23"/>
      <c r="AC788" s="40"/>
      <c r="AD788" s="23"/>
      <c r="AE788" s="23"/>
    </row>
    <row r="789" spans="1:31" ht="12" customHeight="1">
      <c r="A789" s="23"/>
      <c r="B789" s="40"/>
      <c r="C789" s="40"/>
      <c r="D789" s="92"/>
      <c r="E789" s="65"/>
      <c r="F789" s="65"/>
      <c r="G789" s="67"/>
      <c r="H789" s="67"/>
      <c r="I789" s="71"/>
      <c r="J789" s="70"/>
      <c r="K789" s="23"/>
      <c r="L789" s="70"/>
      <c r="M789" s="70"/>
      <c r="N789" s="70"/>
      <c r="O789" s="23"/>
      <c r="P789" s="23"/>
      <c r="Q789" s="23"/>
      <c r="R789" s="72"/>
      <c r="S789" s="23"/>
      <c r="T789" s="23"/>
      <c r="U789" s="23"/>
      <c r="V789" s="23"/>
      <c r="W789" s="23"/>
      <c r="X789" s="23"/>
      <c r="Y789" s="23"/>
      <c r="Z789" s="23"/>
      <c r="AA789" s="23"/>
      <c r="AB789" s="23"/>
      <c r="AC789" s="23"/>
      <c r="AD789" s="23"/>
      <c r="AE789" s="23"/>
    </row>
    <row r="790" spans="1:31" ht="12" customHeight="1">
      <c r="A790" s="23"/>
      <c r="B790" s="40"/>
      <c r="C790" s="40"/>
      <c r="D790" s="92"/>
      <c r="E790" s="65"/>
      <c r="F790" s="65"/>
      <c r="G790" s="67"/>
      <c r="H790" s="67"/>
      <c r="I790" s="71"/>
      <c r="J790" s="70"/>
      <c r="K790" s="23"/>
      <c r="L790" s="70"/>
      <c r="M790" s="70"/>
      <c r="N790" s="70"/>
      <c r="O790" s="23"/>
      <c r="P790" s="23"/>
      <c r="Q790" s="23"/>
      <c r="R790" s="72"/>
      <c r="S790" s="23"/>
      <c r="T790" s="23"/>
      <c r="U790" s="23"/>
      <c r="V790" s="23"/>
      <c r="W790" s="23"/>
      <c r="X790" s="23"/>
      <c r="Y790" s="23"/>
      <c r="Z790" s="23"/>
      <c r="AA790" s="23"/>
      <c r="AB790" s="23"/>
      <c r="AC790" s="23"/>
      <c r="AD790" s="23"/>
      <c r="AE790" s="23"/>
    </row>
    <row r="791" spans="1:31" ht="12" customHeight="1">
      <c r="A791" s="23"/>
      <c r="B791" s="40"/>
      <c r="C791" s="40"/>
      <c r="D791" s="92"/>
      <c r="E791" s="65"/>
      <c r="F791" s="65"/>
      <c r="G791" s="67"/>
      <c r="H791" s="67"/>
      <c r="I791" s="71"/>
      <c r="J791" s="70"/>
      <c r="K791" s="23"/>
      <c r="L791" s="70"/>
      <c r="M791" s="70"/>
      <c r="N791" s="70"/>
      <c r="O791" s="23"/>
      <c r="P791" s="23"/>
      <c r="Q791" s="23"/>
      <c r="R791" s="72"/>
      <c r="S791" s="23"/>
      <c r="T791" s="23"/>
      <c r="U791" s="23"/>
      <c r="V791" s="23"/>
      <c r="W791" s="23"/>
      <c r="X791" s="23"/>
      <c r="Y791" s="23"/>
      <c r="Z791" s="23"/>
      <c r="AA791" s="23"/>
      <c r="AB791" s="23"/>
      <c r="AC791" s="23"/>
      <c r="AD791" s="23"/>
      <c r="AE791" s="23"/>
    </row>
    <row r="792" spans="1:31" ht="12" customHeight="1">
      <c r="A792" s="23"/>
      <c r="B792" s="40"/>
      <c r="C792" s="40"/>
      <c r="D792" s="92"/>
      <c r="E792" s="65"/>
      <c r="F792" s="65"/>
      <c r="G792" s="67"/>
      <c r="H792" s="67"/>
      <c r="I792" s="71"/>
      <c r="J792" s="70"/>
      <c r="K792" s="23"/>
      <c r="L792" s="70"/>
      <c r="M792" s="70"/>
      <c r="N792" s="70"/>
      <c r="O792" s="23"/>
      <c r="P792" s="23"/>
      <c r="Q792" s="23"/>
      <c r="R792" s="72"/>
      <c r="S792" s="23"/>
      <c r="T792" s="23"/>
      <c r="U792" s="23"/>
      <c r="V792" s="23"/>
      <c r="W792" s="23"/>
      <c r="X792" s="23"/>
      <c r="Y792" s="23"/>
      <c r="Z792" s="23"/>
      <c r="AA792" s="23"/>
      <c r="AB792" s="23"/>
      <c r="AC792" s="23"/>
      <c r="AD792" s="23"/>
      <c r="AE792" s="23"/>
    </row>
    <row r="793" spans="1:31" ht="12" customHeight="1">
      <c r="A793" s="23"/>
      <c r="B793" s="40"/>
      <c r="C793" s="40"/>
      <c r="D793" s="92"/>
      <c r="E793" s="65"/>
      <c r="F793" s="65"/>
      <c r="G793" s="67"/>
      <c r="H793" s="67"/>
      <c r="I793" s="71"/>
      <c r="J793" s="70"/>
      <c r="K793" s="23"/>
      <c r="L793" s="70"/>
      <c r="M793" s="70"/>
      <c r="N793" s="70"/>
      <c r="O793" s="23"/>
      <c r="P793" s="23"/>
      <c r="Q793" s="23"/>
      <c r="R793" s="72"/>
      <c r="S793" s="23"/>
      <c r="T793" s="23"/>
      <c r="U793" s="23"/>
      <c r="V793" s="23"/>
      <c r="W793" s="23"/>
      <c r="X793" s="23"/>
      <c r="Y793" s="23"/>
      <c r="Z793" s="23"/>
      <c r="AA793" s="23"/>
      <c r="AB793" s="23"/>
      <c r="AC793" s="23"/>
      <c r="AD793" s="23"/>
      <c r="AE793" s="23"/>
    </row>
    <row r="794" spans="1:31" ht="12" customHeight="1">
      <c r="A794" s="23"/>
      <c r="B794" s="40"/>
      <c r="C794" s="40"/>
      <c r="D794" s="92"/>
      <c r="E794" s="65"/>
      <c r="F794" s="65"/>
      <c r="G794" s="67"/>
      <c r="H794" s="67"/>
      <c r="I794" s="71"/>
      <c r="J794" s="70"/>
      <c r="K794" s="23"/>
      <c r="L794" s="70"/>
      <c r="M794" s="70"/>
      <c r="N794" s="70"/>
      <c r="O794" s="23"/>
      <c r="P794" s="23"/>
      <c r="Q794" s="23"/>
      <c r="R794" s="72"/>
      <c r="S794" s="23"/>
      <c r="T794" s="23"/>
      <c r="U794" s="23"/>
      <c r="V794" s="23"/>
      <c r="W794" s="23"/>
      <c r="X794" s="23"/>
      <c r="Y794" s="23"/>
      <c r="Z794" s="23"/>
      <c r="AA794" s="23"/>
      <c r="AB794" s="23"/>
      <c r="AC794" s="23"/>
      <c r="AD794" s="23"/>
      <c r="AE794" s="23"/>
    </row>
    <row r="795" spans="1:31" ht="12" customHeight="1">
      <c r="A795" s="23"/>
      <c r="B795" s="40"/>
      <c r="C795" s="40"/>
      <c r="D795" s="92"/>
      <c r="E795" s="65"/>
      <c r="F795" s="65"/>
      <c r="G795" s="67"/>
      <c r="H795" s="67"/>
      <c r="I795" s="71"/>
      <c r="J795" s="70"/>
      <c r="K795" s="23"/>
      <c r="L795" s="70"/>
      <c r="M795" s="70"/>
      <c r="N795" s="70"/>
      <c r="O795" s="23"/>
      <c r="P795" s="23"/>
      <c r="Q795" s="23"/>
      <c r="R795" s="72"/>
      <c r="S795" s="23"/>
      <c r="T795" s="23"/>
      <c r="U795" s="23"/>
      <c r="V795" s="23"/>
      <c r="W795" s="23"/>
      <c r="X795" s="23"/>
      <c r="Y795" s="23"/>
      <c r="Z795" s="23"/>
      <c r="AA795" s="23"/>
      <c r="AB795" s="23"/>
      <c r="AC795" s="23"/>
      <c r="AD795" s="23"/>
      <c r="AE795" s="23"/>
    </row>
    <row r="796" spans="1:31" ht="12" customHeight="1">
      <c r="A796" s="23"/>
      <c r="B796" s="40"/>
      <c r="C796" s="40"/>
      <c r="D796" s="92"/>
      <c r="E796" s="65"/>
      <c r="F796" s="65"/>
      <c r="G796" s="67"/>
      <c r="H796" s="67"/>
      <c r="I796" s="71"/>
      <c r="J796" s="70"/>
      <c r="K796" s="23"/>
      <c r="L796" s="70"/>
      <c r="M796" s="70"/>
      <c r="N796" s="70"/>
      <c r="O796" s="23"/>
      <c r="P796" s="23"/>
      <c r="Q796" s="23"/>
      <c r="R796" s="72"/>
      <c r="S796" s="23"/>
      <c r="T796" s="23"/>
      <c r="U796" s="23"/>
      <c r="V796" s="23"/>
      <c r="W796" s="23"/>
      <c r="X796" s="23"/>
      <c r="Y796" s="23"/>
      <c r="Z796" s="23"/>
      <c r="AA796" s="23"/>
      <c r="AB796" s="23"/>
      <c r="AC796" s="23"/>
      <c r="AD796" s="23"/>
      <c r="AE796" s="23"/>
    </row>
    <row r="797" spans="1:31" ht="12" customHeight="1">
      <c r="A797" s="23"/>
      <c r="B797" s="40"/>
      <c r="C797" s="40"/>
      <c r="D797" s="92"/>
      <c r="E797" s="65"/>
      <c r="F797" s="65"/>
      <c r="G797" s="67"/>
      <c r="H797" s="67"/>
      <c r="I797" s="71"/>
      <c r="J797" s="70"/>
      <c r="K797" s="23"/>
      <c r="L797" s="70"/>
      <c r="M797" s="70"/>
      <c r="N797" s="70"/>
      <c r="O797" s="23"/>
      <c r="P797" s="23"/>
      <c r="Q797" s="23"/>
      <c r="R797" s="72"/>
      <c r="S797" s="23"/>
      <c r="T797" s="23"/>
      <c r="U797" s="23"/>
      <c r="V797" s="23"/>
      <c r="W797" s="23"/>
      <c r="X797" s="23"/>
      <c r="Y797" s="23"/>
      <c r="Z797" s="23"/>
      <c r="AA797" s="23"/>
      <c r="AB797" s="23"/>
      <c r="AC797" s="23"/>
      <c r="AD797" s="23"/>
      <c r="AE797" s="23"/>
    </row>
    <row r="798" spans="1:31" ht="12" customHeight="1">
      <c r="A798" s="23"/>
      <c r="B798" s="40"/>
      <c r="C798" s="40"/>
      <c r="D798" s="92"/>
      <c r="E798" s="65"/>
      <c r="F798" s="65"/>
      <c r="G798" s="67"/>
      <c r="H798" s="67"/>
      <c r="I798" s="71"/>
      <c r="J798" s="70"/>
      <c r="K798" s="23"/>
      <c r="L798" s="70"/>
      <c r="M798" s="70"/>
      <c r="N798" s="70"/>
      <c r="O798" s="23"/>
      <c r="P798" s="23"/>
      <c r="Q798" s="23"/>
      <c r="R798" s="72"/>
      <c r="S798" s="23"/>
      <c r="T798" s="23"/>
      <c r="U798" s="23"/>
      <c r="V798" s="23"/>
      <c r="W798" s="23"/>
      <c r="X798" s="23"/>
      <c r="Y798" s="23"/>
      <c r="Z798" s="23"/>
      <c r="AA798" s="23"/>
      <c r="AB798" s="23"/>
      <c r="AC798" s="23"/>
      <c r="AD798" s="23"/>
      <c r="AE798" s="23"/>
    </row>
    <row r="799" spans="1:31" ht="12" customHeight="1">
      <c r="A799" s="23"/>
      <c r="B799" s="40"/>
      <c r="C799" s="40"/>
      <c r="D799" s="92"/>
      <c r="E799" s="65"/>
      <c r="F799" s="65"/>
      <c r="G799" s="67"/>
      <c r="H799" s="67"/>
      <c r="I799" s="71"/>
      <c r="J799" s="70"/>
      <c r="K799" s="23"/>
      <c r="L799" s="70"/>
      <c r="M799" s="70"/>
      <c r="N799" s="70"/>
      <c r="O799" s="23"/>
      <c r="P799" s="23"/>
      <c r="Q799" s="23"/>
      <c r="R799" s="72"/>
      <c r="S799" s="23"/>
      <c r="T799" s="23"/>
      <c r="U799" s="23"/>
      <c r="V799" s="23"/>
      <c r="W799" s="23"/>
      <c r="X799" s="23"/>
      <c r="Y799" s="23"/>
      <c r="Z799" s="23"/>
      <c r="AA799" s="23"/>
      <c r="AB799" s="23"/>
      <c r="AC799" s="23"/>
      <c r="AD799" s="23"/>
      <c r="AE799" s="23"/>
    </row>
    <row r="800" spans="1:31" ht="12" customHeight="1">
      <c r="A800" s="23"/>
      <c r="B800" s="40"/>
      <c r="C800" s="40"/>
      <c r="D800" s="92"/>
      <c r="E800" s="65"/>
      <c r="F800" s="65"/>
      <c r="G800" s="67"/>
      <c r="H800" s="67"/>
      <c r="I800" s="71"/>
      <c r="J800" s="70"/>
      <c r="K800" s="23"/>
      <c r="L800" s="70"/>
      <c r="M800" s="70"/>
      <c r="N800" s="70"/>
      <c r="O800" s="23"/>
      <c r="P800" s="23"/>
      <c r="Q800" s="23"/>
      <c r="R800" s="72"/>
      <c r="S800" s="23"/>
      <c r="T800" s="23"/>
      <c r="U800" s="23"/>
      <c r="V800" s="23"/>
      <c r="W800" s="23"/>
      <c r="X800" s="23"/>
      <c r="Y800" s="23"/>
      <c r="Z800" s="23"/>
      <c r="AA800" s="23"/>
      <c r="AB800" s="23"/>
      <c r="AC800" s="23"/>
      <c r="AD800" s="23"/>
      <c r="AE800" s="23"/>
    </row>
    <row r="801" spans="1:31" ht="12" customHeight="1">
      <c r="A801" s="23"/>
      <c r="B801" s="40"/>
      <c r="C801" s="40"/>
      <c r="D801" s="92"/>
      <c r="E801" s="65"/>
      <c r="F801" s="65"/>
      <c r="G801" s="67"/>
      <c r="H801" s="67"/>
      <c r="I801" s="71"/>
      <c r="J801" s="70"/>
      <c r="K801" s="23"/>
      <c r="L801" s="70"/>
      <c r="M801" s="70"/>
      <c r="N801" s="70"/>
      <c r="O801" s="23"/>
      <c r="P801" s="23"/>
      <c r="Q801" s="23"/>
      <c r="R801" s="72"/>
      <c r="S801" s="23"/>
      <c r="T801" s="23"/>
      <c r="U801" s="23"/>
      <c r="V801" s="23"/>
      <c r="W801" s="23"/>
      <c r="X801" s="23"/>
      <c r="Y801" s="23"/>
      <c r="Z801" s="23"/>
      <c r="AA801" s="23"/>
      <c r="AB801" s="23"/>
      <c r="AC801" s="23"/>
      <c r="AD801" s="23"/>
      <c r="AE801" s="23"/>
    </row>
    <row r="802" spans="1:31" ht="12" customHeight="1">
      <c r="A802" s="23"/>
      <c r="B802" s="40"/>
      <c r="C802" s="40"/>
      <c r="D802" s="92"/>
      <c r="E802" s="65"/>
      <c r="F802" s="65"/>
      <c r="G802" s="67"/>
      <c r="H802" s="67"/>
      <c r="I802" s="71"/>
      <c r="J802" s="70"/>
      <c r="K802" s="23"/>
      <c r="L802" s="70"/>
      <c r="M802" s="70"/>
      <c r="N802" s="70"/>
      <c r="O802" s="23"/>
      <c r="P802" s="23"/>
      <c r="Q802" s="23"/>
      <c r="R802" s="72"/>
      <c r="S802" s="23"/>
      <c r="T802" s="23"/>
      <c r="U802" s="23"/>
      <c r="V802" s="23"/>
      <c r="W802" s="23"/>
      <c r="X802" s="23"/>
      <c r="Y802" s="23"/>
      <c r="Z802" s="23"/>
      <c r="AA802" s="23"/>
      <c r="AB802" s="23"/>
      <c r="AC802" s="23"/>
      <c r="AD802" s="23"/>
      <c r="AE802" s="23"/>
    </row>
    <row r="803" spans="1:31" ht="12" customHeight="1">
      <c r="A803" s="23"/>
      <c r="B803" s="40"/>
      <c r="C803" s="40"/>
      <c r="D803" s="92"/>
      <c r="E803" s="65"/>
      <c r="F803" s="65"/>
      <c r="G803" s="67"/>
      <c r="H803" s="67"/>
      <c r="I803" s="71"/>
      <c r="J803" s="70"/>
      <c r="K803" s="23"/>
      <c r="L803" s="70"/>
      <c r="M803" s="70"/>
      <c r="N803" s="70"/>
      <c r="O803" s="23"/>
      <c r="P803" s="23"/>
      <c r="Q803" s="23"/>
      <c r="R803" s="72"/>
      <c r="S803" s="23"/>
      <c r="T803" s="23"/>
      <c r="U803" s="23"/>
      <c r="V803" s="23"/>
      <c r="W803" s="23"/>
      <c r="X803" s="23"/>
      <c r="Y803" s="23"/>
      <c r="Z803" s="23"/>
      <c r="AA803" s="23"/>
      <c r="AB803" s="23"/>
      <c r="AC803" s="23"/>
      <c r="AD803" s="23"/>
      <c r="AE803" s="23"/>
    </row>
    <row r="804" spans="1:31" ht="12.75">
      <c r="A804" s="23"/>
      <c r="B804" s="40"/>
      <c r="C804" s="40"/>
      <c r="D804" s="92"/>
      <c r="E804" s="65"/>
      <c r="F804" s="65"/>
      <c r="G804" s="67"/>
      <c r="H804" s="67"/>
      <c r="I804" s="40"/>
      <c r="J804" s="70"/>
      <c r="K804" s="23"/>
      <c r="L804" s="70"/>
      <c r="M804" s="70"/>
      <c r="N804" s="23"/>
      <c r="O804" s="23"/>
      <c r="P804" s="23"/>
      <c r="Q804" s="23"/>
      <c r="R804" s="72"/>
      <c r="S804" s="23"/>
      <c r="T804" s="23"/>
      <c r="U804" s="23"/>
      <c r="V804" s="23"/>
      <c r="W804" s="23"/>
      <c r="X804" s="23"/>
      <c r="Y804" s="23"/>
      <c r="Z804" s="23"/>
      <c r="AA804" s="23"/>
      <c r="AB804" s="23"/>
      <c r="AC804" s="23"/>
      <c r="AD804" s="23"/>
      <c r="AE804" s="23"/>
    </row>
    <row r="805" spans="1:31" ht="12.75">
      <c r="A805" s="23"/>
      <c r="B805" s="40"/>
      <c r="C805" s="40"/>
      <c r="D805" s="92"/>
      <c r="E805" s="65"/>
      <c r="F805" s="65"/>
      <c r="G805" s="67"/>
      <c r="H805" s="67"/>
      <c r="I805" s="40"/>
      <c r="J805" s="70"/>
      <c r="K805" s="23"/>
      <c r="L805" s="70"/>
      <c r="M805" s="70"/>
      <c r="N805" s="23"/>
      <c r="O805" s="23"/>
      <c r="P805" s="23"/>
      <c r="Q805" s="23"/>
      <c r="R805" s="72"/>
      <c r="S805" s="23"/>
      <c r="T805" s="23"/>
      <c r="U805" s="23"/>
      <c r="V805" s="23"/>
      <c r="W805" s="23"/>
      <c r="X805" s="23"/>
      <c r="Y805" s="23"/>
      <c r="Z805" s="23"/>
      <c r="AA805" s="23"/>
      <c r="AB805" s="23"/>
      <c r="AC805" s="23"/>
      <c r="AD805" s="23"/>
      <c r="AE805" s="23"/>
    </row>
    <row r="806" spans="1:31" ht="12.75">
      <c r="A806" s="23"/>
      <c r="B806" s="40"/>
      <c r="C806" s="40"/>
      <c r="D806" s="92"/>
      <c r="E806" s="65"/>
      <c r="F806" s="65"/>
      <c r="G806" s="67"/>
      <c r="H806" s="67"/>
      <c r="I806" s="40"/>
      <c r="J806" s="70"/>
      <c r="K806" s="23"/>
      <c r="L806" s="70"/>
      <c r="M806" s="70"/>
      <c r="N806" s="23"/>
      <c r="O806" s="23"/>
      <c r="P806" s="23"/>
      <c r="Q806" s="23"/>
      <c r="R806" s="72"/>
      <c r="S806" s="23"/>
      <c r="T806" s="23"/>
      <c r="U806" s="23"/>
      <c r="V806" s="23"/>
      <c r="W806" s="23"/>
      <c r="X806" s="23"/>
      <c r="Y806" s="23"/>
      <c r="Z806" s="23"/>
      <c r="AA806" s="23"/>
      <c r="AB806" s="23"/>
      <c r="AC806" s="23"/>
      <c r="AD806" s="23"/>
      <c r="AE806" s="23"/>
    </row>
    <row r="807" spans="1:31" ht="12.75">
      <c r="A807" s="23"/>
      <c r="B807" s="40"/>
      <c r="C807" s="40"/>
      <c r="D807" s="92"/>
      <c r="E807" s="65"/>
      <c r="F807" s="65"/>
      <c r="G807" s="67"/>
      <c r="H807" s="67"/>
      <c r="I807" s="40"/>
      <c r="J807" s="70"/>
      <c r="K807" s="23"/>
      <c r="L807" s="70"/>
      <c r="M807" s="70"/>
      <c r="N807" s="23"/>
      <c r="O807" s="23"/>
      <c r="P807" s="23"/>
      <c r="Q807" s="23"/>
      <c r="R807" s="72"/>
      <c r="S807" s="23"/>
      <c r="T807" s="23"/>
      <c r="U807" s="23"/>
      <c r="V807" s="23"/>
      <c r="W807" s="23"/>
      <c r="X807" s="23"/>
      <c r="Y807" s="23"/>
      <c r="Z807" s="23"/>
      <c r="AA807" s="23"/>
      <c r="AB807" s="23"/>
      <c r="AC807" s="23"/>
      <c r="AD807" s="23"/>
      <c r="AE807" s="23"/>
    </row>
    <row r="808" spans="1:31" ht="12.75">
      <c r="A808" s="23"/>
      <c r="B808" s="40"/>
      <c r="C808" s="40"/>
      <c r="D808" s="92"/>
      <c r="E808" s="65"/>
      <c r="F808" s="65"/>
      <c r="G808" s="67"/>
      <c r="H808" s="67"/>
      <c r="I808" s="40"/>
      <c r="J808" s="70"/>
      <c r="K808" s="23"/>
      <c r="L808" s="70"/>
      <c r="M808" s="70"/>
      <c r="N808" s="23"/>
      <c r="O808" s="23"/>
      <c r="P808" s="23"/>
      <c r="Q808" s="23"/>
      <c r="R808" s="72"/>
      <c r="S808" s="23"/>
      <c r="T808" s="23"/>
      <c r="U808" s="23"/>
      <c r="V808" s="23"/>
      <c r="W808" s="23"/>
      <c r="X808" s="23"/>
      <c r="Y808" s="23"/>
      <c r="Z808" s="23"/>
      <c r="AA808" s="23"/>
      <c r="AB808" s="23"/>
      <c r="AC808" s="23"/>
      <c r="AD808" s="23"/>
      <c r="AE808" s="23"/>
    </row>
    <row r="809" spans="1:31" ht="12.75">
      <c r="A809" s="23"/>
      <c r="B809" s="40"/>
      <c r="C809" s="40"/>
      <c r="D809" s="92"/>
      <c r="E809" s="65"/>
      <c r="F809" s="65"/>
      <c r="G809" s="67"/>
      <c r="H809" s="67"/>
      <c r="I809" s="40"/>
      <c r="J809" s="70"/>
      <c r="K809" s="23"/>
      <c r="L809" s="70"/>
      <c r="M809" s="70"/>
      <c r="N809" s="23"/>
      <c r="O809" s="23"/>
      <c r="P809" s="23"/>
      <c r="Q809" s="23"/>
      <c r="R809" s="72"/>
      <c r="S809" s="23"/>
      <c r="T809" s="23"/>
      <c r="U809" s="23"/>
      <c r="V809" s="23"/>
      <c r="W809" s="23"/>
      <c r="X809" s="23"/>
      <c r="Y809" s="23"/>
      <c r="Z809" s="23"/>
      <c r="AA809" s="23"/>
      <c r="AB809" s="23"/>
      <c r="AC809" s="23"/>
      <c r="AD809" s="23"/>
      <c r="AE809" s="23"/>
    </row>
    <row r="810" spans="1:31">
      <c r="A810" s="23"/>
      <c r="B810" s="40"/>
      <c r="C810" s="40"/>
      <c r="D810" s="23"/>
      <c r="E810" s="65"/>
      <c r="F810" s="23"/>
      <c r="G810" s="67"/>
      <c r="H810" s="67"/>
      <c r="I810" s="40"/>
      <c r="J810" s="70"/>
      <c r="K810" s="23"/>
      <c r="L810" s="70"/>
      <c r="M810" s="70"/>
      <c r="N810" s="23"/>
      <c r="O810" s="23"/>
      <c r="P810" s="23"/>
      <c r="Q810" s="23"/>
      <c r="R810" s="72"/>
      <c r="S810" s="23"/>
      <c r="T810" s="23"/>
      <c r="U810" s="23"/>
      <c r="V810" s="23"/>
      <c r="W810" s="23"/>
      <c r="X810" s="23"/>
      <c r="Y810" s="23"/>
      <c r="Z810" s="23"/>
      <c r="AA810" s="23"/>
      <c r="AB810" s="23"/>
      <c r="AC810" s="23"/>
      <c r="AD810" s="23"/>
      <c r="AE810" s="23"/>
    </row>
    <row r="811" spans="1:31" s="56" customFormat="1">
      <c r="A811" s="73"/>
      <c r="B811" s="85"/>
      <c r="C811" s="85"/>
      <c r="D811" s="73"/>
      <c r="E811" s="73"/>
      <c r="F811" s="73"/>
      <c r="G811" s="73"/>
      <c r="H811" s="99"/>
      <c r="I811" s="85"/>
      <c r="J811" s="86"/>
      <c r="K811" s="73"/>
      <c r="L811" s="86"/>
      <c r="M811" s="86"/>
      <c r="N811" s="73"/>
      <c r="O811" s="73"/>
      <c r="P811" s="73"/>
      <c r="Q811" s="73"/>
      <c r="R811" s="90"/>
      <c r="S811" s="73"/>
      <c r="T811" s="73"/>
      <c r="U811" s="73"/>
      <c r="V811" s="73"/>
      <c r="W811" s="73"/>
      <c r="X811" s="73"/>
      <c r="Y811" s="73"/>
      <c r="Z811" s="73"/>
      <c r="AA811" s="73"/>
      <c r="AB811" s="73"/>
      <c r="AC811" s="73"/>
      <c r="AD811" s="73"/>
      <c r="AE811" s="73"/>
    </row>
    <row r="812" spans="1:31" ht="50.1" customHeight="1">
      <c r="A812" s="23"/>
      <c r="B812" s="40"/>
      <c r="C812" s="40"/>
      <c r="D812" s="23"/>
      <c r="E812" s="23"/>
      <c r="F812" s="23"/>
      <c r="G812" s="67"/>
      <c r="H812" s="67"/>
      <c r="I812" s="40"/>
      <c r="J812" s="70"/>
      <c r="K812" s="23"/>
      <c r="L812" s="70"/>
      <c r="M812" s="70"/>
      <c r="N812" s="23"/>
      <c r="O812" s="23"/>
      <c r="P812" s="23"/>
      <c r="Q812" s="23"/>
      <c r="R812" s="72"/>
      <c r="S812" s="23"/>
      <c r="T812" s="23"/>
      <c r="U812" s="23"/>
      <c r="V812" s="23"/>
      <c r="W812" s="23"/>
      <c r="X812" s="23"/>
      <c r="Y812" s="23"/>
      <c r="Z812" s="23"/>
      <c r="AA812" s="23"/>
      <c r="AB812" s="23"/>
      <c r="AC812" s="23"/>
      <c r="AD812" s="23"/>
      <c r="AE812" s="23"/>
    </row>
    <row r="813" spans="1:31" ht="24" customHeight="1">
      <c r="A813" s="23"/>
      <c r="B813" s="40"/>
      <c r="C813" s="40"/>
      <c r="D813" s="23"/>
      <c r="E813" s="23"/>
      <c r="F813" s="23"/>
      <c r="G813" s="67"/>
      <c r="H813" s="67"/>
      <c r="I813" s="40"/>
      <c r="J813" s="70"/>
      <c r="K813" s="23"/>
      <c r="L813" s="70"/>
      <c r="M813" s="70"/>
      <c r="N813" s="23"/>
      <c r="O813" s="23"/>
      <c r="P813" s="23"/>
      <c r="Q813" s="23"/>
      <c r="R813" s="72"/>
      <c r="S813" s="23"/>
      <c r="T813" s="23"/>
      <c r="U813" s="23"/>
      <c r="V813" s="23"/>
      <c r="W813" s="23"/>
      <c r="X813" s="23"/>
      <c r="Y813" s="23"/>
      <c r="Z813" s="23"/>
      <c r="AA813" s="23"/>
      <c r="AB813" s="23"/>
      <c r="AC813" s="23"/>
      <c r="AD813" s="23"/>
      <c r="AE813" s="23"/>
    </row>
    <row r="814" spans="1:31">
      <c r="A814" s="23"/>
      <c r="B814" s="40"/>
      <c r="C814" s="40"/>
      <c r="D814" s="23"/>
      <c r="E814" s="23"/>
      <c r="F814" s="23"/>
      <c r="G814" s="23"/>
      <c r="H814" s="67"/>
      <c r="I814" s="40"/>
      <c r="J814" s="70"/>
      <c r="K814" s="23"/>
      <c r="L814" s="70"/>
      <c r="M814" s="70"/>
      <c r="N814" s="23"/>
      <c r="O814" s="23"/>
      <c r="P814" s="23"/>
      <c r="Q814" s="23"/>
      <c r="R814" s="72"/>
      <c r="S814" s="23"/>
      <c r="T814" s="23"/>
      <c r="U814" s="23"/>
      <c r="V814" s="23"/>
      <c r="W814" s="23"/>
      <c r="X814" s="23"/>
      <c r="Y814" s="23"/>
      <c r="Z814" s="23"/>
      <c r="AA814" s="23"/>
      <c r="AB814" s="23"/>
      <c r="AC814" s="23"/>
      <c r="AD814" s="23"/>
      <c r="AE814" s="23"/>
    </row>
    <row r="815" spans="1:31" ht="45" customHeight="1">
      <c r="A815" s="23"/>
      <c r="B815" s="40"/>
      <c r="C815" s="40"/>
      <c r="D815" s="23"/>
      <c r="E815" s="23"/>
      <c r="F815" s="23"/>
      <c r="G815" s="23"/>
      <c r="H815" s="67"/>
      <c r="I815" s="40"/>
      <c r="J815" s="70"/>
      <c r="K815" s="23"/>
      <c r="L815" s="70"/>
      <c r="M815" s="70"/>
      <c r="N815" s="23"/>
      <c r="O815" s="23"/>
      <c r="P815" s="23"/>
      <c r="Q815" s="23"/>
      <c r="R815" s="72"/>
      <c r="S815" s="23"/>
      <c r="T815" s="23"/>
      <c r="U815" s="23"/>
      <c r="V815" s="23"/>
      <c r="W815" s="23"/>
      <c r="X815" s="23"/>
      <c r="Y815" s="23"/>
      <c r="Z815" s="23"/>
      <c r="AA815" s="23"/>
      <c r="AB815" s="23"/>
      <c r="AC815" s="23"/>
      <c r="AD815" s="23"/>
      <c r="AE815" s="23"/>
    </row>
    <row r="816" spans="1:31">
      <c r="A816" s="23"/>
      <c r="B816" s="40"/>
      <c r="C816" s="40"/>
      <c r="D816" s="23"/>
      <c r="E816" s="23"/>
      <c r="F816" s="23"/>
      <c r="G816" s="23"/>
      <c r="H816" s="67"/>
      <c r="I816" s="40"/>
      <c r="J816" s="70"/>
      <c r="K816" s="23"/>
      <c r="L816" s="70"/>
      <c r="M816" s="70"/>
      <c r="N816" s="23"/>
      <c r="O816" s="23"/>
      <c r="P816" s="23"/>
      <c r="Q816" s="23"/>
      <c r="R816" s="72"/>
      <c r="S816" s="23"/>
      <c r="T816" s="23"/>
      <c r="U816" s="23"/>
      <c r="V816" s="23"/>
      <c r="W816" s="23"/>
      <c r="X816" s="23"/>
      <c r="Y816" s="23"/>
      <c r="Z816" s="23"/>
      <c r="AA816" s="23"/>
      <c r="AB816" s="23"/>
      <c r="AC816" s="23"/>
      <c r="AD816" s="23"/>
      <c r="AE816" s="23"/>
    </row>
    <row r="817" spans="1:31">
      <c r="A817" s="23"/>
      <c r="B817" s="40"/>
      <c r="C817" s="40"/>
      <c r="D817" s="23"/>
      <c r="E817" s="23"/>
      <c r="F817" s="23"/>
      <c r="G817" s="23"/>
      <c r="H817" s="67"/>
      <c r="I817" s="40"/>
      <c r="J817" s="70"/>
      <c r="K817" s="23"/>
      <c r="L817" s="70"/>
      <c r="M817" s="70"/>
      <c r="N817" s="23"/>
      <c r="O817" s="23"/>
      <c r="P817" s="23"/>
      <c r="Q817" s="23"/>
      <c r="R817" s="72"/>
      <c r="S817" s="23"/>
      <c r="T817" s="23"/>
      <c r="U817" s="23"/>
      <c r="V817" s="23"/>
      <c r="W817" s="23"/>
      <c r="X817" s="23"/>
      <c r="Y817" s="23"/>
      <c r="Z817" s="23"/>
      <c r="AA817" s="23"/>
      <c r="AB817" s="23"/>
      <c r="AC817" s="23"/>
      <c r="AD817" s="23"/>
      <c r="AE817" s="23"/>
    </row>
    <row r="818" spans="1:31">
      <c r="A818" s="23"/>
      <c r="B818" s="40"/>
      <c r="C818" s="40"/>
      <c r="D818" s="23"/>
      <c r="E818" s="23"/>
      <c r="F818" s="23"/>
      <c r="G818" s="23"/>
      <c r="H818" s="67"/>
      <c r="I818" s="40"/>
      <c r="J818" s="70"/>
      <c r="K818" s="23"/>
      <c r="L818" s="70"/>
      <c r="M818" s="70"/>
      <c r="N818" s="23"/>
      <c r="O818" s="23"/>
      <c r="P818" s="23"/>
      <c r="Q818" s="23"/>
      <c r="R818" s="72"/>
      <c r="S818" s="23"/>
      <c r="T818" s="23"/>
      <c r="U818" s="23"/>
      <c r="V818" s="23"/>
      <c r="W818" s="23"/>
      <c r="X818" s="23"/>
      <c r="Y818" s="23"/>
      <c r="Z818" s="23"/>
      <c r="AA818" s="23"/>
      <c r="AB818" s="23"/>
      <c r="AC818" s="23"/>
      <c r="AD818" s="23"/>
      <c r="AE818" s="23"/>
    </row>
    <row r="819" spans="1:31" ht="24" customHeight="1">
      <c r="A819" s="23"/>
      <c r="B819" s="40"/>
      <c r="C819" s="40"/>
      <c r="D819" s="23"/>
      <c r="E819" s="23"/>
      <c r="F819" s="23"/>
      <c r="G819" s="23"/>
      <c r="H819" s="67"/>
      <c r="I819" s="40"/>
      <c r="J819" s="70"/>
      <c r="K819" s="23"/>
      <c r="L819" s="70"/>
      <c r="M819" s="70"/>
      <c r="N819" s="23"/>
      <c r="O819" s="23"/>
      <c r="P819" s="23"/>
      <c r="Q819" s="23"/>
      <c r="R819" s="72"/>
      <c r="S819" s="23"/>
      <c r="T819" s="23"/>
      <c r="U819" s="23"/>
      <c r="V819" s="23"/>
      <c r="W819" s="23"/>
      <c r="X819" s="23"/>
      <c r="Y819" s="23"/>
      <c r="Z819" s="23"/>
      <c r="AA819" s="23"/>
      <c r="AB819" s="23"/>
      <c r="AC819" s="23"/>
      <c r="AD819" s="23"/>
      <c r="AE819" s="23"/>
    </row>
    <row r="820" spans="1:31">
      <c r="A820" s="23"/>
      <c r="B820" s="64"/>
      <c r="C820" s="62"/>
      <c r="D820" s="65"/>
      <c r="E820" s="66"/>
      <c r="F820" s="65"/>
      <c r="G820" s="67"/>
      <c r="H820" s="67"/>
      <c r="I820" s="67"/>
      <c r="J820" s="23"/>
      <c r="K820" s="23"/>
      <c r="L820" s="23"/>
      <c r="M820" s="23"/>
      <c r="N820" s="70"/>
      <c r="O820" s="40"/>
      <c r="P820" s="23"/>
      <c r="Q820" s="23"/>
      <c r="R820" s="72"/>
      <c r="S820" s="72"/>
      <c r="T820" s="23"/>
      <c r="U820" s="40"/>
      <c r="V820" s="23"/>
      <c r="W820" s="72"/>
      <c r="X820" s="23"/>
      <c r="Y820" s="40"/>
      <c r="Z820" s="23"/>
      <c r="AA820" s="72"/>
      <c r="AB820" s="23"/>
      <c r="AC820" s="40"/>
      <c r="AD820" s="23"/>
      <c r="AE820" s="23"/>
    </row>
    <row r="821" spans="1:31">
      <c r="A821" s="23"/>
      <c r="B821" s="64"/>
      <c r="C821" s="62"/>
      <c r="D821" s="65"/>
      <c r="E821" s="66"/>
      <c r="F821" s="65"/>
      <c r="G821" s="67"/>
      <c r="H821" s="67"/>
      <c r="I821" s="67"/>
      <c r="J821" s="23"/>
      <c r="K821" s="23"/>
      <c r="L821" s="23"/>
      <c r="M821" s="23"/>
      <c r="N821" s="70"/>
      <c r="O821" s="40"/>
      <c r="P821" s="23"/>
      <c r="Q821" s="23"/>
      <c r="R821" s="72"/>
      <c r="S821" s="72"/>
      <c r="T821" s="23"/>
      <c r="U821" s="40"/>
      <c r="V821" s="23"/>
      <c r="W821" s="72"/>
      <c r="X821" s="23"/>
      <c r="Y821" s="40"/>
      <c r="Z821" s="23"/>
      <c r="AA821" s="72"/>
      <c r="AB821" s="23"/>
      <c r="AC821" s="40"/>
      <c r="AD821" s="23"/>
      <c r="AE821" s="23"/>
    </row>
    <row r="822" spans="1:31">
      <c r="A822" s="23"/>
      <c r="B822" s="64"/>
      <c r="C822" s="62"/>
      <c r="D822" s="65"/>
      <c r="E822" s="66"/>
      <c r="F822" s="65"/>
      <c r="G822" s="67"/>
      <c r="H822" s="67"/>
      <c r="I822" s="67"/>
      <c r="J822" s="23"/>
      <c r="K822" s="23"/>
      <c r="L822" s="23"/>
      <c r="M822" s="23"/>
      <c r="N822" s="70"/>
      <c r="O822" s="40"/>
      <c r="P822" s="23"/>
      <c r="Q822" s="23"/>
      <c r="R822" s="72"/>
      <c r="S822" s="72"/>
      <c r="T822" s="23"/>
      <c r="U822" s="40"/>
      <c r="V822" s="23"/>
      <c r="W822" s="72"/>
      <c r="X822" s="23"/>
      <c r="Y822" s="40"/>
      <c r="Z822" s="23"/>
      <c r="AA822" s="72"/>
      <c r="AB822" s="23"/>
      <c r="AC822" s="40"/>
      <c r="AD822" s="23"/>
      <c r="AE822" s="23"/>
    </row>
    <row r="823" spans="1:31">
      <c r="A823" s="23"/>
      <c r="B823" s="64"/>
      <c r="C823" s="62"/>
      <c r="D823" s="65"/>
      <c r="E823" s="66"/>
      <c r="F823" s="65"/>
      <c r="G823" s="67"/>
      <c r="H823" s="71"/>
      <c r="I823" s="71"/>
      <c r="J823" s="40"/>
      <c r="K823" s="23"/>
      <c r="L823" s="23"/>
      <c r="M823" s="23"/>
      <c r="N823" s="70"/>
      <c r="O823" s="40"/>
      <c r="P823" s="23"/>
      <c r="Q823" s="23"/>
      <c r="R823" s="72"/>
      <c r="S823" s="72"/>
      <c r="T823" s="23"/>
      <c r="U823" s="40"/>
      <c r="V823" s="23"/>
      <c r="W823" s="72"/>
      <c r="X823" s="23"/>
      <c r="Y823" s="40"/>
      <c r="Z823" s="23"/>
      <c r="AA823" s="72"/>
      <c r="AB823" s="23"/>
      <c r="AC823" s="40"/>
      <c r="AD823" s="23"/>
      <c r="AE823" s="23"/>
    </row>
    <row r="824" spans="1:31">
      <c r="A824" s="23"/>
      <c r="B824" s="64"/>
      <c r="C824" s="62"/>
      <c r="D824" s="65"/>
      <c r="E824" s="66"/>
      <c r="F824" s="65"/>
      <c r="G824" s="67"/>
      <c r="H824" s="67"/>
      <c r="I824" s="67"/>
      <c r="J824" s="23"/>
      <c r="K824" s="23"/>
      <c r="L824" s="23"/>
      <c r="M824" s="23"/>
      <c r="N824" s="70"/>
      <c r="O824" s="40"/>
      <c r="P824" s="23"/>
      <c r="Q824" s="23"/>
      <c r="R824" s="72"/>
      <c r="S824" s="72"/>
      <c r="T824" s="23"/>
      <c r="U824" s="40"/>
      <c r="V824" s="23"/>
      <c r="W824" s="72"/>
      <c r="X824" s="23"/>
      <c r="Y824" s="40"/>
      <c r="Z824" s="23"/>
      <c r="AA824" s="72"/>
      <c r="AB824" s="23"/>
      <c r="AC824" s="40"/>
      <c r="AD824" s="23"/>
      <c r="AE824" s="23"/>
    </row>
    <row r="825" spans="1:31">
      <c r="A825" s="23"/>
      <c r="B825" s="64"/>
      <c r="C825" s="62"/>
      <c r="D825" s="65"/>
      <c r="E825" s="66"/>
      <c r="F825" s="65"/>
      <c r="G825" s="67"/>
      <c r="H825" s="71"/>
      <c r="I825" s="71"/>
      <c r="J825" s="40"/>
      <c r="K825" s="23"/>
      <c r="L825" s="23"/>
      <c r="M825" s="23"/>
      <c r="N825" s="70"/>
      <c r="O825" s="40"/>
      <c r="P825" s="23"/>
      <c r="Q825" s="23"/>
      <c r="R825" s="72"/>
      <c r="S825" s="72"/>
      <c r="T825" s="23"/>
      <c r="U825" s="40"/>
      <c r="V825" s="23"/>
      <c r="W825" s="72"/>
      <c r="X825" s="23"/>
      <c r="Y825" s="40"/>
      <c r="Z825" s="23"/>
      <c r="AA825" s="72"/>
      <c r="AB825" s="23"/>
      <c r="AC825" s="40"/>
      <c r="AD825" s="23"/>
      <c r="AE825" s="23"/>
    </row>
    <row r="826" spans="1:31">
      <c r="A826" s="23"/>
      <c r="B826" s="40"/>
      <c r="C826" s="40"/>
      <c r="D826" s="23"/>
      <c r="E826" s="23"/>
      <c r="F826" s="23"/>
      <c r="G826" s="23"/>
      <c r="H826" s="67"/>
      <c r="I826" s="40"/>
      <c r="J826" s="70"/>
      <c r="K826" s="23"/>
      <c r="L826" s="70"/>
      <c r="M826" s="70"/>
      <c r="N826" s="23"/>
      <c r="O826" s="23"/>
      <c r="P826" s="23"/>
      <c r="Q826" s="23"/>
      <c r="R826" s="72"/>
      <c r="S826" s="23"/>
      <c r="T826" s="23"/>
      <c r="U826" s="23"/>
      <c r="V826" s="23"/>
      <c r="W826" s="23"/>
      <c r="X826" s="23"/>
      <c r="Y826" s="23"/>
      <c r="Z826" s="23"/>
      <c r="AA826" s="23"/>
      <c r="AB826" s="23"/>
      <c r="AC826" s="23"/>
      <c r="AD826" s="23"/>
      <c r="AE826" s="23"/>
    </row>
    <row r="827" spans="1:31">
      <c r="A827" s="23"/>
      <c r="B827" s="40"/>
      <c r="C827" s="40"/>
      <c r="D827" s="23"/>
      <c r="E827" s="23"/>
      <c r="F827" s="23"/>
      <c r="G827" s="23"/>
      <c r="H827" s="67"/>
      <c r="I827" s="40"/>
      <c r="J827" s="70"/>
      <c r="K827" s="23"/>
      <c r="L827" s="70"/>
      <c r="M827" s="70"/>
      <c r="N827" s="23"/>
      <c r="O827" s="23"/>
      <c r="P827" s="23"/>
      <c r="Q827" s="23"/>
      <c r="R827" s="72"/>
      <c r="S827" s="23"/>
      <c r="T827" s="23"/>
      <c r="U827" s="23"/>
      <c r="V827" s="23"/>
      <c r="W827" s="23"/>
      <c r="X827" s="23"/>
      <c r="Y827" s="23"/>
      <c r="Z827" s="23"/>
      <c r="AA827" s="23"/>
      <c r="AB827" s="23"/>
      <c r="AC827" s="23"/>
      <c r="AD827" s="23"/>
      <c r="AE827" s="23"/>
    </row>
    <row r="828" spans="1:31">
      <c r="A828" s="23"/>
      <c r="B828" s="40"/>
      <c r="C828" s="40"/>
      <c r="D828" s="23"/>
      <c r="E828" s="23"/>
      <c r="F828" s="23"/>
      <c r="G828" s="23"/>
      <c r="H828" s="67"/>
      <c r="I828" s="40"/>
      <c r="J828" s="70"/>
      <c r="K828" s="23"/>
      <c r="L828" s="70"/>
      <c r="M828" s="70"/>
      <c r="N828" s="23"/>
      <c r="O828" s="23"/>
      <c r="P828" s="23"/>
      <c r="Q828" s="23"/>
      <c r="R828" s="72"/>
      <c r="S828" s="23"/>
      <c r="T828" s="23"/>
      <c r="U828" s="23"/>
      <c r="V828" s="23"/>
      <c r="W828" s="23"/>
      <c r="X828" s="23"/>
      <c r="Y828" s="23"/>
      <c r="Z828" s="23"/>
      <c r="AA828" s="23"/>
      <c r="AB828" s="23"/>
      <c r="AC828" s="23"/>
      <c r="AD828" s="23"/>
      <c r="AE828" s="23"/>
    </row>
    <row r="829" spans="1:31">
      <c r="A829" s="23"/>
      <c r="B829" s="40"/>
      <c r="C829" s="40"/>
      <c r="D829" s="23"/>
      <c r="E829" s="23"/>
      <c r="F829" s="23"/>
      <c r="G829" s="23"/>
      <c r="H829" s="67"/>
      <c r="I829" s="40"/>
      <c r="J829" s="70"/>
      <c r="K829" s="23"/>
      <c r="L829" s="70"/>
      <c r="M829" s="70"/>
      <c r="N829" s="23"/>
      <c r="O829" s="23"/>
      <c r="P829" s="23"/>
      <c r="Q829" s="23"/>
      <c r="R829" s="72"/>
      <c r="S829" s="23"/>
      <c r="T829" s="23"/>
      <c r="U829" s="23"/>
      <c r="V829" s="23"/>
      <c r="W829" s="23"/>
      <c r="X829" s="23"/>
      <c r="Y829" s="23"/>
      <c r="Z829" s="23"/>
      <c r="AA829" s="23"/>
      <c r="AB829" s="23"/>
      <c r="AC829" s="23"/>
      <c r="AD829" s="23"/>
      <c r="AE829" s="23"/>
    </row>
    <row r="830" spans="1:31">
      <c r="A830" s="23"/>
      <c r="B830" s="40"/>
      <c r="C830" s="40"/>
      <c r="D830" s="23"/>
      <c r="E830" s="23"/>
      <c r="F830" s="23"/>
      <c r="G830" s="23"/>
      <c r="H830" s="67"/>
      <c r="I830" s="40"/>
      <c r="J830" s="70"/>
      <c r="K830" s="23"/>
      <c r="L830" s="70"/>
      <c r="M830" s="70"/>
      <c r="N830" s="23"/>
      <c r="O830" s="23"/>
      <c r="P830" s="23"/>
      <c r="Q830" s="23"/>
      <c r="R830" s="72"/>
      <c r="S830" s="23"/>
      <c r="T830" s="23"/>
      <c r="U830" s="23"/>
      <c r="V830" s="23"/>
      <c r="W830" s="23"/>
      <c r="X830" s="23"/>
      <c r="Y830" s="23"/>
      <c r="Z830" s="23"/>
      <c r="AA830" s="23"/>
      <c r="AB830" s="23"/>
      <c r="AC830" s="23"/>
      <c r="AD830" s="23"/>
      <c r="AE830" s="23"/>
    </row>
    <row r="831" spans="1:31">
      <c r="A831" s="23"/>
      <c r="B831" s="40"/>
      <c r="C831" s="40"/>
      <c r="D831" s="23"/>
      <c r="E831" s="23"/>
      <c r="F831" s="23"/>
      <c r="G831" s="23"/>
      <c r="H831" s="67"/>
      <c r="I831" s="40"/>
      <c r="J831" s="70"/>
      <c r="K831" s="23"/>
      <c r="L831" s="70"/>
      <c r="M831" s="70"/>
      <c r="N831" s="23"/>
      <c r="O831" s="23"/>
      <c r="P831" s="23"/>
      <c r="Q831" s="23"/>
      <c r="R831" s="72"/>
      <c r="S831" s="23"/>
      <c r="T831" s="23"/>
      <c r="U831" s="23"/>
      <c r="V831" s="23"/>
      <c r="W831" s="23"/>
      <c r="X831" s="23"/>
      <c r="Y831" s="23"/>
      <c r="Z831" s="23"/>
      <c r="AA831" s="23"/>
      <c r="AB831" s="23"/>
      <c r="AC831" s="23"/>
      <c r="AD831" s="23"/>
      <c r="AE831" s="23"/>
    </row>
    <row r="832" spans="1:31">
      <c r="A832" s="23"/>
      <c r="B832" s="40"/>
      <c r="C832" s="40"/>
      <c r="D832" s="23"/>
      <c r="E832" s="23"/>
      <c r="F832" s="23"/>
      <c r="G832" s="23"/>
      <c r="H832" s="67"/>
      <c r="I832" s="40"/>
      <c r="J832" s="70"/>
      <c r="K832" s="23"/>
      <c r="L832" s="70"/>
      <c r="M832" s="70"/>
      <c r="N832" s="23"/>
      <c r="O832" s="23"/>
      <c r="P832" s="23"/>
      <c r="Q832" s="23"/>
      <c r="R832" s="72"/>
      <c r="S832" s="23"/>
      <c r="T832" s="23"/>
      <c r="U832" s="23"/>
      <c r="V832" s="23"/>
      <c r="W832" s="23"/>
      <c r="X832" s="23"/>
      <c r="Y832" s="23"/>
      <c r="Z832" s="23"/>
      <c r="AA832" s="23"/>
      <c r="AB832" s="23"/>
      <c r="AC832" s="23"/>
      <c r="AD832" s="23"/>
      <c r="AE832" s="23"/>
    </row>
    <row r="833" spans="1:31">
      <c r="A833" s="23"/>
      <c r="B833" s="40"/>
      <c r="C833" s="40"/>
      <c r="D833" s="23"/>
      <c r="E833" s="23"/>
      <c r="F833" s="23"/>
      <c r="G833" s="23"/>
      <c r="H833" s="67"/>
      <c r="I833" s="40"/>
      <c r="J833" s="70"/>
      <c r="K833" s="23"/>
      <c r="L833" s="70"/>
      <c r="M833" s="70"/>
      <c r="N833" s="23"/>
      <c r="O833" s="23"/>
      <c r="P833" s="23"/>
      <c r="Q833" s="23"/>
      <c r="R833" s="72"/>
      <c r="S833" s="23"/>
      <c r="T833" s="23"/>
      <c r="U833" s="23"/>
      <c r="V833" s="23"/>
      <c r="W833" s="23"/>
      <c r="X833" s="23"/>
      <c r="Y833" s="23"/>
      <c r="Z833" s="23"/>
      <c r="AA833" s="23"/>
      <c r="AB833" s="23"/>
      <c r="AC833" s="23"/>
      <c r="AD833" s="23"/>
      <c r="AE833" s="23"/>
    </row>
    <row r="834" spans="1:31">
      <c r="A834" s="23"/>
      <c r="B834" s="40"/>
      <c r="C834" s="40"/>
      <c r="D834" s="23"/>
      <c r="E834" s="23"/>
      <c r="F834" s="23"/>
      <c r="G834" s="23"/>
      <c r="H834" s="23"/>
      <c r="I834" s="40"/>
      <c r="J834" s="70"/>
      <c r="K834" s="23"/>
      <c r="L834" s="70"/>
      <c r="M834" s="70"/>
      <c r="N834" s="23"/>
      <c r="O834" s="23"/>
      <c r="P834" s="23"/>
      <c r="Q834" s="23"/>
      <c r="R834" s="72"/>
      <c r="S834" s="23"/>
      <c r="T834" s="23"/>
      <c r="U834" s="23"/>
      <c r="V834" s="23"/>
      <c r="W834" s="23"/>
      <c r="X834" s="23"/>
      <c r="Y834" s="23"/>
      <c r="Z834" s="23"/>
      <c r="AA834" s="23"/>
      <c r="AB834" s="23"/>
      <c r="AC834" s="23"/>
      <c r="AD834" s="23"/>
      <c r="AE834" s="23"/>
    </row>
    <row r="835" spans="1:31" ht="33" customHeight="1">
      <c r="A835" s="23"/>
      <c r="B835" s="40"/>
      <c r="C835" s="40"/>
      <c r="D835" s="23"/>
      <c r="E835" s="23"/>
      <c r="F835" s="23"/>
      <c r="G835" s="23"/>
      <c r="H835" s="23"/>
      <c r="I835" s="40"/>
      <c r="J835" s="70"/>
      <c r="K835" s="23"/>
      <c r="L835" s="70"/>
      <c r="M835" s="70"/>
      <c r="N835" s="23"/>
      <c r="O835" s="23"/>
      <c r="P835" s="23"/>
      <c r="Q835" s="23"/>
      <c r="R835" s="72"/>
      <c r="S835" s="23"/>
      <c r="T835" s="23"/>
      <c r="U835" s="23"/>
      <c r="V835" s="23"/>
      <c r="W835" s="23"/>
      <c r="X835" s="23"/>
      <c r="Y835" s="23"/>
      <c r="Z835" s="23"/>
      <c r="AA835" s="23"/>
      <c r="AB835" s="23"/>
      <c r="AC835" s="23"/>
      <c r="AD835" s="23"/>
      <c r="AE835" s="23"/>
    </row>
    <row r="836" spans="1:31" ht="33.950000000000003" customHeight="1">
      <c r="A836" s="23"/>
      <c r="B836" s="40"/>
      <c r="C836" s="40"/>
      <c r="D836" s="23"/>
      <c r="E836" s="23"/>
      <c r="F836" s="23"/>
      <c r="G836" s="23"/>
      <c r="H836" s="40"/>
      <c r="I836" s="40"/>
      <c r="J836" s="70"/>
      <c r="K836" s="23"/>
      <c r="L836" s="70"/>
      <c r="M836" s="70"/>
      <c r="N836" s="23"/>
      <c r="O836" s="23"/>
      <c r="P836" s="23"/>
      <c r="Q836" s="23"/>
      <c r="R836" s="72"/>
      <c r="S836" s="23"/>
      <c r="T836" s="23"/>
      <c r="U836" s="23"/>
      <c r="V836" s="23"/>
      <c r="W836" s="23"/>
      <c r="X836" s="23"/>
      <c r="Y836" s="23"/>
      <c r="Z836" s="23"/>
      <c r="AA836" s="23"/>
      <c r="AB836" s="23"/>
      <c r="AC836" s="23"/>
      <c r="AD836" s="23"/>
      <c r="AE836" s="23"/>
    </row>
    <row r="837" spans="1:31" ht="24" customHeight="1">
      <c r="A837" s="23"/>
      <c r="B837" s="40"/>
      <c r="C837" s="40"/>
      <c r="D837" s="23"/>
      <c r="E837" s="23"/>
      <c r="F837" s="23"/>
      <c r="G837" s="23"/>
      <c r="H837" s="40"/>
      <c r="I837" s="40"/>
      <c r="J837" s="70"/>
      <c r="K837" s="23"/>
      <c r="L837" s="70"/>
      <c r="M837" s="70"/>
      <c r="N837" s="23"/>
      <c r="O837" s="23"/>
      <c r="P837" s="23"/>
      <c r="Q837" s="23"/>
      <c r="R837" s="72"/>
      <c r="S837" s="23"/>
      <c r="T837" s="23"/>
      <c r="U837" s="23"/>
      <c r="V837" s="23"/>
      <c r="W837" s="23"/>
      <c r="X837" s="23"/>
      <c r="Y837" s="23"/>
      <c r="Z837" s="23"/>
      <c r="AA837" s="23"/>
      <c r="AB837" s="23"/>
      <c r="AC837" s="23"/>
      <c r="AD837" s="23"/>
      <c r="AE837" s="23"/>
    </row>
    <row r="838" spans="1:31" ht="23.1" customHeight="1">
      <c r="A838" s="23"/>
      <c r="B838" s="40"/>
      <c r="C838" s="40"/>
      <c r="D838" s="23"/>
      <c r="E838" s="23"/>
      <c r="F838" s="23"/>
      <c r="G838" s="23"/>
      <c r="H838" s="40"/>
      <c r="I838" s="40"/>
      <c r="J838" s="70"/>
      <c r="K838" s="23"/>
      <c r="L838" s="70"/>
      <c r="M838" s="70"/>
      <c r="N838" s="23"/>
      <c r="O838" s="23"/>
      <c r="P838" s="23"/>
      <c r="Q838" s="23"/>
      <c r="R838" s="72"/>
      <c r="S838" s="23"/>
      <c r="T838" s="23"/>
      <c r="U838" s="23"/>
      <c r="V838" s="23"/>
      <c r="W838" s="23"/>
      <c r="X838" s="23"/>
      <c r="Y838" s="23"/>
      <c r="Z838" s="23"/>
      <c r="AA838" s="23"/>
      <c r="AB838" s="23"/>
      <c r="AC838" s="23"/>
      <c r="AD838" s="23"/>
      <c r="AE838" s="23"/>
    </row>
    <row r="839" spans="1:31">
      <c r="A839" s="23"/>
      <c r="B839" s="40"/>
      <c r="C839" s="40"/>
      <c r="D839" s="23"/>
      <c r="E839" s="23"/>
      <c r="F839" s="23"/>
      <c r="G839" s="23"/>
      <c r="H839" s="40"/>
      <c r="I839" s="40"/>
      <c r="J839" s="70"/>
      <c r="K839" s="23"/>
      <c r="L839" s="70"/>
      <c r="M839" s="70"/>
      <c r="N839" s="23"/>
      <c r="O839" s="23"/>
      <c r="P839" s="23"/>
      <c r="Q839" s="23"/>
      <c r="R839" s="72"/>
      <c r="S839" s="23"/>
      <c r="T839" s="23"/>
      <c r="U839" s="23"/>
      <c r="V839" s="23"/>
      <c r="W839" s="23"/>
      <c r="X839" s="23"/>
      <c r="Y839" s="23"/>
      <c r="Z839" s="23"/>
      <c r="AA839" s="23"/>
      <c r="AB839" s="23"/>
      <c r="AC839" s="23"/>
      <c r="AD839" s="23"/>
      <c r="AE839" s="23"/>
    </row>
    <row r="840" spans="1:31">
      <c r="A840" s="23"/>
      <c r="B840" s="40"/>
      <c r="C840" s="40"/>
      <c r="D840" s="23"/>
      <c r="E840" s="23"/>
      <c r="F840" s="23"/>
      <c r="G840" s="23"/>
      <c r="H840" s="40"/>
      <c r="I840" s="40"/>
      <c r="J840" s="70"/>
      <c r="K840" s="23"/>
      <c r="L840" s="70"/>
      <c r="M840" s="70"/>
      <c r="N840" s="23"/>
      <c r="O840" s="23"/>
      <c r="P840" s="23"/>
      <c r="Q840" s="23"/>
      <c r="R840" s="72"/>
      <c r="S840" s="23"/>
      <c r="T840" s="23"/>
      <c r="U840" s="23"/>
      <c r="V840" s="23"/>
      <c r="W840" s="23"/>
      <c r="X840" s="23"/>
      <c r="Y840" s="23"/>
      <c r="Z840" s="23"/>
      <c r="AA840" s="23"/>
      <c r="AB840" s="23"/>
      <c r="AC840" s="23"/>
      <c r="AD840" s="23"/>
      <c r="AE840" s="23"/>
    </row>
    <row r="841" spans="1:31" ht="24" customHeight="1">
      <c r="A841" s="23"/>
      <c r="B841" s="40"/>
      <c r="C841" s="40"/>
      <c r="D841" s="23"/>
      <c r="E841" s="23"/>
      <c r="F841" s="23"/>
      <c r="G841" s="23"/>
      <c r="H841" s="40"/>
      <c r="I841" s="40"/>
      <c r="J841" s="70"/>
      <c r="K841" s="23"/>
      <c r="L841" s="70"/>
      <c r="M841" s="70"/>
      <c r="N841" s="23"/>
      <c r="O841" s="23"/>
      <c r="P841" s="23"/>
      <c r="Q841" s="23"/>
      <c r="R841" s="72"/>
      <c r="S841" s="23"/>
      <c r="T841" s="23"/>
      <c r="U841" s="23"/>
      <c r="V841" s="23"/>
      <c r="W841" s="23"/>
      <c r="X841" s="23"/>
      <c r="Y841" s="23"/>
      <c r="Z841" s="23"/>
      <c r="AA841" s="23"/>
      <c r="AB841" s="23"/>
      <c r="AC841" s="23"/>
      <c r="AD841" s="23"/>
      <c r="AE841" s="23"/>
    </row>
    <row r="842" spans="1:31" ht="42" customHeight="1">
      <c r="A842" s="23"/>
      <c r="B842" s="40"/>
      <c r="C842" s="40"/>
      <c r="D842" s="23"/>
      <c r="E842" s="23"/>
      <c r="F842" s="23"/>
      <c r="G842" s="23"/>
      <c r="H842" s="40"/>
      <c r="I842" s="40"/>
      <c r="J842" s="70"/>
      <c r="K842" s="23"/>
      <c r="L842" s="70"/>
      <c r="M842" s="70"/>
      <c r="N842" s="23"/>
      <c r="O842" s="23"/>
      <c r="P842" s="23"/>
      <c r="Q842" s="23"/>
      <c r="R842" s="72"/>
      <c r="S842" s="23"/>
      <c r="T842" s="23"/>
      <c r="U842" s="23"/>
      <c r="V842" s="23"/>
      <c r="W842" s="23"/>
      <c r="X842" s="23"/>
      <c r="Y842" s="23"/>
      <c r="Z842" s="23"/>
      <c r="AA842" s="23"/>
      <c r="AB842" s="23"/>
      <c r="AC842" s="23"/>
      <c r="AD842" s="23"/>
      <c r="AE842" s="23"/>
    </row>
    <row r="843" spans="1:31">
      <c r="A843" s="23"/>
      <c r="B843" s="40"/>
      <c r="C843" s="40"/>
      <c r="D843" s="23"/>
      <c r="E843" s="23"/>
      <c r="F843" s="23"/>
      <c r="G843" s="23"/>
      <c r="H843" s="40"/>
      <c r="I843" s="40"/>
      <c r="J843" s="70"/>
      <c r="K843" s="23"/>
      <c r="L843" s="70"/>
      <c r="M843" s="70"/>
      <c r="N843" s="23"/>
      <c r="O843" s="23"/>
      <c r="P843" s="23"/>
      <c r="Q843" s="23"/>
      <c r="R843" s="72"/>
      <c r="S843" s="23"/>
      <c r="T843" s="23"/>
      <c r="U843" s="23"/>
      <c r="V843" s="23"/>
      <c r="W843" s="23"/>
      <c r="X843" s="23"/>
      <c r="Y843" s="23"/>
      <c r="Z843" s="23"/>
      <c r="AA843" s="23"/>
      <c r="AB843" s="23"/>
      <c r="AC843" s="23"/>
      <c r="AD843" s="23"/>
      <c r="AE843" s="23"/>
    </row>
    <row r="844" spans="1:31">
      <c r="A844" s="23"/>
      <c r="B844" s="40"/>
      <c r="C844" s="40"/>
      <c r="D844" s="23"/>
      <c r="E844" s="23"/>
      <c r="F844" s="23"/>
      <c r="G844" s="23"/>
      <c r="H844" s="40"/>
      <c r="I844" s="40"/>
      <c r="J844" s="70"/>
      <c r="K844" s="23"/>
      <c r="L844" s="70"/>
      <c r="M844" s="70"/>
      <c r="N844" s="23"/>
      <c r="O844" s="23"/>
      <c r="P844" s="23"/>
      <c r="Q844" s="23"/>
      <c r="R844" s="72"/>
      <c r="S844" s="23"/>
      <c r="T844" s="23"/>
      <c r="U844" s="23"/>
      <c r="V844" s="23"/>
      <c r="W844" s="23"/>
      <c r="X844" s="23"/>
      <c r="Y844" s="23"/>
      <c r="Z844" s="23"/>
      <c r="AA844" s="23"/>
      <c r="AB844" s="23"/>
      <c r="AC844" s="23"/>
      <c r="AD844" s="23"/>
      <c r="AE844" s="23"/>
    </row>
    <row r="845" spans="1:31">
      <c r="A845" s="23"/>
      <c r="B845" s="40"/>
      <c r="C845" s="40"/>
      <c r="D845" s="23"/>
      <c r="E845" s="23"/>
      <c r="F845" s="23"/>
      <c r="G845" s="23"/>
      <c r="H845" s="40"/>
      <c r="I845" s="40"/>
      <c r="J845" s="70"/>
      <c r="K845" s="23"/>
      <c r="L845" s="70"/>
      <c r="M845" s="70"/>
      <c r="N845" s="23"/>
      <c r="O845" s="23"/>
      <c r="P845" s="23"/>
      <c r="Q845" s="23"/>
      <c r="R845" s="72"/>
      <c r="S845" s="23"/>
      <c r="T845" s="23"/>
      <c r="U845" s="23"/>
      <c r="V845" s="23"/>
      <c r="W845" s="23"/>
      <c r="X845" s="23"/>
      <c r="Y845" s="23"/>
      <c r="Z845" s="23"/>
      <c r="AA845" s="23"/>
      <c r="AB845" s="23"/>
      <c r="AC845" s="23"/>
      <c r="AD845" s="23"/>
      <c r="AE845" s="23"/>
    </row>
    <row r="846" spans="1:31">
      <c r="A846" s="23"/>
      <c r="B846" s="40"/>
      <c r="C846" s="40"/>
      <c r="D846" s="23"/>
      <c r="E846" s="23"/>
      <c r="F846" s="23"/>
      <c r="G846" s="23"/>
      <c r="H846" s="40"/>
      <c r="I846" s="40"/>
      <c r="J846" s="70"/>
      <c r="K846" s="23"/>
      <c r="L846" s="70"/>
      <c r="M846" s="70"/>
      <c r="N846" s="23"/>
      <c r="O846" s="23"/>
      <c r="P846" s="23"/>
      <c r="Q846" s="23"/>
      <c r="R846" s="72"/>
      <c r="S846" s="23"/>
      <c r="T846" s="23"/>
      <c r="U846" s="23"/>
      <c r="V846" s="23"/>
      <c r="W846" s="23"/>
      <c r="X846" s="23"/>
      <c r="Y846" s="23"/>
      <c r="Z846" s="23"/>
      <c r="AA846" s="23"/>
      <c r="AB846" s="23"/>
      <c r="AC846" s="23"/>
      <c r="AD846" s="23"/>
      <c r="AE846" s="23"/>
    </row>
    <row r="847" spans="1:31">
      <c r="A847" s="23"/>
      <c r="B847" s="40"/>
      <c r="C847" s="40"/>
      <c r="D847" s="23"/>
      <c r="E847" s="23"/>
      <c r="F847" s="23"/>
      <c r="G847" s="23"/>
      <c r="H847" s="23"/>
      <c r="I847" s="40"/>
      <c r="J847" s="70"/>
      <c r="K847" s="23"/>
      <c r="L847" s="70"/>
      <c r="M847" s="70"/>
      <c r="N847" s="23"/>
      <c r="O847" s="23"/>
      <c r="P847" s="23"/>
      <c r="Q847" s="23"/>
      <c r="R847" s="72"/>
      <c r="S847" s="23"/>
      <c r="T847" s="23"/>
      <c r="U847" s="23"/>
      <c r="V847" s="23"/>
      <c r="W847" s="23"/>
      <c r="X847" s="23"/>
      <c r="Y847" s="23"/>
      <c r="Z847" s="23"/>
      <c r="AA847" s="23"/>
      <c r="AB847" s="23"/>
      <c r="AC847" s="23"/>
      <c r="AD847" s="23"/>
      <c r="AE847" s="23"/>
    </row>
    <row r="848" spans="1:31">
      <c r="A848" s="23"/>
      <c r="B848" s="40"/>
      <c r="C848" s="40"/>
      <c r="D848" s="23"/>
      <c r="E848" s="23"/>
      <c r="F848" s="23"/>
      <c r="G848" s="23"/>
      <c r="H848" s="23"/>
      <c r="I848" s="40"/>
      <c r="J848" s="70"/>
      <c r="K848" s="23"/>
      <c r="L848" s="70"/>
      <c r="M848" s="70"/>
      <c r="N848" s="23"/>
      <c r="O848" s="23"/>
      <c r="P848" s="23"/>
      <c r="Q848" s="23"/>
      <c r="R848" s="72"/>
      <c r="S848" s="23"/>
      <c r="T848" s="23"/>
      <c r="U848" s="23"/>
      <c r="V848" s="23"/>
      <c r="W848" s="23"/>
      <c r="X848" s="23"/>
      <c r="Y848" s="23"/>
      <c r="Z848" s="23"/>
      <c r="AA848" s="23"/>
      <c r="AB848" s="23"/>
      <c r="AC848" s="23"/>
      <c r="AD848" s="23"/>
      <c r="AE848" s="23"/>
    </row>
    <row r="849" spans="1:31">
      <c r="A849" s="23"/>
      <c r="B849" s="40"/>
      <c r="C849" s="40"/>
      <c r="D849" s="23"/>
      <c r="E849" s="23"/>
      <c r="F849" s="23"/>
      <c r="G849" s="23"/>
      <c r="H849" s="23"/>
      <c r="I849" s="40"/>
      <c r="J849" s="70"/>
      <c r="K849" s="23"/>
      <c r="L849" s="70"/>
      <c r="M849" s="70"/>
      <c r="N849" s="23"/>
      <c r="O849" s="23"/>
      <c r="P849" s="23"/>
      <c r="Q849" s="23"/>
      <c r="R849" s="72"/>
      <c r="S849" s="23"/>
      <c r="T849" s="23"/>
      <c r="U849" s="23"/>
      <c r="V849" s="23"/>
      <c r="W849" s="23"/>
      <c r="X849" s="23"/>
      <c r="Y849" s="23"/>
      <c r="Z849" s="23"/>
      <c r="AA849" s="23"/>
      <c r="AB849" s="23"/>
      <c r="AC849" s="23"/>
      <c r="AD849" s="23"/>
      <c r="AE849" s="23"/>
    </row>
    <row r="850" spans="1:31">
      <c r="A850" s="23"/>
      <c r="B850" s="40"/>
      <c r="C850" s="40"/>
      <c r="D850" s="23"/>
      <c r="E850" s="23"/>
      <c r="F850" s="23"/>
      <c r="G850" s="23"/>
      <c r="H850" s="23"/>
      <c r="I850" s="40"/>
      <c r="J850" s="70"/>
      <c r="K850" s="23"/>
      <c r="L850" s="70"/>
      <c r="M850" s="70"/>
      <c r="N850" s="23"/>
      <c r="O850" s="23"/>
      <c r="P850" s="23"/>
      <c r="Q850" s="23"/>
      <c r="R850" s="72"/>
      <c r="S850" s="23"/>
      <c r="T850" s="23"/>
      <c r="U850" s="23"/>
      <c r="V850" s="23"/>
      <c r="W850" s="23"/>
      <c r="X850" s="23"/>
      <c r="Y850" s="23"/>
      <c r="Z850" s="23"/>
      <c r="AA850" s="23"/>
      <c r="AB850" s="23"/>
      <c r="AC850" s="23"/>
      <c r="AD850" s="23"/>
      <c r="AE850" s="23"/>
    </row>
    <row r="851" spans="1:31">
      <c r="A851" s="23"/>
      <c r="B851" s="40"/>
      <c r="C851" s="40"/>
      <c r="D851" s="23"/>
      <c r="E851" s="23"/>
      <c r="F851" s="23"/>
      <c r="G851" s="23"/>
      <c r="H851" s="23"/>
      <c r="I851" s="40"/>
      <c r="J851" s="70"/>
      <c r="K851" s="23"/>
      <c r="L851" s="70"/>
      <c r="M851" s="70"/>
      <c r="N851" s="23"/>
      <c r="O851" s="23"/>
      <c r="P851" s="23"/>
      <c r="Q851" s="23"/>
      <c r="R851" s="72"/>
      <c r="S851" s="23"/>
      <c r="T851" s="23"/>
      <c r="U851" s="23"/>
      <c r="V851" s="23"/>
      <c r="W851" s="23"/>
      <c r="X851" s="23"/>
      <c r="Y851" s="23"/>
      <c r="Z851" s="23"/>
      <c r="AA851" s="23"/>
      <c r="AB851" s="23"/>
      <c r="AC851" s="23"/>
      <c r="AD851" s="23"/>
      <c r="AE851" s="23"/>
    </row>
    <row r="852" spans="1:31">
      <c r="A852" s="23"/>
      <c r="B852" s="40"/>
      <c r="C852" s="40"/>
      <c r="D852" s="23"/>
      <c r="E852" s="23"/>
      <c r="F852" s="23"/>
      <c r="G852" s="23"/>
      <c r="H852" s="23"/>
      <c r="I852" s="40"/>
      <c r="J852" s="70"/>
      <c r="K852" s="23"/>
      <c r="L852" s="70"/>
      <c r="M852" s="70"/>
      <c r="N852" s="23"/>
      <c r="O852" s="23"/>
      <c r="P852" s="23"/>
      <c r="Q852" s="23"/>
      <c r="R852" s="72"/>
      <c r="S852" s="23"/>
      <c r="T852" s="23"/>
      <c r="U852" s="23"/>
      <c r="V852" s="23"/>
      <c r="W852" s="23"/>
      <c r="X852" s="23"/>
      <c r="Y852" s="23"/>
      <c r="Z852" s="23"/>
      <c r="AA852" s="23"/>
      <c r="AB852" s="23"/>
      <c r="AC852" s="23"/>
      <c r="AD852" s="23"/>
      <c r="AE852" s="23"/>
    </row>
    <row r="853" spans="1:31" ht="24" customHeight="1">
      <c r="A853" s="23"/>
      <c r="B853" s="40"/>
      <c r="C853" s="40"/>
      <c r="D853" s="23"/>
      <c r="E853" s="23"/>
      <c r="F853" s="23"/>
      <c r="G853" s="23"/>
      <c r="H853" s="40"/>
      <c r="I853" s="40"/>
      <c r="J853" s="70"/>
      <c r="K853" s="23"/>
      <c r="L853" s="70"/>
      <c r="M853" s="70"/>
      <c r="N853" s="23"/>
      <c r="O853" s="23"/>
      <c r="P853" s="23"/>
      <c r="Q853" s="23"/>
      <c r="R853" s="72"/>
      <c r="S853" s="23"/>
      <c r="T853" s="23"/>
      <c r="U853" s="23"/>
      <c r="V853" s="23"/>
      <c r="W853" s="23"/>
      <c r="X853" s="23"/>
      <c r="Y853" s="23"/>
      <c r="Z853" s="23"/>
      <c r="AA853" s="23"/>
      <c r="AB853" s="23"/>
      <c r="AC853" s="23"/>
      <c r="AD853" s="23"/>
      <c r="AE853" s="23"/>
    </row>
    <row r="854" spans="1:31">
      <c r="A854" s="23"/>
      <c r="B854" s="40"/>
      <c r="C854" s="40"/>
      <c r="D854" s="23"/>
      <c r="E854" s="23"/>
      <c r="F854" s="23"/>
      <c r="G854" s="23"/>
      <c r="H854" s="40"/>
      <c r="I854" s="40"/>
      <c r="J854" s="70"/>
      <c r="K854" s="23"/>
      <c r="L854" s="70"/>
      <c r="M854" s="70"/>
      <c r="N854" s="23"/>
      <c r="O854" s="23"/>
      <c r="P854" s="23"/>
      <c r="Q854" s="23"/>
      <c r="R854" s="72"/>
      <c r="S854" s="23"/>
      <c r="T854" s="23"/>
      <c r="U854" s="23"/>
      <c r="V854" s="23"/>
      <c r="W854" s="23"/>
      <c r="X854" s="23"/>
      <c r="Y854" s="23"/>
      <c r="Z854" s="23"/>
      <c r="AA854" s="23"/>
      <c r="AB854" s="23"/>
      <c r="AC854" s="23"/>
      <c r="AD854" s="23"/>
      <c r="AE854" s="23"/>
    </row>
    <row r="855" spans="1:31">
      <c r="A855" s="23"/>
      <c r="B855" s="40"/>
      <c r="C855" s="40"/>
      <c r="D855" s="23"/>
      <c r="E855" s="23"/>
      <c r="F855" s="23"/>
      <c r="G855" s="23"/>
      <c r="H855" s="40"/>
      <c r="I855" s="40"/>
      <c r="J855" s="70"/>
      <c r="K855" s="23"/>
      <c r="L855" s="70"/>
      <c r="M855" s="70"/>
      <c r="N855" s="23"/>
      <c r="O855" s="23"/>
      <c r="P855" s="23"/>
      <c r="Q855" s="23"/>
      <c r="R855" s="72"/>
      <c r="S855" s="23"/>
      <c r="T855" s="23"/>
      <c r="U855" s="23"/>
      <c r="V855" s="23"/>
      <c r="W855" s="23"/>
      <c r="X855" s="23"/>
      <c r="Y855" s="23"/>
      <c r="Z855" s="23"/>
      <c r="AA855" s="23"/>
      <c r="AB855" s="23"/>
      <c r="AC855" s="23"/>
      <c r="AD855" s="23"/>
      <c r="AE855" s="23"/>
    </row>
    <row r="856" spans="1:31">
      <c r="A856" s="23"/>
      <c r="B856" s="40"/>
      <c r="C856" s="40"/>
      <c r="D856" s="23"/>
      <c r="E856" s="23"/>
      <c r="F856" s="23"/>
      <c r="G856" s="23"/>
      <c r="H856" s="40"/>
      <c r="I856" s="40"/>
      <c r="J856" s="70"/>
      <c r="K856" s="23"/>
      <c r="L856" s="70"/>
      <c r="M856" s="70"/>
      <c r="N856" s="23"/>
      <c r="O856" s="23"/>
      <c r="P856" s="23"/>
      <c r="Q856" s="23"/>
      <c r="R856" s="72"/>
      <c r="S856" s="23"/>
      <c r="T856" s="23"/>
      <c r="U856" s="23"/>
      <c r="V856" s="23"/>
      <c r="W856" s="23"/>
      <c r="X856" s="23"/>
      <c r="Y856" s="23"/>
      <c r="Z856" s="23"/>
      <c r="AA856" s="23"/>
      <c r="AB856" s="23"/>
      <c r="AC856" s="23"/>
      <c r="AD856" s="23"/>
      <c r="AE856" s="23"/>
    </row>
    <row r="857" spans="1:31">
      <c r="A857" s="23"/>
      <c r="B857" s="40"/>
      <c r="C857" s="40"/>
      <c r="D857" s="23"/>
      <c r="E857" s="23"/>
      <c r="F857" s="23"/>
      <c r="G857" s="23"/>
      <c r="H857" s="40"/>
      <c r="I857" s="40"/>
      <c r="J857" s="70"/>
      <c r="K857" s="23"/>
      <c r="L857" s="70"/>
      <c r="M857" s="70"/>
      <c r="N857" s="23"/>
      <c r="O857" s="23"/>
      <c r="P857" s="23"/>
      <c r="Q857" s="23"/>
      <c r="R857" s="72"/>
      <c r="S857" s="23"/>
      <c r="T857" s="23"/>
      <c r="U857" s="23"/>
      <c r="V857" s="23"/>
      <c r="W857" s="23"/>
      <c r="X857" s="23"/>
      <c r="Y857" s="23"/>
      <c r="Z857" s="23"/>
      <c r="AA857" s="23"/>
      <c r="AB857" s="23"/>
      <c r="AC857" s="23"/>
      <c r="AD857" s="23"/>
      <c r="AE857" s="23"/>
    </row>
    <row r="858" spans="1:31">
      <c r="A858" s="23"/>
      <c r="B858" s="40"/>
      <c r="C858" s="40"/>
      <c r="D858" s="23"/>
      <c r="E858" s="23"/>
      <c r="F858" s="23"/>
      <c r="G858" s="23"/>
      <c r="H858" s="40"/>
      <c r="I858" s="40"/>
      <c r="J858" s="70"/>
      <c r="K858" s="23"/>
      <c r="L858" s="70"/>
      <c r="M858" s="70"/>
      <c r="N858" s="23"/>
      <c r="O858" s="23"/>
      <c r="P858" s="23"/>
      <c r="Q858" s="23"/>
      <c r="R858" s="72"/>
      <c r="S858" s="23"/>
      <c r="T858" s="23"/>
      <c r="U858" s="23"/>
      <c r="V858" s="23"/>
      <c r="W858" s="23"/>
      <c r="X858" s="23"/>
      <c r="Y858" s="23"/>
      <c r="Z858" s="23"/>
      <c r="AA858" s="23"/>
      <c r="AB858" s="23"/>
      <c r="AC858" s="23"/>
      <c r="AD858" s="23"/>
      <c r="AE858" s="23"/>
    </row>
    <row r="859" spans="1:31" ht="24" customHeight="1">
      <c r="A859" s="23"/>
      <c r="B859" s="40"/>
      <c r="C859" s="40"/>
      <c r="D859" s="23"/>
      <c r="E859" s="23"/>
      <c r="F859" s="23"/>
      <c r="G859" s="23"/>
      <c r="H859" s="40"/>
      <c r="I859" s="40"/>
      <c r="J859" s="70"/>
      <c r="K859" s="23"/>
      <c r="L859" s="70"/>
      <c r="M859" s="70"/>
      <c r="N859" s="23"/>
      <c r="O859" s="23"/>
      <c r="P859" s="23"/>
      <c r="Q859" s="23"/>
      <c r="R859" s="72"/>
      <c r="S859" s="23"/>
      <c r="T859" s="23"/>
      <c r="U859" s="23"/>
      <c r="V859" s="23"/>
      <c r="W859" s="23"/>
      <c r="X859" s="23"/>
      <c r="Y859" s="23"/>
      <c r="Z859" s="23"/>
      <c r="AA859" s="23"/>
      <c r="AB859" s="23"/>
      <c r="AC859" s="23"/>
      <c r="AD859" s="23"/>
      <c r="AE859" s="23"/>
    </row>
    <row r="860" spans="1:31">
      <c r="A860" s="23"/>
      <c r="B860" s="40"/>
      <c r="C860" s="40"/>
      <c r="D860" s="23"/>
      <c r="E860" s="23"/>
      <c r="F860" s="23"/>
      <c r="G860" s="23"/>
      <c r="H860" s="40"/>
      <c r="I860" s="40"/>
      <c r="J860" s="70"/>
      <c r="K860" s="23"/>
      <c r="L860" s="70"/>
      <c r="M860" s="70"/>
      <c r="N860" s="23"/>
      <c r="O860" s="23"/>
      <c r="P860" s="23"/>
      <c r="Q860" s="23"/>
      <c r="R860" s="72"/>
      <c r="S860" s="23"/>
      <c r="T860" s="23"/>
      <c r="U860" s="23"/>
      <c r="V860" s="23"/>
      <c r="W860" s="23"/>
      <c r="X860" s="23"/>
      <c r="Y860" s="23"/>
      <c r="Z860" s="23"/>
      <c r="AA860" s="23"/>
      <c r="AB860" s="23"/>
      <c r="AC860" s="23"/>
      <c r="AD860" s="23"/>
      <c r="AE860" s="23"/>
    </row>
    <row r="861" spans="1:31">
      <c r="A861" s="23"/>
      <c r="B861" s="40"/>
      <c r="C861" s="40"/>
      <c r="D861" s="23"/>
      <c r="E861" s="23"/>
      <c r="F861" s="23"/>
      <c r="G861" s="23"/>
      <c r="H861" s="40"/>
      <c r="I861" s="40"/>
      <c r="J861" s="70"/>
      <c r="K861" s="23"/>
      <c r="L861" s="70"/>
      <c r="M861" s="70"/>
      <c r="N861" s="23"/>
      <c r="O861" s="23"/>
      <c r="P861" s="23"/>
      <c r="Q861" s="23"/>
      <c r="R861" s="72"/>
      <c r="S861" s="23"/>
      <c r="T861" s="23"/>
      <c r="U861" s="23"/>
      <c r="V861" s="23"/>
      <c r="W861" s="23"/>
      <c r="X861" s="23"/>
      <c r="Y861" s="23"/>
      <c r="Z861" s="23"/>
      <c r="AA861" s="23"/>
      <c r="AB861" s="23"/>
      <c r="AC861" s="23"/>
      <c r="AD861" s="23"/>
      <c r="AE861" s="23"/>
    </row>
    <row r="862" spans="1:31">
      <c r="A862" s="23"/>
      <c r="B862" s="40"/>
      <c r="C862" s="40"/>
      <c r="D862" s="23"/>
      <c r="E862" s="23"/>
      <c r="F862" s="23"/>
      <c r="G862" s="23"/>
      <c r="H862" s="40"/>
      <c r="I862" s="40"/>
      <c r="J862" s="70"/>
      <c r="K862" s="23"/>
      <c r="L862" s="70"/>
      <c r="M862" s="70"/>
      <c r="N862" s="23"/>
      <c r="O862" s="23"/>
      <c r="P862" s="23"/>
      <c r="Q862" s="23"/>
      <c r="R862" s="72"/>
      <c r="S862" s="23"/>
      <c r="T862" s="23"/>
      <c r="U862" s="23"/>
      <c r="V862" s="23"/>
      <c r="W862" s="23"/>
      <c r="X862" s="23"/>
      <c r="Y862" s="23"/>
      <c r="Z862" s="23"/>
      <c r="AA862" s="23"/>
      <c r="AB862" s="23"/>
      <c r="AC862" s="23"/>
      <c r="AD862" s="23"/>
      <c r="AE862" s="23"/>
    </row>
    <row r="863" spans="1:31">
      <c r="A863" s="23"/>
      <c r="B863" s="40"/>
      <c r="C863" s="40"/>
      <c r="D863" s="23"/>
      <c r="E863" s="23"/>
      <c r="F863" s="23"/>
      <c r="G863" s="23"/>
      <c r="H863" s="23"/>
      <c r="I863" s="40"/>
      <c r="J863" s="70"/>
      <c r="K863" s="23"/>
      <c r="L863" s="70"/>
      <c r="M863" s="70"/>
      <c r="N863" s="23"/>
      <c r="O863" s="23"/>
      <c r="P863" s="23"/>
      <c r="Q863" s="23"/>
      <c r="R863" s="72"/>
      <c r="S863" s="23"/>
      <c r="T863" s="23"/>
      <c r="U863" s="23"/>
      <c r="V863" s="23"/>
      <c r="W863" s="23"/>
      <c r="X863" s="23"/>
      <c r="Y863" s="23"/>
      <c r="Z863" s="23"/>
      <c r="AA863" s="23"/>
      <c r="AB863" s="23"/>
      <c r="AC863" s="23"/>
      <c r="AD863" s="23"/>
      <c r="AE863" s="23"/>
    </row>
    <row r="864" spans="1:31">
      <c r="A864" s="23"/>
      <c r="B864" s="40"/>
      <c r="C864" s="40"/>
      <c r="D864" s="23"/>
      <c r="E864" s="23"/>
      <c r="F864" s="23"/>
      <c r="G864" s="23"/>
      <c r="H864" s="23"/>
      <c r="I864" s="40"/>
      <c r="J864" s="70"/>
      <c r="K864" s="23"/>
      <c r="L864" s="70"/>
      <c r="M864" s="70"/>
      <c r="N864" s="23"/>
      <c r="O864" s="23"/>
      <c r="P864" s="23"/>
      <c r="Q864" s="23"/>
      <c r="R864" s="72"/>
      <c r="S864" s="23"/>
      <c r="T864" s="23"/>
      <c r="U864" s="23"/>
      <c r="V864" s="23"/>
      <c r="W864" s="23"/>
      <c r="X864" s="23"/>
      <c r="Y864" s="23"/>
      <c r="Z864" s="23"/>
      <c r="AA864" s="23"/>
      <c r="AB864" s="23"/>
      <c r="AC864" s="23"/>
      <c r="AD864" s="23"/>
      <c r="AE864" s="23"/>
    </row>
    <row r="865" spans="1:31">
      <c r="A865" s="23"/>
      <c r="B865" s="40"/>
      <c r="C865" s="40"/>
      <c r="D865" s="23"/>
      <c r="E865" s="23"/>
      <c r="F865" s="23"/>
      <c r="G865" s="23"/>
      <c r="H865" s="23"/>
      <c r="I865" s="40"/>
      <c r="J865" s="70"/>
      <c r="K865" s="23"/>
      <c r="L865" s="70"/>
      <c r="M865" s="70"/>
      <c r="N865" s="23"/>
      <c r="O865" s="23"/>
      <c r="P865" s="23"/>
      <c r="Q865" s="23"/>
      <c r="R865" s="72"/>
      <c r="S865" s="23"/>
      <c r="T865" s="23"/>
      <c r="U865" s="23"/>
      <c r="V865" s="23"/>
      <c r="W865" s="23"/>
      <c r="X865" s="23"/>
      <c r="Y865" s="23"/>
      <c r="Z865" s="23"/>
      <c r="AA865" s="23"/>
      <c r="AB865" s="23"/>
      <c r="AC865" s="23"/>
      <c r="AD865" s="23"/>
      <c r="AE865" s="23"/>
    </row>
    <row r="866" spans="1:31">
      <c r="A866" s="23"/>
      <c r="B866" s="40"/>
      <c r="C866" s="40"/>
      <c r="D866" s="23"/>
      <c r="E866" s="23"/>
      <c r="F866" s="23"/>
      <c r="G866" s="23"/>
      <c r="H866" s="23"/>
      <c r="I866" s="40"/>
      <c r="J866" s="70"/>
      <c r="K866" s="23"/>
      <c r="L866" s="70"/>
      <c r="M866" s="70"/>
      <c r="N866" s="23"/>
      <c r="O866" s="23"/>
      <c r="P866" s="23"/>
      <c r="Q866" s="23"/>
      <c r="R866" s="72"/>
      <c r="S866" s="23"/>
      <c r="T866" s="23"/>
      <c r="U866" s="23"/>
      <c r="V866" s="23"/>
      <c r="W866" s="23"/>
      <c r="X866" s="23"/>
      <c r="Y866" s="23"/>
      <c r="Z866" s="23"/>
      <c r="AA866" s="23"/>
      <c r="AB866" s="23"/>
      <c r="AC866" s="23"/>
      <c r="AD866" s="23"/>
      <c r="AE866" s="23"/>
    </row>
    <row r="867" spans="1:31">
      <c r="A867" s="23"/>
      <c r="B867" s="40"/>
      <c r="C867" s="40"/>
      <c r="D867" s="23"/>
      <c r="E867" s="23"/>
      <c r="F867" s="23"/>
      <c r="G867" s="23"/>
      <c r="H867" s="23"/>
      <c r="I867" s="40"/>
      <c r="J867" s="70"/>
      <c r="K867" s="23"/>
      <c r="L867" s="70"/>
      <c r="M867" s="70"/>
      <c r="N867" s="23"/>
      <c r="O867" s="23"/>
      <c r="P867" s="23"/>
      <c r="Q867" s="23"/>
      <c r="R867" s="72"/>
      <c r="S867" s="23"/>
      <c r="T867" s="23"/>
      <c r="U867" s="23"/>
      <c r="V867" s="23"/>
      <c r="W867" s="23"/>
      <c r="X867" s="23"/>
      <c r="Y867" s="23"/>
      <c r="Z867" s="23"/>
      <c r="AA867" s="23"/>
      <c r="AB867" s="23"/>
      <c r="AC867" s="23"/>
      <c r="AD867" s="23"/>
      <c r="AE867" s="23"/>
    </row>
    <row r="868" spans="1:31">
      <c r="A868" s="23"/>
      <c r="B868" s="40"/>
      <c r="C868" s="40"/>
      <c r="D868" s="23"/>
      <c r="E868" s="23"/>
      <c r="F868" s="23"/>
      <c r="G868" s="23"/>
      <c r="H868" s="23"/>
      <c r="I868" s="40"/>
      <c r="J868" s="70"/>
      <c r="K868" s="23"/>
      <c r="L868" s="70"/>
      <c r="M868" s="70"/>
      <c r="N868" s="23"/>
      <c r="O868" s="23"/>
      <c r="P868" s="23"/>
      <c r="Q868" s="23"/>
      <c r="R868" s="72"/>
      <c r="S868" s="23"/>
      <c r="T868" s="23"/>
      <c r="U868" s="23"/>
      <c r="V868" s="23"/>
      <c r="W868" s="23"/>
      <c r="X868" s="23"/>
      <c r="Y868" s="23"/>
      <c r="Z868" s="23"/>
      <c r="AA868" s="23"/>
      <c r="AB868" s="23"/>
      <c r="AC868" s="23"/>
      <c r="AD868" s="23"/>
      <c r="AE868" s="23"/>
    </row>
    <row r="869" spans="1:31">
      <c r="A869" s="23"/>
      <c r="B869" s="40"/>
      <c r="C869" s="40"/>
      <c r="D869" s="23"/>
      <c r="E869" s="23"/>
      <c r="F869" s="23"/>
      <c r="G869" s="23"/>
      <c r="H869" s="23"/>
      <c r="I869" s="40"/>
      <c r="J869" s="70"/>
      <c r="K869" s="23"/>
      <c r="L869" s="70"/>
      <c r="M869" s="70"/>
      <c r="N869" s="23"/>
      <c r="O869" s="23"/>
      <c r="P869" s="23"/>
      <c r="Q869" s="23"/>
      <c r="R869" s="72"/>
      <c r="S869" s="23"/>
      <c r="T869" s="23"/>
      <c r="U869" s="23"/>
      <c r="V869" s="23"/>
      <c r="W869" s="23"/>
      <c r="X869" s="23"/>
      <c r="Y869" s="23"/>
      <c r="Z869" s="23"/>
      <c r="AA869" s="23"/>
      <c r="AB869" s="23"/>
      <c r="AC869" s="23"/>
      <c r="AD869" s="23"/>
      <c r="AE869" s="23"/>
    </row>
    <row r="870" spans="1:31">
      <c r="A870" s="23"/>
      <c r="B870" s="40"/>
      <c r="C870" s="40"/>
      <c r="D870" s="23"/>
      <c r="E870" s="23"/>
      <c r="F870" s="23"/>
      <c r="G870" s="23"/>
      <c r="H870" s="23"/>
      <c r="I870" s="40"/>
      <c r="J870" s="70"/>
      <c r="K870" s="23"/>
      <c r="L870" s="70"/>
      <c r="M870" s="70"/>
      <c r="N870" s="23"/>
      <c r="O870" s="23"/>
      <c r="P870" s="23"/>
      <c r="Q870" s="23"/>
      <c r="R870" s="72"/>
      <c r="S870" s="23"/>
      <c r="T870" s="23"/>
      <c r="U870" s="23"/>
      <c r="V870" s="23"/>
      <c r="W870" s="23"/>
      <c r="X870" s="23"/>
      <c r="Y870" s="23"/>
      <c r="Z870" s="23"/>
      <c r="AA870" s="23"/>
      <c r="AB870" s="23"/>
      <c r="AC870" s="23"/>
      <c r="AD870" s="23"/>
      <c r="AE870" s="23"/>
    </row>
    <row r="871" spans="1:31">
      <c r="A871" s="23"/>
      <c r="B871" s="40"/>
      <c r="C871" s="40"/>
      <c r="D871" s="23"/>
      <c r="E871" s="23"/>
      <c r="F871" s="23"/>
      <c r="G871" s="23"/>
      <c r="H871" s="23"/>
      <c r="I871" s="40"/>
      <c r="J871" s="70"/>
      <c r="K871" s="23"/>
      <c r="L871" s="70"/>
      <c r="M871" s="70"/>
      <c r="N871" s="23"/>
      <c r="O871" s="23"/>
      <c r="P871" s="23"/>
      <c r="Q871" s="23"/>
      <c r="R871" s="72"/>
      <c r="S871" s="23"/>
      <c r="T871" s="23"/>
      <c r="U871" s="23"/>
      <c r="V871" s="23"/>
      <c r="W871" s="23"/>
      <c r="X871" s="23"/>
      <c r="Y871" s="23"/>
      <c r="Z871" s="23"/>
      <c r="AA871" s="23"/>
      <c r="AB871" s="23"/>
      <c r="AC871" s="23"/>
      <c r="AD871" s="23"/>
      <c r="AE871" s="23"/>
    </row>
    <row r="872" spans="1:31">
      <c r="A872" s="23"/>
      <c r="B872" s="40"/>
      <c r="C872" s="40"/>
      <c r="D872" s="23"/>
      <c r="E872" s="23"/>
      <c r="F872" s="23"/>
      <c r="G872" s="23"/>
      <c r="H872" s="23"/>
      <c r="I872" s="40"/>
      <c r="J872" s="70"/>
      <c r="K872" s="23"/>
      <c r="L872" s="70"/>
      <c r="M872" s="70"/>
      <c r="N872" s="23"/>
      <c r="O872" s="23"/>
      <c r="P872" s="23"/>
      <c r="Q872" s="23"/>
      <c r="R872" s="72"/>
      <c r="S872" s="23"/>
      <c r="T872" s="23"/>
      <c r="U872" s="23"/>
      <c r="V872" s="23"/>
      <c r="W872" s="23"/>
      <c r="X872" s="23"/>
      <c r="Y872" s="23"/>
      <c r="Z872" s="23"/>
      <c r="AA872" s="23"/>
      <c r="AB872" s="23"/>
      <c r="AC872" s="23"/>
      <c r="AD872" s="23"/>
      <c r="AE872" s="23"/>
    </row>
    <row r="873" spans="1:31">
      <c r="A873" s="23"/>
      <c r="B873" s="40"/>
      <c r="C873" s="40"/>
      <c r="D873" s="23"/>
      <c r="E873" s="23"/>
      <c r="F873" s="23"/>
      <c r="G873" s="23"/>
      <c r="H873" s="23"/>
      <c r="I873" s="40"/>
      <c r="J873" s="70"/>
      <c r="K873" s="23"/>
      <c r="L873" s="70"/>
      <c r="M873" s="70"/>
      <c r="N873" s="23"/>
      <c r="O873" s="23"/>
      <c r="P873" s="23"/>
      <c r="Q873" s="23"/>
      <c r="R873" s="72"/>
      <c r="S873" s="23"/>
      <c r="T873" s="23"/>
      <c r="U873" s="23"/>
      <c r="V873" s="23"/>
      <c r="W873" s="23"/>
      <c r="X873" s="23"/>
      <c r="Y873" s="23"/>
      <c r="Z873" s="23"/>
      <c r="AA873" s="23"/>
      <c r="AB873" s="23"/>
      <c r="AC873" s="23"/>
      <c r="AD873" s="23"/>
      <c r="AE873" s="23"/>
    </row>
    <row r="874" spans="1:31" ht="24" customHeight="1">
      <c r="A874" s="23"/>
      <c r="B874" s="40"/>
      <c r="C874" s="40"/>
      <c r="D874" s="23"/>
      <c r="E874" s="23"/>
      <c r="F874" s="23"/>
      <c r="G874" s="23"/>
      <c r="H874" s="40"/>
      <c r="I874" s="40"/>
      <c r="J874" s="70"/>
      <c r="K874" s="23"/>
      <c r="L874" s="70"/>
      <c r="M874" s="70"/>
      <c r="N874" s="23"/>
      <c r="O874" s="23"/>
      <c r="P874" s="23"/>
      <c r="Q874" s="23"/>
      <c r="R874" s="72"/>
      <c r="S874" s="23"/>
      <c r="T874" s="23"/>
      <c r="U874" s="23"/>
      <c r="V874" s="23"/>
      <c r="W874" s="23"/>
      <c r="X874" s="23"/>
      <c r="Y874" s="23"/>
      <c r="Z874" s="23"/>
      <c r="AA874" s="23"/>
      <c r="AB874" s="23"/>
      <c r="AC874" s="23"/>
      <c r="AD874" s="23"/>
      <c r="AE874" s="23"/>
    </row>
    <row r="875" spans="1:31">
      <c r="A875" s="23"/>
      <c r="B875" s="40"/>
      <c r="C875" s="40"/>
      <c r="D875" s="23"/>
      <c r="E875" s="23"/>
      <c r="F875" s="23"/>
      <c r="G875" s="23"/>
      <c r="H875" s="40"/>
      <c r="I875" s="40"/>
      <c r="J875" s="70"/>
      <c r="K875" s="23"/>
      <c r="L875" s="70"/>
      <c r="M875" s="70"/>
      <c r="N875" s="23"/>
      <c r="O875" s="23"/>
      <c r="P875" s="23"/>
      <c r="Q875" s="23"/>
      <c r="R875" s="72"/>
      <c r="S875" s="23"/>
      <c r="T875" s="23"/>
      <c r="U875" s="23"/>
      <c r="V875" s="23"/>
      <c r="W875" s="23"/>
      <c r="X875" s="23"/>
      <c r="Y875" s="23"/>
      <c r="Z875" s="23"/>
      <c r="AA875" s="23"/>
      <c r="AB875" s="23"/>
      <c r="AC875" s="23"/>
      <c r="AD875" s="23"/>
      <c r="AE875" s="23"/>
    </row>
    <row r="876" spans="1:31">
      <c r="A876" s="23"/>
      <c r="B876" s="40"/>
      <c r="C876" s="40"/>
      <c r="D876" s="23"/>
      <c r="E876" s="23"/>
      <c r="F876" s="23"/>
      <c r="G876" s="23"/>
      <c r="H876" s="40"/>
      <c r="I876" s="40"/>
      <c r="J876" s="70"/>
      <c r="K876" s="23"/>
      <c r="L876" s="70"/>
      <c r="M876" s="70"/>
      <c r="N876" s="23"/>
      <c r="O876" s="23"/>
      <c r="P876" s="23"/>
      <c r="Q876" s="23"/>
      <c r="R876" s="72"/>
      <c r="S876" s="23"/>
      <c r="T876" s="23"/>
      <c r="U876" s="23"/>
      <c r="V876" s="23"/>
      <c r="W876" s="23"/>
      <c r="X876" s="23"/>
      <c r="Y876" s="23"/>
      <c r="Z876" s="23"/>
      <c r="AA876" s="23"/>
      <c r="AB876" s="23"/>
      <c r="AC876" s="23"/>
      <c r="AD876" s="23"/>
      <c r="AE876" s="23"/>
    </row>
    <row r="877" spans="1:31">
      <c r="A877" s="23"/>
      <c r="B877" s="40"/>
      <c r="C877" s="40"/>
      <c r="D877" s="23"/>
      <c r="E877" s="23"/>
      <c r="F877" s="23"/>
      <c r="G877" s="23"/>
      <c r="H877" s="40"/>
      <c r="I877" s="40"/>
      <c r="J877" s="70"/>
      <c r="K877" s="23"/>
      <c r="L877" s="70"/>
      <c r="M877" s="70"/>
      <c r="N877" s="23"/>
      <c r="O877" s="23"/>
      <c r="P877" s="23"/>
      <c r="Q877" s="23"/>
      <c r="R877" s="72"/>
      <c r="S877" s="23"/>
      <c r="T877" s="23"/>
      <c r="U877" s="23"/>
      <c r="V877" s="23"/>
      <c r="W877" s="23"/>
      <c r="X877" s="23"/>
      <c r="Y877" s="23"/>
      <c r="Z877" s="23"/>
      <c r="AA877" s="23"/>
      <c r="AB877" s="23"/>
      <c r="AC877" s="23"/>
      <c r="AD877" s="23"/>
      <c r="AE877" s="23"/>
    </row>
    <row r="878" spans="1:31">
      <c r="A878" s="23"/>
      <c r="B878" s="40"/>
      <c r="C878" s="40"/>
      <c r="D878" s="23"/>
      <c r="E878" s="23"/>
      <c r="F878" s="23"/>
      <c r="G878" s="23"/>
      <c r="H878" s="40"/>
      <c r="I878" s="40"/>
      <c r="J878" s="70"/>
      <c r="K878" s="23"/>
      <c r="L878" s="70"/>
      <c r="M878" s="70"/>
      <c r="N878" s="23"/>
      <c r="O878" s="23"/>
      <c r="P878" s="23"/>
      <c r="Q878" s="23"/>
      <c r="R878" s="72"/>
      <c r="S878" s="23"/>
      <c r="T878" s="23"/>
      <c r="U878" s="23"/>
      <c r="V878" s="23"/>
      <c r="W878" s="23"/>
      <c r="X878" s="23"/>
      <c r="Y878" s="23"/>
      <c r="Z878" s="23"/>
      <c r="AA878" s="23"/>
      <c r="AB878" s="23"/>
      <c r="AC878" s="23"/>
      <c r="AD878" s="23"/>
      <c r="AE878" s="23"/>
    </row>
    <row r="879" spans="1:31" ht="24" customHeight="1">
      <c r="A879" s="23"/>
      <c r="B879" s="40"/>
      <c r="C879" s="40"/>
      <c r="D879" s="23"/>
      <c r="E879" s="23"/>
      <c r="F879" s="23"/>
      <c r="G879" s="23"/>
      <c r="H879" s="40"/>
      <c r="I879" s="40"/>
      <c r="J879" s="70"/>
      <c r="K879" s="23"/>
      <c r="L879" s="70"/>
      <c r="M879" s="70"/>
      <c r="N879" s="23"/>
      <c r="O879" s="23"/>
      <c r="P879" s="23"/>
      <c r="Q879" s="23"/>
      <c r="R879" s="72"/>
      <c r="S879" s="23"/>
      <c r="T879" s="23"/>
      <c r="U879" s="23"/>
      <c r="V879" s="23"/>
      <c r="W879" s="23"/>
      <c r="X879" s="23"/>
      <c r="Y879" s="23"/>
      <c r="Z879" s="23"/>
      <c r="AA879" s="23"/>
      <c r="AB879" s="23"/>
      <c r="AC879" s="23"/>
      <c r="AD879" s="23"/>
      <c r="AE879" s="23"/>
    </row>
    <row r="880" spans="1:31">
      <c r="A880" s="23"/>
      <c r="B880" s="40"/>
      <c r="C880" s="40"/>
      <c r="D880" s="23"/>
      <c r="E880" s="23"/>
      <c r="F880" s="23"/>
      <c r="G880" s="23"/>
      <c r="H880" s="40"/>
      <c r="I880" s="40"/>
      <c r="J880" s="70"/>
      <c r="K880" s="23"/>
      <c r="L880" s="70"/>
      <c r="M880" s="70"/>
      <c r="N880" s="23"/>
      <c r="O880" s="23"/>
      <c r="P880" s="23"/>
      <c r="Q880" s="23"/>
      <c r="R880" s="72"/>
      <c r="S880" s="23"/>
      <c r="T880" s="23"/>
      <c r="U880" s="23"/>
      <c r="V880" s="23"/>
      <c r="W880" s="23"/>
      <c r="X880" s="23"/>
      <c r="Y880" s="23"/>
      <c r="Z880" s="23"/>
      <c r="AA880" s="23"/>
      <c r="AB880" s="23"/>
      <c r="AC880" s="23"/>
      <c r="AD880" s="23"/>
      <c r="AE880" s="23"/>
    </row>
    <row r="881" spans="1:31">
      <c r="A881" s="23"/>
      <c r="B881" s="40"/>
      <c r="C881" s="40"/>
      <c r="D881" s="23"/>
      <c r="E881" s="23"/>
      <c r="F881" s="23"/>
      <c r="G881" s="23"/>
      <c r="H881" s="40"/>
      <c r="I881" s="40"/>
      <c r="J881" s="70"/>
      <c r="K881" s="23"/>
      <c r="L881" s="70"/>
      <c r="M881" s="70"/>
      <c r="N881" s="23"/>
      <c r="O881" s="23"/>
      <c r="P881" s="23"/>
      <c r="Q881" s="23"/>
      <c r="R881" s="72"/>
      <c r="S881" s="23"/>
      <c r="T881" s="23"/>
      <c r="U881" s="23"/>
      <c r="V881" s="23"/>
      <c r="W881" s="23"/>
      <c r="X881" s="23"/>
      <c r="Y881" s="23"/>
      <c r="Z881" s="23"/>
      <c r="AA881" s="23"/>
      <c r="AB881" s="23"/>
      <c r="AC881" s="23"/>
      <c r="AD881" s="23"/>
      <c r="AE881" s="23"/>
    </row>
    <row r="882" spans="1:31">
      <c r="A882" s="23"/>
      <c r="B882" s="40"/>
      <c r="C882" s="40"/>
      <c r="D882" s="23"/>
      <c r="E882" s="23"/>
      <c r="F882" s="23"/>
      <c r="G882" s="23"/>
      <c r="H882" s="40"/>
      <c r="I882" s="40"/>
      <c r="J882" s="70"/>
      <c r="K882" s="23"/>
      <c r="L882" s="70"/>
      <c r="M882" s="70"/>
      <c r="N882" s="23"/>
      <c r="O882" s="23"/>
      <c r="P882" s="23"/>
      <c r="Q882" s="23"/>
      <c r="R882" s="72"/>
      <c r="S882" s="23"/>
      <c r="T882" s="23"/>
      <c r="U882" s="23"/>
      <c r="V882" s="23"/>
      <c r="W882" s="23"/>
      <c r="X882" s="23"/>
      <c r="Y882" s="23"/>
      <c r="Z882" s="23"/>
      <c r="AA882" s="23"/>
      <c r="AB882" s="23"/>
      <c r="AC882" s="23"/>
      <c r="AD882" s="23"/>
      <c r="AE882" s="23"/>
    </row>
    <row r="883" spans="1:31">
      <c r="A883" s="23"/>
      <c r="B883" s="40"/>
      <c r="C883" s="40"/>
      <c r="D883" s="23"/>
      <c r="E883" s="23"/>
      <c r="F883" s="23"/>
      <c r="G883" s="23"/>
      <c r="H883" s="40"/>
      <c r="I883" s="40"/>
      <c r="J883" s="70"/>
      <c r="K883" s="23"/>
      <c r="L883" s="70"/>
      <c r="M883" s="70"/>
      <c r="N883" s="23"/>
      <c r="O883" s="23"/>
      <c r="P883" s="23"/>
      <c r="Q883" s="23"/>
      <c r="R883" s="72"/>
      <c r="S883" s="23"/>
      <c r="T883" s="23"/>
      <c r="U883" s="23"/>
      <c r="V883" s="23"/>
      <c r="W883" s="23"/>
      <c r="X883" s="23"/>
      <c r="Y883" s="23"/>
      <c r="Z883" s="23"/>
      <c r="AA883" s="23"/>
      <c r="AB883" s="23"/>
      <c r="AC883" s="23"/>
      <c r="AD883" s="23"/>
      <c r="AE883" s="23"/>
    </row>
    <row r="884" spans="1:31">
      <c r="A884" s="23"/>
      <c r="B884" s="40"/>
      <c r="C884" s="40"/>
      <c r="D884" s="23"/>
      <c r="E884" s="23"/>
      <c r="F884" s="23"/>
      <c r="G884" s="23"/>
      <c r="H884" s="23"/>
      <c r="I884" s="40"/>
      <c r="J884" s="70"/>
      <c r="K884" s="23"/>
      <c r="L884" s="70"/>
      <c r="M884" s="70"/>
      <c r="N884" s="23"/>
      <c r="O884" s="23"/>
      <c r="P884" s="23"/>
      <c r="Q884" s="23"/>
      <c r="R884" s="72"/>
      <c r="S884" s="23"/>
      <c r="T884" s="23"/>
      <c r="U884" s="23"/>
      <c r="V884" s="23"/>
      <c r="W884" s="23"/>
      <c r="X884" s="23"/>
      <c r="Y884" s="23"/>
      <c r="Z884" s="23"/>
      <c r="AA884" s="23"/>
      <c r="AB884" s="23"/>
      <c r="AC884" s="23"/>
      <c r="AD884" s="23"/>
      <c r="AE884" s="23"/>
    </row>
    <row r="885" spans="1:31">
      <c r="A885" s="23"/>
      <c r="B885" s="40"/>
      <c r="C885" s="40"/>
      <c r="D885" s="23"/>
      <c r="E885" s="23"/>
      <c r="F885" s="23"/>
      <c r="G885" s="23"/>
      <c r="H885" s="23"/>
      <c r="I885" s="40"/>
      <c r="J885" s="70"/>
      <c r="K885" s="23"/>
      <c r="L885" s="70"/>
      <c r="M885" s="70"/>
      <c r="N885" s="23"/>
      <c r="O885" s="23"/>
      <c r="P885" s="23"/>
      <c r="Q885" s="23"/>
      <c r="R885" s="72"/>
      <c r="S885" s="23"/>
      <c r="T885" s="23"/>
      <c r="U885" s="23"/>
      <c r="V885" s="23"/>
      <c r="W885" s="23"/>
      <c r="X885" s="23"/>
      <c r="Y885" s="23"/>
      <c r="Z885" s="23"/>
      <c r="AA885" s="23"/>
      <c r="AB885" s="23"/>
      <c r="AC885" s="23"/>
      <c r="AD885" s="23"/>
      <c r="AE885" s="23"/>
    </row>
    <row r="886" spans="1:31">
      <c r="A886" s="23"/>
      <c r="B886" s="40"/>
      <c r="C886" s="40"/>
      <c r="D886" s="23"/>
      <c r="E886" s="23"/>
      <c r="F886" s="23"/>
      <c r="G886" s="23"/>
      <c r="H886" s="23"/>
      <c r="I886" s="40"/>
      <c r="J886" s="70"/>
      <c r="K886" s="23"/>
      <c r="L886" s="70"/>
      <c r="M886" s="70"/>
      <c r="N886" s="23"/>
      <c r="O886" s="23"/>
      <c r="P886" s="23"/>
      <c r="Q886" s="23"/>
      <c r="R886" s="72"/>
      <c r="S886" s="23"/>
      <c r="T886" s="23"/>
      <c r="U886" s="23"/>
      <c r="V886" s="23"/>
      <c r="W886" s="23"/>
      <c r="X886" s="23"/>
      <c r="Y886" s="23"/>
      <c r="Z886" s="23"/>
      <c r="AA886" s="23"/>
      <c r="AB886" s="23"/>
      <c r="AC886" s="23"/>
      <c r="AD886" s="23"/>
      <c r="AE886" s="23"/>
    </row>
    <row r="887" spans="1:31">
      <c r="A887" s="23"/>
      <c r="B887" s="40"/>
      <c r="C887" s="40"/>
      <c r="D887" s="23"/>
      <c r="E887" s="23"/>
      <c r="F887" s="23"/>
      <c r="G887" s="23"/>
      <c r="H887" s="23"/>
      <c r="I887" s="40"/>
      <c r="J887" s="70"/>
      <c r="K887" s="23"/>
      <c r="L887" s="70"/>
      <c r="M887" s="70"/>
      <c r="N887" s="23"/>
      <c r="O887" s="23"/>
      <c r="P887" s="23"/>
      <c r="Q887" s="23"/>
      <c r="R887" s="72"/>
      <c r="S887" s="23"/>
      <c r="T887" s="23"/>
      <c r="U887" s="23"/>
      <c r="V887" s="23"/>
      <c r="W887" s="23"/>
      <c r="X887" s="23"/>
      <c r="Y887" s="23"/>
      <c r="Z887" s="23"/>
      <c r="AA887" s="23"/>
      <c r="AB887" s="23"/>
      <c r="AC887" s="23"/>
      <c r="AD887" s="23"/>
      <c r="AE887" s="23"/>
    </row>
    <row r="888" spans="1:31">
      <c r="A888" s="23"/>
      <c r="B888" s="40"/>
      <c r="C888" s="40"/>
      <c r="D888" s="23"/>
      <c r="E888" s="23"/>
      <c r="F888" s="23"/>
      <c r="G888" s="23"/>
      <c r="H888" s="23"/>
      <c r="I888" s="40"/>
      <c r="J888" s="70"/>
      <c r="K888" s="23"/>
      <c r="L888" s="70"/>
      <c r="M888" s="70"/>
      <c r="N888" s="23"/>
      <c r="O888" s="23"/>
      <c r="P888" s="23"/>
      <c r="Q888" s="23"/>
      <c r="R888" s="72"/>
      <c r="S888" s="23"/>
      <c r="T888" s="23"/>
      <c r="U888" s="23"/>
      <c r="V888" s="23"/>
      <c r="W888" s="23"/>
      <c r="X888" s="23"/>
      <c r="Y888" s="23"/>
      <c r="Z888" s="23"/>
      <c r="AA888" s="23"/>
      <c r="AB888" s="23"/>
      <c r="AC888" s="23"/>
      <c r="AD888" s="23"/>
      <c r="AE888" s="23"/>
    </row>
    <row r="889" spans="1:31">
      <c r="A889" s="23"/>
      <c r="B889" s="40"/>
      <c r="C889" s="40"/>
      <c r="D889" s="23"/>
      <c r="E889" s="23"/>
      <c r="F889" s="23"/>
      <c r="G889" s="23"/>
      <c r="H889" s="23"/>
      <c r="I889" s="40"/>
      <c r="J889" s="70"/>
      <c r="K889" s="23"/>
      <c r="L889" s="70"/>
      <c r="M889" s="70"/>
      <c r="N889" s="23"/>
      <c r="O889" s="23"/>
      <c r="P889" s="23"/>
      <c r="Q889" s="23"/>
      <c r="R889" s="72"/>
      <c r="S889" s="23"/>
      <c r="T889" s="23"/>
      <c r="U889" s="23"/>
      <c r="V889" s="23"/>
      <c r="W889" s="23"/>
      <c r="X889" s="23"/>
      <c r="Y889" s="23"/>
      <c r="Z889" s="23"/>
      <c r="AA889" s="23"/>
      <c r="AB889" s="23"/>
      <c r="AC889" s="23"/>
      <c r="AD889" s="23"/>
      <c r="AE889" s="23"/>
    </row>
    <row r="890" spans="1:31" ht="24" customHeight="1">
      <c r="A890" s="23"/>
      <c r="B890" s="40"/>
      <c r="C890" s="40"/>
      <c r="D890" s="23"/>
      <c r="E890" s="23"/>
      <c r="F890" s="23"/>
      <c r="G890" s="23"/>
      <c r="H890" s="40"/>
      <c r="I890" s="40"/>
      <c r="J890" s="70"/>
      <c r="K890" s="23"/>
      <c r="L890" s="70"/>
      <c r="M890" s="70"/>
      <c r="N890" s="23"/>
      <c r="O890" s="23"/>
      <c r="P890" s="23"/>
      <c r="Q890" s="23"/>
      <c r="R890" s="72"/>
      <c r="S890" s="23"/>
      <c r="T890" s="23"/>
      <c r="U890" s="23"/>
      <c r="V890" s="23"/>
      <c r="W890" s="23"/>
      <c r="X890" s="23"/>
      <c r="Y890" s="23"/>
      <c r="Z890" s="23"/>
      <c r="AA890" s="23"/>
      <c r="AB890" s="23"/>
      <c r="AC890" s="23"/>
      <c r="AD890" s="23"/>
      <c r="AE890" s="23"/>
    </row>
    <row r="891" spans="1:31">
      <c r="A891" s="23"/>
      <c r="B891" s="40"/>
      <c r="C891" s="40"/>
      <c r="D891" s="23"/>
      <c r="E891" s="23"/>
      <c r="F891" s="23"/>
      <c r="G891" s="23"/>
      <c r="H891" s="40"/>
      <c r="I891" s="40"/>
      <c r="J891" s="70"/>
      <c r="K891" s="23"/>
      <c r="L891" s="70"/>
      <c r="M891" s="70"/>
      <c r="N891" s="23"/>
      <c r="O891" s="23"/>
      <c r="P891" s="23"/>
      <c r="Q891" s="23"/>
      <c r="R891" s="72"/>
      <c r="S891" s="23"/>
      <c r="T891" s="23"/>
      <c r="U891" s="23"/>
      <c r="V891" s="23"/>
      <c r="W891" s="23"/>
      <c r="X891" s="23"/>
      <c r="Y891" s="23"/>
      <c r="Z891" s="23"/>
      <c r="AA891" s="23"/>
      <c r="AB891" s="23"/>
      <c r="AC891" s="23"/>
      <c r="AD891" s="23"/>
      <c r="AE891" s="23"/>
    </row>
    <row r="892" spans="1:31">
      <c r="A892" s="23"/>
      <c r="B892" s="40"/>
      <c r="C892" s="40"/>
      <c r="D892" s="23"/>
      <c r="E892" s="23"/>
      <c r="F892" s="23"/>
      <c r="G892" s="23"/>
      <c r="H892" s="40"/>
      <c r="I892" s="40"/>
      <c r="J892" s="70"/>
      <c r="K892" s="23"/>
      <c r="L892" s="70"/>
      <c r="M892" s="70"/>
      <c r="N892" s="23"/>
      <c r="O892" s="23"/>
      <c r="P892" s="23"/>
      <c r="Q892" s="23"/>
      <c r="R892" s="72"/>
      <c r="S892" s="23"/>
      <c r="T892" s="23"/>
      <c r="U892" s="23"/>
      <c r="V892" s="23"/>
      <c r="W892" s="23"/>
      <c r="X892" s="23"/>
      <c r="Y892" s="23"/>
      <c r="Z892" s="23"/>
      <c r="AA892" s="23"/>
      <c r="AB892" s="23"/>
      <c r="AC892" s="23"/>
      <c r="AD892" s="23"/>
      <c r="AE892" s="23"/>
    </row>
    <row r="893" spans="1:31">
      <c r="A893" s="23"/>
      <c r="B893" s="40"/>
      <c r="C893" s="40"/>
      <c r="D893" s="23"/>
      <c r="E893" s="23"/>
      <c r="F893" s="23"/>
      <c r="G893" s="23"/>
      <c r="H893" s="40"/>
      <c r="I893" s="40"/>
      <c r="J893" s="70"/>
      <c r="K893" s="23"/>
      <c r="L893" s="70"/>
      <c r="M893" s="70"/>
      <c r="N893" s="23"/>
      <c r="O893" s="23"/>
      <c r="P893" s="23"/>
      <c r="Q893" s="23"/>
      <c r="R893" s="72"/>
      <c r="S893" s="23"/>
      <c r="T893" s="23"/>
      <c r="U893" s="23"/>
      <c r="V893" s="23"/>
      <c r="W893" s="23"/>
      <c r="X893" s="23"/>
      <c r="Y893" s="23"/>
      <c r="Z893" s="23"/>
      <c r="AA893" s="23"/>
      <c r="AB893" s="23"/>
      <c r="AC893" s="23"/>
      <c r="AD893" s="23"/>
      <c r="AE893" s="23"/>
    </row>
    <row r="894" spans="1:31">
      <c r="A894" s="23"/>
      <c r="B894" s="40"/>
      <c r="C894" s="40"/>
      <c r="D894" s="23"/>
      <c r="E894" s="23"/>
      <c r="F894" s="23"/>
      <c r="G894" s="23"/>
      <c r="H894" s="40"/>
      <c r="I894" s="40"/>
      <c r="J894" s="70"/>
      <c r="K894" s="23"/>
      <c r="L894" s="70"/>
      <c r="M894" s="70"/>
      <c r="N894" s="23"/>
      <c r="O894" s="23"/>
      <c r="P894" s="23"/>
      <c r="Q894" s="23"/>
      <c r="R894" s="72"/>
      <c r="S894" s="23"/>
      <c r="T894" s="23"/>
      <c r="U894" s="23"/>
      <c r="V894" s="23"/>
      <c r="W894" s="23"/>
      <c r="X894" s="23"/>
      <c r="Y894" s="23"/>
      <c r="Z894" s="23"/>
      <c r="AA894" s="23"/>
      <c r="AB894" s="23"/>
      <c r="AC894" s="23"/>
      <c r="AD894" s="23"/>
      <c r="AE894" s="23"/>
    </row>
    <row r="895" spans="1:31" ht="24" customHeight="1">
      <c r="A895" s="23"/>
      <c r="B895" s="40"/>
      <c r="C895" s="40"/>
      <c r="D895" s="23"/>
      <c r="E895" s="23"/>
      <c r="F895" s="23"/>
      <c r="G895" s="23"/>
      <c r="H895" s="40"/>
      <c r="I895" s="40"/>
      <c r="J895" s="70"/>
      <c r="K895" s="23"/>
      <c r="L895" s="70"/>
      <c r="M895" s="70"/>
      <c r="N895" s="23"/>
      <c r="O895" s="23"/>
      <c r="P895" s="23"/>
      <c r="Q895" s="23"/>
      <c r="R895" s="72"/>
      <c r="S895" s="23"/>
      <c r="T895" s="23"/>
      <c r="U895" s="23"/>
      <c r="V895" s="23"/>
      <c r="W895" s="23"/>
      <c r="X895" s="23"/>
      <c r="Y895" s="23"/>
      <c r="Z895" s="23"/>
      <c r="AA895" s="23"/>
      <c r="AB895" s="23"/>
      <c r="AC895" s="23"/>
      <c r="AD895" s="23"/>
      <c r="AE895" s="23"/>
    </row>
    <row r="896" spans="1:31">
      <c r="A896" s="23"/>
      <c r="B896" s="40"/>
      <c r="C896" s="40"/>
      <c r="D896" s="23"/>
      <c r="E896" s="23"/>
      <c r="F896" s="23"/>
      <c r="G896" s="23"/>
      <c r="H896" s="40"/>
      <c r="I896" s="40"/>
      <c r="J896" s="70"/>
      <c r="K896" s="23"/>
      <c r="L896" s="70"/>
      <c r="M896" s="70"/>
      <c r="N896" s="23"/>
      <c r="O896" s="23"/>
      <c r="P896" s="23"/>
      <c r="Q896" s="23"/>
      <c r="R896" s="72"/>
      <c r="S896" s="23"/>
      <c r="T896" s="23"/>
      <c r="U896" s="23"/>
      <c r="V896" s="23"/>
      <c r="W896" s="23"/>
      <c r="X896" s="23"/>
      <c r="Y896" s="23"/>
      <c r="Z896" s="23"/>
      <c r="AA896" s="23"/>
      <c r="AB896" s="23"/>
      <c r="AC896" s="23"/>
      <c r="AD896" s="23"/>
      <c r="AE896" s="23"/>
    </row>
    <row r="897" spans="1:31">
      <c r="A897" s="23"/>
      <c r="B897" s="40"/>
      <c r="C897" s="40"/>
      <c r="D897" s="23"/>
      <c r="E897" s="23"/>
      <c r="F897" s="23"/>
      <c r="G897" s="23"/>
      <c r="H897" s="40"/>
      <c r="I897" s="40"/>
      <c r="J897" s="70"/>
      <c r="K897" s="23"/>
      <c r="L897" s="70"/>
      <c r="M897" s="70"/>
      <c r="N897" s="23"/>
      <c r="O897" s="23"/>
      <c r="P897" s="23"/>
      <c r="Q897" s="23"/>
      <c r="R897" s="72"/>
      <c r="S897" s="23"/>
      <c r="T897" s="23"/>
      <c r="U897" s="23"/>
      <c r="V897" s="23"/>
      <c r="W897" s="23"/>
      <c r="X897" s="23"/>
      <c r="Y897" s="23"/>
      <c r="Z897" s="23"/>
      <c r="AA897" s="23"/>
      <c r="AB897" s="23"/>
      <c r="AC897" s="23"/>
      <c r="AD897" s="23"/>
      <c r="AE897" s="23"/>
    </row>
    <row r="898" spans="1:31">
      <c r="A898" s="23"/>
      <c r="B898" s="40"/>
      <c r="C898" s="40"/>
      <c r="D898" s="23"/>
      <c r="E898" s="23"/>
      <c r="F898" s="23"/>
      <c r="G898" s="23"/>
      <c r="H898" s="40"/>
      <c r="I898" s="40"/>
      <c r="J898" s="70"/>
      <c r="K898" s="23"/>
      <c r="L898" s="70"/>
      <c r="M898" s="70"/>
      <c r="N898" s="23"/>
      <c r="O898" s="23"/>
      <c r="P898" s="23"/>
      <c r="Q898" s="23"/>
      <c r="R898" s="72"/>
      <c r="S898" s="23"/>
      <c r="T898" s="23"/>
      <c r="U898" s="23"/>
      <c r="V898" s="23"/>
      <c r="W898" s="23"/>
      <c r="X898" s="23"/>
      <c r="Y898" s="23"/>
      <c r="Z898" s="23"/>
      <c r="AA898" s="23"/>
      <c r="AB898" s="23"/>
      <c r="AC898" s="23"/>
      <c r="AD898" s="23"/>
      <c r="AE898" s="23"/>
    </row>
    <row r="899" spans="1:31">
      <c r="A899" s="23"/>
      <c r="B899" s="40"/>
      <c r="C899" s="40"/>
      <c r="D899" s="23"/>
      <c r="E899" s="23"/>
      <c r="F899" s="23"/>
      <c r="G899" s="23"/>
      <c r="H899" s="40"/>
      <c r="I899" s="40"/>
      <c r="J899" s="70"/>
      <c r="K899" s="23"/>
      <c r="L899" s="70"/>
      <c r="M899" s="70"/>
      <c r="N899" s="23"/>
      <c r="O899" s="23"/>
      <c r="P899" s="23"/>
      <c r="Q899" s="23"/>
      <c r="R899" s="72"/>
      <c r="S899" s="23"/>
      <c r="T899" s="23"/>
      <c r="U899" s="23"/>
      <c r="V899" s="23"/>
      <c r="W899" s="23"/>
      <c r="X899" s="23"/>
      <c r="Y899" s="23"/>
      <c r="Z899" s="23"/>
      <c r="AA899" s="23"/>
      <c r="AB899" s="23"/>
      <c r="AC899" s="23"/>
      <c r="AD899" s="23"/>
      <c r="AE899" s="23"/>
    </row>
    <row r="900" spans="1:31">
      <c r="A900" s="23"/>
      <c r="B900" s="40"/>
      <c r="C900" s="40"/>
      <c r="D900" s="23"/>
      <c r="E900" s="23"/>
      <c r="F900" s="23"/>
      <c r="G900" s="23"/>
      <c r="H900" s="23"/>
      <c r="I900" s="40"/>
      <c r="J900" s="70"/>
      <c r="K900" s="23"/>
      <c r="L900" s="70"/>
      <c r="M900" s="70"/>
      <c r="N900" s="23"/>
      <c r="O900" s="23"/>
      <c r="P900" s="23"/>
      <c r="Q900" s="23"/>
      <c r="R900" s="72"/>
      <c r="S900" s="23"/>
      <c r="T900" s="23"/>
      <c r="U900" s="23"/>
      <c r="V900" s="23"/>
      <c r="W900" s="23"/>
      <c r="X900" s="23"/>
      <c r="Y900" s="23"/>
      <c r="Z900" s="23"/>
      <c r="AA900" s="23"/>
      <c r="AB900" s="23"/>
      <c r="AC900" s="23"/>
      <c r="AD900" s="23"/>
      <c r="AE900" s="23"/>
    </row>
    <row r="901" spans="1:31">
      <c r="A901" s="23"/>
      <c r="B901" s="40"/>
      <c r="C901" s="40"/>
      <c r="D901" s="23"/>
      <c r="E901" s="23"/>
      <c r="F901" s="23"/>
      <c r="G901" s="23"/>
      <c r="H901" s="23"/>
      <c r="I901" s="40"/>
      <c r="J901" s="70"/>
      <c r="K901" s="23"/>
      <c r="L901" s="70"/>
      <c r="M901" s="70"/>
      <c r="N901" s="23"/>
      <c r="O901" s="23"/>
      <c r="P901" s="23"/>
      <c r="Q901" s="23"/>
      <c r="R901" s="72"/>
      <c r="S901" s="23"/>
      <c r="T901" s="23"/>
      <c r="U901" s="23"/>
      <c r="V901" s="23"/>
      <c r="W901" s="23"/>
      <c r="X901" s="23"/>
      <c r="Y901" s="23"/>
      <c r="Z901" s="23"/>
      <c r="AA901" s="23"/>
      <c r="AB901" s="23"/>
      <c r="AC901" s="23"/>
      <c r="AD901" s="23"/>
      <c r="AE901" s="23"/>
    </row>
    <row r="902" spans="1:31">
      <c r="A902" s="23"/>
      <c r="B902" s="40"/>
      <c r="C902" s="40"/>
      <c r="D902" s="23"/>
      <c r="E902" s="23"/>
      <c r="F902" s="23"/>
      <c r="G902" s="23"/>
      <c r="H902" s="23"/>
      <c r="I902" s="40"/>
      <c r="J902" s="70"/>
      <c r="K902" s="23"/>
      <c r="L902" s="70"/>
      <c r="M902" s="70"/>
      <c r="N902" s="23"/>
      <c r="O902" s="23"/>
      <c r="P902" s="23"/>
      <c r="Q902" s="23"/>
      <c r="R902" s="72"/>
      <c r="S902" s="23"/>
      <c r="T902" s="23"/>
      <c r="U902" s="23"/>
      <c r="V902" s="23"/>
      <c r="W902" s="23"/>
      <c r="X902" s="23"/>
      <c r="Y902" s="23"/>
      <c r="Z902" s="23"/>
      <c r="AA902" s="23"/>
      <c r="AB902" s="23"/>
      <c r="AC902" s="23"/>
      <c r="AD902" s="23"/>
      <c r="AE902" s="23"/>
    </row>
    <row r="903" spans="1:31">
      <c r="A903" s="23"/>
      <c r="B903" s="40"/>
      <c r="C903" s="40"/>
      <c r="D903" s="23"/>
      <c r="E903" s="23"/>
      <c r="F903" s="23"/>
      <c r="G903" s="23"/>
      <c r="H903" s="23"/>
      <c r="I903" s="40"/>
      <c r="J903" s="70"/>
      <c r="K903" s="23"/>
      <c r="L903" s="70"/>
      <c r="M903" s="70"/>
      <c r="N903" s="23"/>
      <c r="O903" s="23"/>
      <c r="P903" s="23"/>
      <c r="Q903" s="23"/>
      <c r="R903" s="72"/>
      <c r="S903" s="23"/>
      <c r="T903" s="23"/>
      <c r="U903" s="23"/>
      <c r="V903" s="23"/>
      <c r="W903" s="23"/>
      <c r="X903" s="23"/>
      <c r="Y903" s="23"/>
      <c r="Z903" s="23"/>
      <c r="AA903" s="23"/>
      <c r="AB903" s="23"/>
      <c r="AC903" s="23"/>
      <c r="AD903" s="23"/>
      <c r="AE903" s="23"/>
    </row>
    <row r="904" spans="1:31">
      <c r="A904" s="23"/>
      <c r="B904" s="40"/>
      <c r="C904" s="40"/>
      <c r="D904" s="23"/>
      <c r="E904" s="23"/>
      <c r="F904" s="23"/>
      <c r="G904" s="23"/>
      <c r="H904" s="23"/>
      <c r="I904" s="40"/>
      <c r="J904" s="70"/>
      <c r="K904" s="23"/>
      <c r="L904" s="70"/>
      <c r="M904" s="70"/>
      <c r="N904" s="23"/>
      <c r="O904" s="23"/>
      <c r="P904" s="23"/>
      <c r="Q904" s="23"/>
      <c r="R904" s="72"/>
      <c r="S904" s="23"/>
      <c r="T904" s="23"/>
      <c r="U904" s="23"/>
      <c r="V904" s="23"/>
      <c r="W904" s="23"/>
      <c r="X904" s="23"/>
      <c r="Y904" s="23"/>
      <c r="Z904" s="23"/>
      <c r="AA904" s="23"/>
      <c r="AB904" s="23"/>
      <c r="AC904" s="23"/>
      <c r="AD904" s="23"/>
      <c r="AE904" s="23"/>
    </row>
    <row r="905" spans="1:31">
      <c r="A905" s="23"/>
      <c r="B905" s="40"/>
      <c r="C905" s="40"/>
      <c r="D905" s="23"/>
      <c r="E905" s="23"/>
      <c r="F905" s="23"/>
      <c r="G905" s="23"/>
      <c r="H905" s="23"/>
      <c r="I905" s="40"/>
      <c r="J905" s="70"/>
      <c r="K905" s="23"/>
      <c r="L905" s="70"/>
      <c r="M905" s="70"/>
      <c r="N905" s="23"/>
      <c r="O905" s="23"/>
      <c r="P905" s="23"/>
      <c r="Q905" s="23"/>
      <c r="R905" s="72"/>
      <c r="S905" s="23"/>
      <c r="T905" s="23"/>
      <c r="U905" s="23"/>
      <c r="V905" s="23"/>
      <c r="W905" s="23"/>
      <c r="X905" s="23"/>
      <c r="Y905" s="23"/>
      <c r="Z905" s="23"/>
      <c r="AA905" s="23"/>
      <c r="AB905" s="23"/>
      <c r="AC905" s="23"/>
      <c r="AD905" s="23"/>
      <c r="AE905" s="23"/>
    </row>
    <row r="906" spans="1:31" ht="24" customHeight="1">
      <c r="A906" s="23"/>
      <c r="B906" s="40"/>
      <c r="C906" s="40"/>
      <c r="D906" s="23"/>
      <c r="E906" s="23"/>
      <c r="F906" s="23"/>
      <c r="G906" s="23"/>
      <c r="H906" s="40"/>
      <c r="I906" s="40"/>
      <c r="J906" s="70"/>
      <c r="K906" s="23"/>
      <c r="L906" s="70"/>
      <c r="M906" s="70"/>
      <c r="N906" s="23"/>
      <c r="O906" s="23"/>
      <c r="P906" s="23"/>
      <c r="Q906" s="23"/>
      <c r="R906" s="72"/>
      <c r="S906" s="23"/>
      <c r="T906" s="23"/>
      <c r="U906" s="23"/>
      <c r="V906" s="23"/>
      <c r="W906" s="23"/>
      <c r="X906" s="23"/>
      <c r="Y906" s="23"/>
      <c r="Z906" s="23"/>
      <c r="AA906" s="23"/>
      <c r="AB906" s="23"/>
      <c r="AC906" s="23"/>
      <c r="AD906" s="23"/>
      <c r="AE906" s="23"/>
    </row>
    <row r="907" spans="1:31">
      <c r="A907" s="23"/>
      <c r="B907" s="40"/>
      <c r="C907" s="40"/>
      <c r="D907" s="23"/>
      <c r="E907" s="23"/>
      <c r="F907" s="23"/>
      <c r="G907" s="23"/>
      <c r="H907" s="40"/>
      <c r="I907" s="40"/>
      <c r="J907" s="70"/>
      <c r="K907" s="23"/>
      <c r="L907" s="70"/>
      <c r="M907" s="70"/>
      <c r="N907" s="23"/>
      <c r="O907" s="23"/>
      <c r="P907" s="23"/>
      <c r="Q907" s="23"/>
      <c r="R907" s="72"/>
      <c r="S907" s="23"/>
      <c r="T907" s="23"/>
      <c r="U907" s="23"/>
      <c r="V907" s="23"/>
      <c r="W907" s="23"/>
      <c r="X907" s="23"/>
      <c r="Y907" s="23"/>
      <c r="Z907" s="23"/>
      <c r="AA907" s="23"/>
      <c r="AB907" s="23"/>
      <c r="AC907" s="23"/>
      <c r="AD907" s="23"/>
      <c r="AE907" s="23"/>
    </row>
    <row r="908" spans="1:31">
      <c r="A908" s="23"/>
      <c r="B908" s="40"/>
      <c r="C908" s="40"/>
      <c r="D908" s="23"/>
      <c r="E908" s="23"/>
      <c r="F908" s="23"/>
      <c r="G908" s="23"/>
      <c r="H908" s="40"/>
      <c r="I908" s="40"/>
      <c r="J908" s="70"/>
      <c r="K908" s="23"/>
      <c r="L908" s="70"/>
      <c r="M908" s="70"/>
      <c r="N908" s="23"/>
      <c r="O908" s="23"/>
      <c r="P908" s="23"/>
      <c r="Q908" s="23"/>
      <c r="R908" s="72"/>
      <c r="S908" s="23"/>
      <c r="T908" s="23"/>
      <c r="U908" s="23"/>
      <c r="V908" s="23"/>
      <c r="W908" s="23"/>
      <c r="X908" s="23"/>
      <c r="Y908" s="23"/>
      <c r="Z908" s="23"/>
      <c r="AA908" s="23"/>
      <c r="AB908" s="23"/>
      <c r="AC908" s="23"/>
      <c r="AD908" s="23"/>
      <c r="AE908" s="23"/>
    </row>
    <row r="909" spans="1:31">
      <c r="A909" s="23"/>
      <c r="B909" s="40"/>
      <c r="C909" s="40"/>
      <c r="D909" s="23"/>
      <c r="E909" s="23"/>
      <c r="F909" s="23"/>
      <c r="G909" s="23"/>
      <c r="H909" s="40"/>
      <c r="I909" s="40"/>
      <c r="J909" s="70"/>
      <c r="K909" s="23"/>
      <c r="L909" s="70"/>
      <c r="M909" s="70"/>
      <c r="N909" s="23"/>
      <c r="O909" s="23"/>
      <c r="P909" s="23"/>
      <c r="Q909" s="23"/>
      <c r="R909" s="72"/>
      <c r="S909" s="23"/>
      <c r="T909" s="23"/>
      <c r="U909" s="23"/>
      <c r="V909" s="23"/>
      <c r="W909" s="23"/>
      <c r="X909" s="23"/>
      <c r="Y909" s="23"/>
      <c r="Z909" s="23"/>
      <c r="AA909" s="23"/>
      <c r="AB909" s="23"/>
      <c r="AC909" s="23"/>
      <c r="AD909" s="23"/>
      <c r="AE909" s="23"/>
    </row>
    <row r="910" spans="1:31">
      <c r="A910" s="23"/>
      <c r="B910" s="40"/>
      <c r="C910" s="40"/>
      <c r="D910" s="23"/>
      <c r="E910" s="23"/>
      <c r="F910" s="23"/>
      <c r="G910" s="23"/>
      <c r="H910" s="40"/>
      <c r="I910" s="40"/>
      <c r="J910" s="70"/>
      <c r="K910" s="23"/>
      <c r="L910" s="70"/>
      <c r="M910" s="70"/>
      <c r="N910" s="23"/>
      <c r="O910" s="23"/>
      <c r="P910" s="23"/>
      <c r="Q910" s="23"/>
      <c r="R910" s="72"/>
      <c r="S910" s="23"/>
      <c r="T910" s="23"/>
      <c r="U910" s="23"/>
      <c r="V910" s="23"/>
      <c r="W910" s="23"/>
      <c r="X910" s="23"/>
      <c r="Y910" s="23"/>
      <c r="Z910" s="23"/>
      <c r="AA910" s="23"/>
      <c r="AB910" s="23"/>
      <c r="AC910" s="23"/>
      <c r="AD910" s="23"/>
      <c r="AE910" s="23"/>
    </row>
    <row r="911" spans="1:31" ht="24" customHeight="1">
      <c r="A911" s="23"/>
      <c r="B911" s="40"/>
      <c r="C911" s="40"/>
      <c r="D911" s="23"/>
      <c r="E911" s="23"/>
      <c r="F911" s="23"/>
      <c r="G911" s="23"/>
      <c r="H911" s="40"/>
      <c r="I911" s="40"/>
      <c r="J911" s="70"/>
      <c r="K911" s="23"/>
      <c r="L911" s="70"/>
      <c r="M911" s="70"/>
      <c r="N911" s="23"/>
      <c r="O911" s="23"/>
      <c r="P911" s="23"/>
      <c r="Q911" s="23"/>
      <c r="R911" s="72"/>
      <c r="S911" s="23"/>
      <c r="T911" s="23"/>
      <c r="U911" s="23"/>
      <c r="V911" s="23"/>
      <c r="W911" s="23"/>
      <c r="X911" s="23"/>
      <c r="Y911" s="23"/>
      <c r="Z911" s="23"/>
      <c r="AA911" s="23"/>
      <c r="AB911" s="23"/>
      <c r="AC911" s="23"/>
      <c r="AD911" s="23"/>
      <c r="AE911" s="23"/>
    </row>
    <row r="912" spans="1:31">
      <c r="A912" s="23"/>
      <c r="B912" s="40"/>
      <c r="C912" s="40"/>
      <c r="D912" s="23"/>
      <c r="E912" s="23"/>
      <c r="F912" s="23"/>
      <c r="G912" s="23"/>
      <c r="H912" s="40"/>
      <c r="I912" s="40"/>
      <c r="J912" s="70"/>
      <c r="K912" s="23"/>
      <c r="L912" s="70"/>
      <c r="M912" s="70"/>
      <c r="N912" s="23"/>
      <c r="O912" s="23"/>
      <c r="P912" s="23"/>
      <c r="Q912" s="23"/>
      <c r="R912" s="72"/>
      <c r="S912" s="23"/>
      <c r="T912" s="23"/>
      <c r="U912" s="23"/>
      <c r="V912" s="23"/>
      <c r="W912" s="23"/>
      <c r="X912" s="23"/>
      <c r="Y912" s="23"/>
      <c r="Z912" s="23"/>
      <c r="AA912" s="23"/>
      <c r="AB912" s="23"/>
      <c r="AC912" s="23"/>
      <c r="AD912" s="23"/>
      <c r="AE912" s="23"/>
    </row>
    <row r="913" spans="1:31">
      <c r="A913" s="23"/>
      <c r="B913" s="40"/>
      <c r="C913" s="40"/>
      <c r="D913" s="23"/>
      <c r="E913" s="23"/>
      <c r="F913" s="23"/>
      <c r="G913" s="23"/>
      <c r="H913" s="40"/>
      <c r="I913" s="40"/>
      <c r="J913" s="70"/>
      <c r="K913" s="23"/>
      <c r="L913" s="70"/>
      <c r="M913" s="70"/>
      <c r="N913" s="23"/>
      <c r="O913" s="23"/>
      <c r="P913" s="23"/>
      <c r="Q913" s="23"/>
      <c r="R913" s="72"/>
      <c r="S913" s="23"/>
      <c r="T913" s="23"/>
      <c r="U913" s="23"/>
      <c r="V913" s="23"/>
      <c r="W913" s="23"/>
      <c r="X913" s="23"/>
      <c r="Y913" s="23"/>
      <c r="Z913" s="23"/>
      <c r="AA913" s="23"/>
      <c r="AB913" s="23"/>
      <c r="AC913" s="23"/>
      <c r="AD913" s="23"/>
      <c r="AE913" s="23"/>
    </row>
    <row r="914" spans="1:31">
      <c r="A914" s="23"/>
      <c r="B914" s="40"/>
      <c r="C914" s="40"/>
      <c r="D914" s="23"/>
      <c r="E914" s="23"/>
      <c r="F914" s="23"/>
      <c r="G914" s="23"/>
      <c r="H914" s="40"/>
      <c r="I914" s="40"/>
      <c r="J914" s="70"/>
      <c r="K914" s="23"/>
      <c r="L914" s="70"/>
      <c r="M914" s="70"/>
      <c r="N914" s="23"/>
      <c r="O914" s="23"/>
      <c r="P914" s="23"/>
      <c r="Q914" s="23"/>
      <c r="R914" s="72"/>
      <c r="S914" s="23"/>
      <c r="T914" s="23"/>
      <c r="U914" s="23"/>
      <c r="V914" s="23"/>
      <c r="W914" s="23"/>
      <c r="X914" s="23"/>
      <c r="Y914" s="23"/>
      <c r="Z914" s="23"/>
      <c r="AA914" s="23"/>
      <c r="AB914" s="23"/>
      <c r="AC914" s="23"/>
      <c r="AD914" s="23"/>
      <c r="AE914" s="23"/>
    </row>
    <row r="915" spans="1:31">
      <c r="A915" s="23"/>
      <c r="B915" s="40"/>
      <c r="C915" s="40"/>
      <c r="D915" s="23"/>
      <c r="E915" s="23"/>
      <c r="F915" s="23"/>
      <c r="G915" s="23"/>
      <c r="H915" s="40"/>
      <c r="I915" s="40"/>
      <c r="J915" s="70"/>
      <c r="K915" s="23"/>
      <c r="L915" s="70"/>
      <c r="M915" s="70"/>
      <c r="N915" s="23"/>
      <c r="O915" s="23"/>
      <c r="P915" s="23"/>
      <c r="Q915" s="23"/>
      <c r="R915" s="72"/>
      <c r="S915" s="23"/>
      <c r="T915" s="23"/>
      <c r="U915" s="23"/>
      <c r="V915" s="23"/>
      <c r="W915" s="23"/>
      <c r="X915" s="23"/>
      <c r="Y915" s="23"/>
      <c r="Z915" s="23"/>
      <c r="AA915" s="23"/>
      <c r="AB915" s="23"/>
      <c r="AC915" s="23"/>
      <c r="AD915" s="23"/>
      <c r="AE915" s="23"/>
    </row>
    <row r="916" spans="1:31">
      <c r="A916" s="23"/>
      <c r="B916" s="40"/>
      <c r="C916" s="40"/>
      <c r="D916" s="23"/>
      <c r="E916" s="23"/>
      <c r="F916" s="23"/>
      <c r="G916" s="23"/>
      <c r="H916" s="40"/>
      <c r="I916" s="40"/>
      <c r="J916" s="70"/>
      <c r="K916" s="23"/>
      <c r="L916" s="70"/>
      <c r="M916" s="70"/>
      <c r="N916" s="23"/>
      <c r="O916" s="23"/>
      <c r="P916" s="23"/>
      <c r="Q916" s="23"/>
      <c r="R916" s="72"/>
      <c r="S916" s="23"/>
      <c r="T916" s="23"/>
      <c r="U916" s="23"/>
      <c r="V916" s="23"/>
      <c r="W916" s="23"/>
      <c r="X916" s="23"/>
      <c r="Y916" s="23"/>
      <c r="Z916" s="23"/>
      <c r="AA916" s="23"/>
      <c r="AB916" s="23"/>
      <c r="AC916" s="23"/>
      <c r="AD916" s="23"/>
      <c r="AE916" s="23"/>
    </row>
    <row r="917" spans="1:31">
      <c r="A917" s="23"/>
      <c r="B917" s="40"/>
      <c r="C917" s="40"/>
      <c r="D917" s="23"/>
      <c r="E917" s="23"/>
      <c r="F917" s="23"/>
      <c r="G917" s="23"/>
      <c r="H917" s="40"/>
      <c r="I917" s="40"/>
      <c r="J917" s="70"/>
      <c r="K917" s="23"/>
      <c r="L917" s="70"/>
      <c r="M917" s="70"/>
      <c r="N917" s="23"/>
      <c r="O917" s="23"/>
      <c r="P917" s="23"/>
      <c r="Q917" s="23"/>
      <c r="R917" s="72"/>
      <c r="S917" s="23"/>
      <c r="T917" s="23"/>
      <c r="U917" s="23"/>
      <c r="V917" s="23"/>
      <c r="W917" s="23"/>
      <c r="X917" s="23"/>
      <c r="Y917" s="23"/>
      <c r="Z917" s="23"/>
      <c r="AA917" s="23"/>
      <c r="AB917" s="23"/>
      <c r="AC917" s="23"/>
      <c r="AD917" s="23"/>
      <c r="AE917" s="23"/>
    </row>
    <row r="918" spans="1:31">
      <c r="A918" s="23"/>
      <c r="B918" s="40"/>
      <c r="C918" s="40"/>
      <c r="D918" s="23"/>
      <c r="E918" s="23"/>
      <c r="F918" s="23"/>
      <c r="G918" s="23"/>
      <c r="H918" s="40"/>
      <c r="I918" s="40"/>
      <c r="J918" s="70"/>
      <c r="K918" s="23"/>
      <c r="L918" s="70"/>
      <c r="M918" s="70"/>
      <c r="N918" s="23"/>
      <c r="O918" s="23"/>
      <c r="P918" s="23"/>
      <c r="Q918" s="23"/>
      <c r="R918" s="72"/>
      <c r="S918" s="23"/>
      <c r="T918" s="23"/>
      <c r="U918" s="23"/>
      <c r="V918" s="23"/>
      <c r="W918" s="23"/>
      <c r="X918" s="23"/>
      <c r="Y918" s="23"/>
      <c r="Z918" s="23"/>
      <c r="AA918" s="23"/>
      <c r="AB918" s="23"/>
      <c r="AC918" s="23"/>
      <c r="AD918" s="23"/>
      <c r="AE918" s="23"/>
    </row>
    <row r="919" spans="1:31">
      <c r="A919" s="23"/>
      <c r="B919" s="40"/>
      <c r="C919" s="40"/>
      <c r="D919" s="23"/>
      <c r="E919" s="23"/>
      <c r="F919" s="23"/>
      <c r="G919" s="23"/>
      <c r="H919" s="40"/>
      <c r="I919" s="40"/>
      <c r="J919" s="70"/>
      <c r="K919" s="23"/>
      <c r="L919" s="70"/>
      <c r="M919" s="70"/>
      <c r="N919" s="23"/>
      <c r="O919" s="23"/>
      <c r="P919" s="23"/>
      <c r="Q919" s="23"/>
      <c r="R919" s="72"/>
      <c r="S919" s="23"/>
      <c r="T919" s="23"/>
      <c r="U919" s="23"/>
      <c r="V919" s="23"/>
      <c r="W919" s="23"/>
      <c r="X919" s="23"/>
      <c r="Y919" s="23"/>
      <c r="Z919" s="23"/>
      <c r="AA919" s="23"/>
      <c r="AB919" s="23"/>
      <c r="AC919" s="23"/>
      <c r="AD919" s="23"/>
      <c r="AE919" s="23"/>
    </row>
    <row r="920" spans="1:31">
      <c r="A920" s="23"/>
      <c r="B920" s="40"/>
      <c r="C920" s="40"/>
      <c r="D920" s="23"/>
      <c r="E920" s="23"/>
      <c r="F920" s="23"/>
      <c r="G920" s="23"/>
      <c r="H920" s="40"/>
      <c r="I920" s="40"/>
      <c r="J920" s="70"/>
      <c r="K920" s="23"/>
      <c r="L920" s="70"/>
      <c r="M920" s="70"/>
      <c r="N920" s="23"/>
      <c r="O920" s="23"/>
      <c r="P920" s="23"/>
      <c r="Q920" s="23"/>
      <c r="R920" s="72"/>
      <c r="S920" s="23"/>
      <c r="T920" s="23"/>
      <c r="U920" s="23"/>
      <c r="V920" s="23"/>
      <c r="W920" s="23"/>
      <c r="X920" s="23"/>
      <c r="Y920" s="23"/>
      <c r="Z920" s="23"/>
      <c r="AA920" s="23"/>
      <c r="AB920" s="23"/>
      <c r="AC920" s="23"/>
      <c r="AD920" s="23"/>
      <c r="AE920" s="23"/>
    </row>
    <row r="921" spans="1:31">
      <c r="A921" s="23"/>
      <c r="B921" s="40"/>
      <c r="C921" s="40"/>
      <c r="D921" s="23"/>
      <c r="E921" s="23"/>
      <c r="F921" s="23"/>
      <c r="G921" s="23"/>
      <c r="H921" s="40"/>
      <c r="I921" s="40"/>
      <c r="J921" s="70"/>
      <c r="K921" s="23"/>
      <c r="L921" s="70"/>
      <c r="M921" s="70"/>
      <c r="N921" s="23"/>
      <c r="O921" s="23"/>
      <c r="P921" s="23"/>
      <c r="Q921" s="23"/>
      <c r="R921" s="72"/>
      <c r="S921" s="23"/>
      <c r="T921" s="23"/>
      <c r="U921" s="23"/>
      <c r="V921" s="23"/>
      <c r="W921" s="23"/>
      <c r="X921" s="23"/>
      <c r="Y921" s="23"/>
      <c r="Z921" s="23"/>
      <c r="AA921" s="23"/>
      <c r="AB921" s="23"/>
      <c r="AC921" s="23"/>
      <c r="AD921" s="23"/>
      <c r="AE921" s="23"/>
    </row>
    <row r="922" spans="1:31">
      <c r="A922" s="23"/>
      <c r="B922" s="40"/>
      <c r="C922" s="40"/>
      <c r="D922" s="23"/>
      <c r="E922" s="23"/>
      <c r="F922" s="23"/>
      <c r="G922" s="23"/>
      <c r="H922" s="23"/>
      <c r="I922" s="40"/>
      <c r="J922" s="70"/>
      <c r="K922" s="23"/>
      <c r="L922" s="70"/>
      <c r="M922" s="70"/>
      <c r="N922" s="23"/>
      <c r="O922" s="23"/>
      <c r="P922" s="23"/>
      <c r="Q922" s="23"/>
      <c r="R922" s="72"/>
      <c r="S922" s="23"/>
      <c r="T922" s="23"/>
      <c r="U922" s="23"/>
      <c r="V922" s="23"/>
      <c r="W922" s="23"/>
      <c r="X922" s="23"/>
      <c r="Y922" s="23"/>
      <c r="Z922" s="23"/>
      <c r="AA922" s="23"/>
      <c r="AB922" s="23"/>
      <c r="AC922" s="23"/>
      <c r="AD922" s="23"/>
      <c r="AE922" s="23"/>
    </row>
    <row r="923" spans="1:31">
      <c r="A923" s="23"/>
      <c r="B923" s="40"/>
      <c r="C923" s="40"/>
      <c r="D923" s="23"/>
      <c r="E923" s="23"/>
      <c r="F923" s="23"/>
      <c r="G923" s="23"/>
      <c r="H923" s="23"/>
      <c r="I923" s="40"/>
      <c r="J923" s="70"/>
      <c r="K923" s="23"/>
      <c r="L923" s="70"/>
      <c r="M923" s="70"/>
      <c r="N923" s="23"/>
      <c r="O923" s="23"/>
      <c r="P923" s="23"/>
      <c r="Q923" s="23"/>
      <c r="R923" s="72"/>
      <c r="S923" s="23"/>
      <c r="T923" s="23"/>
      <c r="U923" s="23"/>
      <c r="V923" s="23"/>
      <c r="W923" s="23"/>
      <c r="X923" s="23"/>
      <c r="Y923" s="23"/>
      <c r="Z923" s="23"/>
      <c r="AA923" s="23"/>
      <c r="AB923" s="23"/>
      <c r="AC923" s="23"/>
      <c r="AD923" s="23"/>
      <c r="AE923" s="23"/>
    </row>
    <row r="924" spans="1:31" ht="24" customHeight="1">
      <c r="A924" s="23"/>
      <c r="B924" s="40"/>
      <c r="C924" s="40"/>
      <c r="D924" s="23"/>
      <c r="E924" s="23"/>
      <c r="F924" s="23"/>
      <c r="G924" s="23"/>
      <c r="H924" s="40"/>
      <c r="I924" s="40"/>
      <c r="J924" s="70"/>
      <c r="K924" s="23"/>
      <c r="L924" s="70"/>
      <c r="M924" s="70"/>
      <c r="N924" s="23"/>
      <c r="O924" s="23"/>
      <c r="P924" s="23"/>
      <c r="Q924" s="23"/>
      <c r="R924" s="72"/>
      <c r="S924" s="23"/>
      <c r="T924" s="23"/>
      <c r="U924" s="23"/>
      <c r="V924" s="23"/>
      <c r="W924" s="23"/>
      <c r="X924" s="23"/>
      <c r="Y924" s="23"/>
      <c r="Z924" s="23"/>
      <c r="AA924" s="23"/>
      <c r="AB924" s="23"/>
      <c r="AC924" s="23"/>
      <c r="AD924" s="23"/>
      <c r="AE924" s="23"/>
    </row>
    <row r="925" spans="1:31">
      <c r="A925" s="23"/>
      <c r="B925" s="40"/>
      <c r="C925" s="40"/>
      <c r="D925" s="23"/>
      <c r="E925" s="23"/>
      <c r="F925" s="23"/>
      <c r="G925" s="23"/>
      <c r="H925" s="40"/>
      <c r="I925" s="40"/>
      <c r="J925" s="70"/>
      <c r="K925" s="23"/>
      <c r="L925" s="70"/>
      <c r="M925" s="70"/>
      <c r="N925" s="23"/>
      <c r="O925" s="23"/>
      <c r="P925" s="23"/>
      <c r="Q925" s="23"/>
      <c r="R925" s="72"/>
      <c r="S925" s="23"/>
      <c r="T925" s="23"/>
      <c r="U925" s="23"/>
      <c r="V925" s="23"/>
      <c r="W925" s="23"/>
      <c r="X925" s="23"/>
      <c r="Y925" s="23"/>
      <c r="Z925" s="23"/>
      <c r="AA925" s="23"/>
      <c r="AB925" s="23"/>
      <c r="AC925" s="23"/>
      <c r="AD925" s="23"/>
      <c r="AE925" s="23"/>
    </row>
    <row r="926" spans="1:31">
      <c r="A926" s="23"/>
      <c r="B926" s="40"/>
      <c r="C926" s="40"/>
      <c r="D926" s="23"/>
      <c r="E926" s="23"/>
      <c r="F926" s="23"/>
      <c r="G926" s="23"/>
      <c r="H926" s="40"/>
      <c r="I926" s="40"/>
      <c r="J926" s="70"/>
      <c r="K926" s="23"/>
      <c r="L926" s="70"/>
      <c r="M926" s="70"/>
      <c r="N926" s="23"/>
      <c r="O926" s="23"/>
      <c r="P926" s="23"/>
      <c r="Q926" s="23"/>
      <c r="R926" s="72"/>
      <c r="S926" s="23"/>
      <c r="T926" s="23"/>
      <c r="U926" s="23"/>
      <c r="V926" s="23"/>
      <c r="W926" s="23"/>
      <c r="X926" s="23"/>
      <c r="Y926" s="23"/>
      <c r="Z926" s="23"/>
      <c r="AA926" s="23"/>
      <c r="AB926" s="23"/>
      <c r="AC926" s="23"/>
      <c r="AD926" s="23"/>
      <c r="AE926" s="23"/>
    </row>
    <row r="927" spans="1:31">
      <c r="A927" s="23"/>
      <c r="B927" s="40"/>
      <c r="C927" s="40"/>
      <c r="D927" s="23"/>
      <c r="E927" s="23"/>
      <c r="F927" s="23"/>
      <c r="G927" s="23"/>
      <c r="H927" s="40"/>
      <c r="I927" s="40"/>
      <c r="J927" s="70"/>
      <c r="K927" s="23"/>
      <c r="L927" s="70"/>
      <c r="M927" s="70"/>
      <c r="N927" s="23"/>
      <c r="O927" s="23"/>
      <c r="P927" s="23"/>
      <c r="Q927" s="23"/>
      <c r="R927" s="72"/>
      <c r="S927" s="23"/>
      <c r="T927" s="23"/>
      <c r="U927" s="23"/>
      <c r="V927" s="23"/>
      <c r="W927" s="23"/>
      <c r="X927" s="23"/>
      <c r="Y927" s="23"/>
      <c r="Z927" s="23"/>
      <c r="AA927" s="23"/>
      <c r="AB927" s="23"/>
      <c r="AC927" s="23"/>
      <c r="AD927" s="23"/>
      <c r="AE927" s="23"/>
    </row>
    <row r="928" spans="1:31">
      <c r="A928" s="23"/>
      <c r="B928" s="40"/>
      <c r="C928" s="40"/>
      <c r="D928" s="23"/>
      <c r="E928" s="23"/>
      <c r="F928" s="23"/>
      <c r="G928" s="23"/>
      <c r="H928" s="40"/>
      <c r="I928" s="40"/>
      <c r="J928" s="70"/>
      <c r="K928" s="23"/>
      <c r="L928" s="70"/>
      <c r="M928" s="70"/>
      <c r="N928" s="23"/>
      <c r="O928" s="23"/>
      <c r="P928" s="23"/>
      <c r="Q928" s="23"/>
      <c r="R928" s="72"/>
      <c r="S928" s="23"/>
      <c r="T928" s="23"/>
      <c r="U928" s="23"/>
      <c r="V928" s="23"/>
      <c r="W928" s="23"/>
      <c r="X928" s="23"/>
      <c r="Y928" s="23"/>
      <c r="Z928" s="23"/>
      <c r="AA928" s="23"/>
      <c r="AB928" s="23"/>
      <c r="AC928" s="23"/>
      <c r="AD928" s="23"/>
      <c r="AE928" s="23"/>
    </row>
    <row r="929" spans="1:31">
      <c r="A929" s="23"/>
      <c r="B929" s="40"/>
      <c r="C929" s="40"/>
      <c r="D929" s="23"/>
      <c r="E929" s="23"/>
      <c r="F929" s="23"/>
      <c r="G929" s="23"/>
      <c r="H929" s="23"/>
      <c r="I929" s="40"/>
      <c r="J929" s="70"/>
      <c r="K929" s="23"/>
      <c r="L929" s="70"/>
      <c r="M929" s="70"/>
      <c r="N929" s="23"/>
      <c r="O929" s="23"/>
      <c r="P929" s="23"/>
      <c r="Q929" s="23"/>
      <c r="R929" s="72"/>
      <c r="S929" s="23"/>
      <c r="T929" s="23"/>
      <c r="U929" s="23"/>
      <c r="V929" s="23"/>
      <c r="W929" s="23"/>
      <c r="X929" s="23"/>
      <c r="Y929" s="23"/>
      <c r="Z929" s="23"/>
      <c r="AA929" s="23"/>
      <c r="AB929" s="23"/>
      <c r="AC929" s="23"/>
      <c r="AD929" s="23"/>
      <c r="AE929" s="23"/>
    </row>
    <row r="930" spans="1:31">
      <c r="A930" s="23"/>
      <c r="B930" s="40"/>
      <c r="C930" s="40"/>
      <c r="D930" s="23"/>
      <c r="E930" s="23"/>
      <c r="F930" s="23"/>
      <c r="G930" s="23"/>
      <c r="H930" s="23"/>
      <c r="I930" s="40"/>
      <c r="J930" s="70"/>
      <c r="K930" s="23"/>
      <c r="L930" s="70"/>
      <c r="M930" s="70"/>
      <c r="N930" s="23"/>
      <c r="O930" s="23"/>
      <c r="P930" s="23"/>
      <c r="Q930" s="23"/>
      <c r="R930" s="72"/>
      <c r="S930" s="23"/>
      <c r="T930" s="23"/>
      <c r="U930" s="23"/>
      <c r="V930" s="23"/>
      <c r="W930" s="23"/>
      <c r="X930" s="23"/>
      <c r="Y930" s="23"/>
      <c r="Z930" s="23"/>
      <c r="AA930" s="23"/>
      <c r="AB930" s="23"/>
      <c r="AC930" s="23"/>
      <c r="AD930" s="23"/>
      <c r="AE930" s="23"/>
    </row>
    <row r="931" spans="1:31" ht="24" customHeight="1">
      <c r="A931" s="23"/>
      <c r="B931" s="40"/>
      <c r="C931" s="40"/>
      <c r="D931" s="23"/>
      <c r="E931" s="23"/>
      <c r="F931" s="23"/>
      <c r="G931" s="23"/>
      <c r="H931" s="40"/>
      <c r="I931" s="40"/>
      <c r="J931" s="70"/>
      <c r="K931" s="23"/>
      <c r="L931" s="70"/>
      <c r="M931" s="70"/>
      <c r="N931" s="23"/>
      <c r="O931" s="23"/>
      <c r="P931" s="23"/>
      <c r="Q931" s="23"/>
      <c r="R931" s="72"/>
      <c r="S931" s="23"/>
      <c r="T931" s="23"/>
      <c r="U931" s="23"/>
      <c r="V931" s="23"/>
      <c r="W931" s="23"/>
      <c r="X931" s="23"/>
      <c r="Y931" s="23"/>
      <c r="Z931" s="23"/>
      <c r="AA931" s="23"/>
      <c r="AB931" s="23"/>
      <c r="AC931" s="23"/>
      <c r="AD931" s="23"/>
      <c r="AE931" s="23"/>
    </row>
    <row r="932" spans="1:31">
      <c r="A932" s="23"/>
      <c r="B932" s="40"/>
      <c r="C932" s="40"/>
      <c r="D932" s="23"/>
      <c r="E932" s="23"/>
      <c r="F932" s="23"/>
      <c r="G932" s="23"/>
      <c r="H932" s="40"/>
      <c r="I932" s="40"/>
      <c r="J932" s="70"/>
      <c r="K932" s="23"/>
      <c r="L932" s="70"/>
      <c r="M932" s="70"/>
      <c r="N932" s="23"/>
      <c r="O932" s="23"/>
      <c r="P932" s="23"/>
      <c r="Q932" s="23"/>
      <c r="R932" s="72"/>
      <c r="S932" s="23"/>
      <c r="T932" s="23"/>
      <c r="U932" s="23"/>
      <c r="V932" s="23"/>
      <c r="W932" s="23"/>
      <c r="X932" s="23"/>
      <c r="Y932" s="23"/>
      <c r="Z932" s="23"/>
      <c r="AA932" s="23"/>
      <c r="AB932" s="23"/>
      <c r="AC932" s="23"/>
      <c r="AD932" s="23"/>
      <c r="AE932" s="23"/>
    </row>
    <row r="933" spans="1:31">
      <c r="A933" s="23"/>
      <c r="B933" s="40"/>
      <c r="C933" s="40"/>
      <c r="D933" s="23"/>
      <c r="E933" s="23"/>
      <c r="F933" s="23"/>
      <c r="G933" s="23"/>
      <c r="H933" s="40"/>
      <c r="I933" s="40"/>
      <c r="J933" s="70"/>
      <c r="K933" s="23"/>
      <c r="L933" s="70"/>
      <c r="M933" s="70"/>
      <c r="N933" s="23"/>
      <c r="O933" s="23"/>
      <c r="P933" s="23"/>
      <c r="Q933" s="23"/>
      <c r="R933" s="72"/>
      <c r="S933" s="23"/>
      <c r="T933" s="23"/>
      <c r="U933" s="23"/>
      <c r="V933" s="23"/>
      <c r="W933" s="23"/>
      <c r="X933" s="23"/>
      <c r="Y933" s="23"/>
      <c r="Z933" s="23"/>
      <c r="AA933" s="23"/>
      <c r="AB933" s="23"/>
      <c r="AC933" s="23"/>
      <c r="AD933" s="23"/>
      <c r="AE933" s="23"/>
    </row>
    <row r="934" spans="1:31">
      <c r="A934" s="23"/>
      <c r="B934" s="40"/>
      <c r="C934" s="40"/>
      <c r="D934" s="23"/>
      <c r="E934" s="23"/>
      <c r="F934" s="23"/>
      <c r="G934" s="23"/>
      <c r="H934" s="40"/>
      <c r="I934" s="40"/>
      <c r="J934" s="70"/>
      <c r="K934" s="23"/>
      <c r="L934" s="70"/>
      <c r="M934" s="70"/>
      <c r="N934" s="23"/>
      <c r="O934" s="23"/>
      <c r="P934" s="23"/>
      <c r="Q934" s="23"/>
      <c r="R934" s="72"/>
      <c r="S934" s="23"/>
      <c r="T934" s="23"/>
      <c r="U934" s="23"/>
      <c r="V934" s="23"/>
      <c r="W934" s="23"/>
      <c r="X934" s="23"/>
      <c r="Y934" s="23"/>
      <c r="Z934" s="23"/>
      <c r="AA934" s="23"/>
      <c r="AB934" s="23"/>
      <c r="AC934" s="23"/>
      <c r="AD934" s="23"/>
      <c r="AE934" s="23"/>
    </row>
    <row r="935" spans="1:31">
      <c r="A935" s="23"/>
      <c r="B935" s="40"/>
      <c r="C935" s="40"/>
      <c r="D935" s="23"/>
      <c r="E935" s="23"/>
      <c r="F935" s="23"/>
      <c r="G935" s="23"/>
      <c r="H935" s="40"/>
      <c r="I935" s="40"/>
      <c r="J935" s="70"/>
      <c r="K935" s="23"/>
      <c r="L935" s="70"/>
      <c r="M935" s="70"/>
      <c r="N935" s="23"/>
      <c r="O935" s="23"/>
      <c r="P935" s="23"/>
      <c r="Q935" s="23"/>
      <c r="R935" s="72"/>
      <c r="S935" s="23"/>
      <c r="T935" s="23"/>
      <c r="U935" s="23"/>
      <c r="V935" s="23"/>
      <c r="W935" s="23"/>
      <c r="X935" s="23"/>
      <c r="Y935" s="23"/>
      <c r="Z935" s="23"/>
      <c r="AA935" s="23"/>
      <c r="AB935" s="23"/>
      <c r="AC935" s="23"/>
      <c r="AD935" s="23"/>
      <c r="AE935" s="23"/>
    </row>
    <row r="936" spans="1:31">
      <c r="A936" s="23"/>
      <c r="B936" s="40"/>
      <c r="C936" s="40"/>
      <c r="D936" s="23"/>
      <c r="E936" s="23"/>
      <c r="F936" s="23"/>
      <c r="G936" s="23"/>
      <c r="H936" s="40"/>
      <c r="I936" s="40"/>
      <c r="J936" s="70"/>
      <c r="K936" s="23"/>
      <c r="L936" s="70"/>
      <c r="M936" s="70"/>
      <c r="N936" s="23"/>
      <c r="O936" s="23"/>
      <c r="P936" s="23"/>
      <c r="Q936" s="23"/>
      <c r="R936" s="72"/>
      <c r="S936" s="23"/>
      <c r="T936" s="23"/>
      <c r="U936" s="23"/>
      <c r="V936" s="23"/>
      <c r="W936" s="23"/>
      <c r="X936" s="23"/>
      <c r="Y936" s="23"/>
      <c r="Z936" s="23"/>
      <c r="AA936" s="23"/>
      <c r="AB936" s="23"/>
      <c r="AC936" s="23"/>
      <c r="AD936" s="23"/>
      <c r="AE936" s="23"/>
    </row>
    <row r="937" spans="1:31">
      <c r="A937" s="23"/>
      <c r="B937" s="40"/>
      <c r="C937" s="40"/>
      <c r="D937" s="23"/>
      <c r="E937" s="23"/>
      <c r="F937" s="23"/>
      <c r="G937" s="23"/>
      <c r="H937" s="40"/>
      <c r="I937" s="40"/>
      <c r="J937" s="70"/>
      <c r="K937" s="23"/>
      <c r="L937" s="70"/>
      <c r="M937" s="70"/>
      <c r="N937" s="23"/>
      <c r="O937" s="23"/>
      <c r="P937" s="23"/>
      <c r="Q937" s="23"/>
      <c r="R937" s="72"/>
      <c r="S937" s="23"/>
      <c r="T937" s="23"/>
      <c r="U937" s="23"/>
      <c r="V937" s="23"/>
      <c r="W937" s="23"/>
      <c r="X937" s="23"/>
      <c r="Y937" s="23"/>
      <c r="Z937" s="23"/>
      <c r="AA937" s="23"/>
      <c r="AB937" s="23"/>
      <c r="AC937" s="23"/>
      <c r="AD937" s="23"/>
      <c r="AE937" s="23"/>
    </row>
    <row r="938" spans="1:31">
      <c r="A938" s="23"/>
      <c r="B938" s="40"/>
      <c r="C938" s="40"/>
      <c r="D938" s="23"/>
      <c r="E938" s="23"/>
      <c r="F938" s="23"/>
      <c r="G938" s="23"/>
      <c r="H938" s="23"/>
      <c r="I938" s="40"/>
      <c r="J938" s="70"/>
      <c r="K938" s="23"/>
      <c r="L938" s="70"/>
      <c r="M938" s="70"/>
      <c r="N938" s="23"/>
      <c r="O938" s="23"/>
      <c r="P938" s="23"/>
      <c r="Q938" s="23"/>
      <c r="R938" s="72"/>
      <c r="S938" s="23"/>
      <c r="T938" s="23"/>
      <c r="U938" s="23"/>
      <c r="V938" s="23"/>
      <c r="W938" s="23"/>
      <c r="X938" s="23"/>
      <c r="Y938" s="23"/>
      <c r="Z938" s="23"/>
      <c r="AA938" s="23"/>
      <c r="AB938" s="23"/>
      <c r="AC938" s="23"/>
      <c r="AD938" s="23"/>
      <c r="AE938" s="23"/>
    </row>
    <row r="939" spans="1:31">
      <c r="A939" s="23"/>
      <c r="B939" s="40"/>
      <c r="C939" s="40"/>
      <c r="D939" s="23"/>
      <c r="E939" s="23"/>
      <c r="F939" s="23"/>
      <c r="G939" s="23"/>
      <c r="H939" s="23"/>
      <c r="I939" s="40"/>
      <c r="J939" s="70"/>
      <c r="K939" s="23"/>
      <c r="L939" s="70"/>
      <c r="M939" s="70"/>
      <c r="N939" s="23"/>
      <c r="O939" s="23"/>
      <c r="P939" s="23"/>
      <c r="Q939" s="23"/>
      <c r="R939" s="72"/>
      <c r="S939" s="23"/>
      <c r="T939" s="23"/>
      <c r="U939" s="23"/>
      <c r="V939" s="23"/>
      <c r="W939" s="23"/>
      <c r="X939" s="23"/>
      <c r="Y939" s="23"/>
      <c r="Z939" s="23"/>
      <c r="AA939" s="23"/>
      <c r="AB939" s="23"/>
      <c r="AC939" s="23"/>
      <c r="AD939" s="23"/>
      <c r="AE939" s="23"/>
    </row>
    <row r="940" spans="1:31">
      <c r="A940" s="23"/>
      <c r="B940" s="40"/>
      <c r="C940" s="40"/>
      <c r="D940" s="23"/>
      <c r="E940" s="23"/>
      <c r="F940" s="23"/>
      <c r="G940" s="23"/>
      <c r="H940" s="23"/>
      <c r="I940" s="40"/>
      <c r="J940" s="70"/>
      <c r="K940" s="23"/>
      <c r="L940" s="70"/>
      <c r="M940" s="70"/>
      <c r="N940" s="23"/>
      <c r="O940" s="23"/>
      <c r="P940" s="23"/>
      <c r="Q940" s="23"/>
      <c r="R940" s="72"/>
      <c r="S940" s="23"/>
      <c r="T940" s="23"/>
      <c r="U940" s="23"/>
      <c r="V940" s="23"/>
      <c r="W940" s="23"/>
      <c r="X940" s="23"/>
      <c r="Y940" s="23"/>
      <c r="Z940" s="23"/>
      <c r="AA940" s="23"/>
      <c r="AB940" s="23"/>
      <c r="AC940" s="23"/>
      <c r="AD940" s="23"/>
      <c r="AE940" s="23"/>
    </row>
    <row r="941" spans="1:31">
      <c r="A941" s="23"/>
      <c r="B941" s="40"/>
      <c r="C941" s="40"/>
      <c r="D941" s="23"/>
      <c r="E941" s="23"/>
      <c r="F941" s="23"/>
      <c r="G941" s="23"/>
      <c r="H941" s="23"/>
      <c r="I941" s="40"/>
      <c r="J941" s="70"/>
      <c r="K941" s="23"/>
      <c r="L941" s="70"/>
      <c r="M941" s="70"/>
      <c r="N941" s="23"/>
      <c r="O941" s="23"/>
      <c r="P941" s="23"/>
      <c r="Q941" s="23"/>
      <c r="R941" s="72"/>
      <c r="S941" s="23"/>
      <c r="T941" s="23"/>
      <c r="U941" s="23"/>
      <c r="V941" s="23"/>
      <c r="W941" s="23"/>
      <c r="X941" s="23"/>
      <c r="Y941" s="23"/>
      <c r="Z941" s="23"/>
      <c r="AA941" s="23"/>
      <c r="AB941" s="23"/>
      <c r="AC941" s="23"/>
      <c r="AD941" s="23"/>
      <c r="AE941" s="23"/>
    </row>
    <row r="942" spans="1:31" ht="24" customHeight="1">
      <c r="A942" s="23"/>
      <c r="B942" s="40"/>
      <c r="C942" s="40"/>
      <c r="D942" s="23"/>
      <c r="E942" s="23"/>
      <c r="F942" s="23"/>
      <c r="G942" s="23"/>
      <c r="H942" s="40"/>
      <c r="I942" s="40"/>
      <c r="J942" s="70"/>
      <c r="K942" s="23"/>
      <c r="L942" s="70"/>
      <c r="M942" s="70"/>
      <c r="N942" s="23"/>
      <c r="O942" s="23"/>
      <c r="P942" s="23"/>
      <c r="Q942" s="23"/>
      <c r="R942" s="72"/>
      <c r="S942" s="23"/>
      <c r="T942" s="23"/>
      <c r="U942" s="23"/>
      <c r="V942" s="23"/>
      <c r="W942" s="23"/>
      <c r="X942" s="23"/>
      <c r="Y942" s="23"/>
      <c r="Z942" s="23"/>
      <c r="AA942" s="23"/>
      <c r="AB942" s="23"/>
      <c r="AC942" s="23"/>
      <c r="AD942" s="23"/>
      <c r="AE942" s="23"/>
    </row>
    <row r="943" spans="1:31">
      <c r="A943" s="23"/>
      <c r="B943" s="40"/>
      <c r="C943" s="40"/>
      <c r="D943" s="23"/>
      <c r="E943" s="23"/>
      <c r="F943" s="23"/>
      <c r="G943" s="23"/>
      <c r="H943" s="40"/>
      <c r="I943" s="40"/>
      <c r="J943" s="70"/>
      <c r="K943" s="23"/>
      <c r="L943" s="70"/>
      <c r="M943" s="70"/>
      <c r="N943" s="23"/>
      <c r="O943" s="23"/>
      <c r="P943" s="23"/>
      <c r="Q943" s="23"/>
      <c r="R943" s="72"/>
      <c r="S943" s="23"/>
      <c r="T943" s="23"/>
      <c r="U943" s="23"/>
      <c r="V943" s="23"/>
      <c r="W943" s="23"/>
      <c r="X943" s="23"/>
      <c r="Y943" s="23"/>
      <c r="Z943" s="23"/>
      <c r="AA943" s="23"/>
      <c r="AB943" s="23"/>
      <c r="AC943" s="23"/>
      <c r="AD943" s="23"/>
      <c r="AE943" s="23"/>
    </row>
    <row r="944" spans="1:31">
      <c r="A944" s="23"/>
      <c r="B944" s="40"/>
      <c r="C944" s="40"/>
      <c r="D944" s="23"/>
      <c r="E944" s="23"/>
      <c r="F944" s="23"/>
      <c r="G944" s="23"/>
      <c r="H944" s="40"/>
      <c r="I944" s="40"/>
      <c r="J944" s="70"/>
      <c r="K944" s="23"/>
      <c r="L944" s="70"/>
      <c r="M944" s="70"/>
      <c r="N944" s="23"/>
      <c r="O944" s="23"/>
      <c r="P944" s="23"/>
      <c r="Q944" s="23"/>
      <c r="R944" s="72"/>
      <c r="S944" s="23"/>
      <c r="T944" s="23"/>
      <c r="U944" s="23"/>
      <c r="V944" s="23"/>
      <c r="W944" s="23"/>
      <c r="X944" s="23"/>
      <c r="Y944" s="23"/>
      <c r="Z944" s="23"/>
      <c r="AA944" s="23"/>
      <c r="AB944" s="23"/>
      <c r="AC944" s="23"/>
      <c r="AD944" s="23"/>
      <c r="AE944" s="23"/>
    </row>
    <row r="945" spans="1:31">
      <c r="A945" s="23"/>
      <c r="B945" s="40"/>
      <c r="C945" s="40"/>
      <c r="D945" s="23"/>
      <c r="E945" s="23"/>
      <c r="F945" s="23"/>
      <c r="G945" s="23"/>
      <c r="H945" s="40"/>
      <c r="I945" s="40"/>
      <c r="J945" s="70"/>
      <c r="K945" s="23"/>
      <c r="L945" s="70"/>
      <c r="M945" s="70"/>
      <c r="N945" s="23"/>
      <c r="O945" s="23"/>
      <c r="P945" s="23"/>
      <c r="Q945" s="23"/>
      <c r="R945" s="72"/>
      <c r="S945" s="23"/>
      <c r="T945" s="23"/>
      <c r="U945" s="23"/>
      <c r="V945" s="23"/>
      <c r="W945" s="23"/>
      <c r="X945" s="23"/>
      <c r="Y945" s="23"/>
      <c r="Z945" s="23"/>
      <c r="AA945" s="23"/>
      <c r="AB945" s="23"/>
      <c r="AC945" s="23"/>
      <c r="AD945" s="23"/>
      <c r="AE945" s="23"/>
    </row>
    <row r="946" spans="1:31">
      <c r="A946" s="23"/>
      <c r="B946" s="40"/>
      <c r="C946" s="40"/>
      <c r="D946" s="23"/>
      <c r="E946" s="23"/>
      <c r="F946" s="23"/>
      <c r="G946" s="23"/>
      <c r="H946" s="40"/>
      <c r="I946" s="40"/>
      <c r="J946" s="70"/>
      <c r="K946" s="23"/>
      <c r="L946" s="70"/>
      <c r="M946" s="70"/>
      <c r="N946" s="23"/>
      <c r="O946" s="23"/>
      <c r="P946" s="23"/>
      <c r="Q946" s="23"/>
      <c r="R946" s="72"/>
      <c r="S946" s="23"/>
      <c r="T946" s="23"/>
      <c r="U946" s="23"/>
      <c r="V946" s="23"/>
      <c r="W946" s="23"/>
      <c r="X946" s="23"/>
      <c r="Y946" s="23"/>
      <c r="Z946" s="23"/>
      <c r="AA946" s="23"/>
      <c r="AB946" s="23"/>
      <c r="AC946" s="23"/>
      <c r="AD946" s="23"/>
      <c r="AE946" s="23"/>
    </row>
    <row r="947" spans="1:31">
      <c r="A947" s="23"/>
      <c r="B947" s="40"/>
      <c r="C947" s="40"/>
      <c r="D947" s="23"/>
      <c r="E947" s="23"/>
      <c r="F947" s="23"/>
      <c r="G947" s="23"/>
      <c r="H947" s="23"/>
      <c r="I947" s="40"/>
      <c r="J947" s="70"/>
      <c r="K947" s="23"/>
      <c r="L947" s="70"/>
      <c r="M947" s="70"/>
      <c r="N947" s="23"/>
      <c r="O947" s="23"/>
      <c r="P947" s="23"/>
      <c r="Q947" s="23"/>
      <c r="R947" s="72"/>
      <c r="S947" s="23"/>
      <c r="T947" s="23"/>
      <c r="U947" s="23"/>
      <c r="V947" s="23"/>
      <c r="W947" s="23"/>
      <c r="X947" s="23"/>
      <c r="Y947" s="23"/>
      <c r="Z947" s="23"/>
      <c r="AA947" s="23"/>
      <c r="AB947" s="23"/>
      <c r="AC947" s="23"/>
      <c r="AD947" s="23"/>
      <c r="AE947" s="23"/>
    </row>
    <row r="948" spans="1:31">
      <c r="A948" s="23"/>
      <c r="B948" s="40"/>
      <c r="C948" s="40"/>
      <c r="D948" s="23"/>
      <c r="E948" s="23"/>
      <c r="F948" s="23"/>
      <c r="G948" s="23"/>
      <c r="H948" s="23"/>
      <c r="I948" s="40"/>
      <c r="J948" s="70"/>
      <c r="K948" s="23"/>
      <c r="L948" s="70"/>
      <c r="M948" s="70"/>
      <c r="N948" s="23"/>
      <c r="O948" s="23"/>
      <c r="P948" s="23"/>
      <c r="Q948" s="23"/>
      <c r="R948" s="72"/>
      <c r="S948" s="23"/>
      <c r="T948" s="23"/>
      <c r="U948" s="23"/>
      <c r="V948" s="23"/>
      <c r="W948" s="23"/>
      <c r="X948" s="23"/>
      <c r="Y948" s="23"/>
      <c r="Z948" s="23"/>
      <c r="AA948" s="23"/>
      <c r="AB948" s="23"/>
      <c r="AC948" s="23"/>
      <c r="AD948" s="23"/>
      <c r="AE948" s="23"/>
    </row>
    <row r="949" spans="1:31" ht="24" customHeight="1">
      <c r="A949" s="23"/>
      <c r="B949" s="40"/>
      <c r="C949" s="40"/>
      <c r="D949" s="23"/>
      <c r="E949" s="23"/>
      <c r="F949" s="23"/>
      <c r="G949" s="23"/>
      <c r="H949" s="40"/>
      <c r="I949" s="40"/>
      <c r="J949" s="70"/>
      <c r="K949" s="23"/>
      <c r="L949" s="70"/>
      <c r="M949" s="70"/>
      <c r="N949" s="23"/>
      <c r="O949" s="23"/>
      <c r="P949" s="23"/>
      <c r="Q949" s="23"/>
      <c r="R949" s="72"/>
      <c r="S949" s="23"/>
      <c r="T949" s="23"/>
      <c r="U949" s="23"/>
      <c r="V949" s="23"/>
      <c r="W949" s="23"/>
      <c r="X949" s="23"/>
      <c r="Y949" s="23"/>
      <c r="Z949" s="23"/>
      <c r="AA949" s="23"/>
      <c r="AB949" s="23"/>
      <c r="AC949" s="23"/>
      <c r="AD949" s="23"/>
      <c r="AE949" s="23"/>
    </row>
    <row r="950" spans="1:31">
      <c r="A950" s="23"/>
      <c r="B950" s="40"/>
      <c r="C950" s="40"/>
      <c r="D950" s="23"/>
      <c r="E950" s="23"/>
      <c r="F950" s="23"/>
      <c r="G950" s="23"/>
      <c r="H950" s="40"/>
      <c r="I950" s="40"/>
      <c r="J950" s="70"/>
      <c r="K950" s="23"/>
      <c r="L950" s="70"/>
      <c r="M950" s="70"/>
      <c r="N950" s="23"/>
      <c r="O950" s="23"/>
      <c r="P950" s="23"/>
      <c r="Q950" s="23"/>
      <c r="R950" s="72"/>
      <c r="S950" s="23"/>
      <c r="T950" s="23"/>
      <c r="U950" s="23"/>
      <c r="V950" s="23"/>
      <c r="W950" s="23"/>
      <c r="X950" s="23"/>
      <c r="Y950" s="23"/>
      <c r="Z950" s="23"/>
      <c r="AA950" s="23"/>
      <c r="AB950" s="23"/>
      <c r="AC950" s="23"/>
      <c r="AD950" s="23"/>
      <c r="AE950" s="23"/>
    </row>
    <row r="951" spans="1:31">
      <c r="A951" s="23"/>
      <c r="B951" s="40"/>
      <c r="C951" s="40"/>
      <c r="D951" s="23"/>
      <c r="E951" s="23"/>
      <c r="F951" s="23"/>
      <c r="G951" s="23"/>
      <c r="H951" s="40"/>
      <c r="I951" s="40"/>
      <c r="J951" s="70"/>
      <c r="K951" s="23"/>
      <c r="L951" s="70"/>
      <c r="M951" s="70"/>
      <c r="N951" s="23"/>
      <c r="O951" s="23"/>
      <c r="P951" s="23"/>
      <c r="Q951" s="23"/>
      <c r="R951" s="72"/>
      <c r="S951" s="23"/>
      <c r="T951" s="23"/>
      <c r="U951" s="23"/>
      <c r="V951" s="23"/>
      <c r="W951" s="23"/>
      <c r="X951" s="23"/>
      <c r="Y951" s="23"/>
      <c r="Z951" s="23"/>
      <c r="AA951" s="23"/>
      <c r="AB951" s="23"/>
      <c r="AC951" s="23"/>
      <c r="AD951" s="23"/>
      <c r="AE951" s="23"/>
    </row>
    <row r="952" spans="1:31">
      <c r="A952" s="23"/>
      <c r="B952" s="40"/>
      <c r="C952" s="40"/>
      <c r="D952" s="23"/>
      <c r="E952" s="23"/>
      <c r="F952" s="23"/>
      <c r="G952" s="23"/>
      <c r="H952" s="40"/>
      <c r="I952" s="40"/>
      <c r="J952" s="70"/>
      <c r="K952" s="23"/>
      <c r="L952" s="70"/>
      <c r="M952" s="70"/>
      <c r="N952" s="23"/>
      <c r="O952" s="23"/>
      <c r="P952" s="23"/>
      <c r="Q952" s="23"/>
      <c r="R952" s="72"/>
      <c r="S952" s="23"/>
      <c r="T952" s="23"/>
      <c r="U952" s="23"/>
      <c r="V952" s="23"/>
      <c r="W952" s="23"/>
      <c r="X952" s="23"/>
      <c r="Y952" s="23"/>
      <c r="Z952" s="23"/>
      <c r="AA952" s="23"/>
      <c r="AB952" s="23"/>
      <c r="AC952" s="23"/>
      <c r="AD952" s="23"/>
      <c r="AE952" s="23"/>
    </row>
    <row r="953" spans="1:31">
      <c r="A953" s="23"/>
      <c r="B953" s="40"/>
      <c r="C953" s="40"/>
      <c r="D953" s="23"/>
      <c r="E953" s="23"/>
      <c r="F953" s="23"/>
      <c r="G953" s="23"/>
      <c r="H953" s="40"/>
      <c r="I953" s="40"/>
      <c r="J953" s="70"/>
      <c r="K953" s="23"/>
      <c r="L953" s="70"/>
      <c r="M953" s="70"/>
      <c r="N953" s="23"/>
      <c r="O953" s="23"/>
      <c r="P953" s="23"/>
      <c r="Q953" s="23"/>
      <c r="R953" s="72"/>
      <c r="S953" s="23"/>
      <c r="T953" s="23"/>
      <c r="U953" s="23"/>
      <c r="V953" s="23"/>
      <c r="W953" s="23"/>
      <c r="X953" s="23"/>
      <c r="Y953" s="23"/>
      <c r="Z953" s="23"/>
      <c r="AA953" s="23"/>
      <c r="AB953" s="23"/>
      <c r="AC953" s="23"/>
      <c r="AD953" s="23"/>
      <c r="AE953" s="23"/>
    </row>
    <row r="954" spans="1:31">
      <c r="A954" s="23"/>
      <c r="B954" s="40"/>
      <c r="C954" s="40"/>
      <c r="D954" s="23"/>
      <c r="E954" s="23"/>
      <c r="F954" s="23"/>
      <c r="G954" s="23"/>
      <c r="H954" s="40"/>
      <c r="I954" s="40"/>
      <c r="J954" s="70"/>
      <c r="K954" s="23"/>
      <c r="L954" s="70"/>
      <c r="M954" s="70"/>
      <c r="N954" s="23"/>
      <c r="O954" s="23"/>
      <c r="P954" s="23"/>
      <c r="Q954" s="23"/>
      <c r="R954" s="72"/>
      <c r="S954" s="23"/>
      <c r="T954" s="23"/>
      <c r="U954" s="23"/>
      <c r="V954" s="23"/>
      <c r="W954" s="23"/>
      <c r="X954" s="23"/>
      <c r="Y954" s="23"/>
      <c r="Z954" s="23"/>
      <c r="AA954" s="23"/>
      <c r="AB954" s="23"/>
      <c r="AC954" s="23"/>
      <c r="AD954" s="23"/>
      <c r="AE954" s="23"/>
    </row>
    <row r="955" spans="1:31">
      <c r="A955" s="23"/>
      <c r="B955" s="40"/>
      <c r="C955" s="40"/>
      <c r="D955" s="23"/>
      <c r="E955" s="23"/>
      <c r="F955" s="23"/>
      <c r="G955" s="23"/>
      <c r="H955" s="40"/>
      <c r="I955" s="40"/>
      <c r="J955" s="70"/>
      <c r="K955" s="23"/>
      <c r="L955" s="70"/>
      <c r="M955" s="70"/>
      <c r="N955" s="23"/>
      <c r="O955" s="23"/>
      <c r="P955" s="23"/>
      <c r="Q955" s="23"/>
      <c r="R955" s="72"/>
      <c r="S955" s="23"/>
      <c r="T955" s="23"/>
      <c r="U955" s="23"/>
      <c r="V955" s="23"/>
      <c r="W955" s="23"/>
      <c r="X955" s="23"/>
      <c r="Y955" s="23"/>
      <c r="Z955" s="23"/>
      <c r="AA955" s="23"/>
      <c r="AB955" s="23"/>
      <c r="AC955" s="23"/>
      <c r="AD955" s="23"/>
      <c r="AE955" s="23"/>
    </row>
    <row r="956" spans="1:31">
      <c r="A956" s="23"/>
      <c r="B956" s="40"/>
      <c r="C956" s="40"/>
      <c r="D956" s="23"/>
      <c r="E956" s="23"/>
      <c r="F956" s="23"/>
      <c r="G956" s="23"/>
      <c r="H956" s="23"/>
      <c r="I956" s="40"/>
      <c r="J956" s="70"/>
      <c r="K956" s="23"/>
      <c r="L956" s="70"/>
      <c r="M956" s="70"/>
      <c r="N956" s="23"/>
      <c r="O956" s="23"/>
      <c r="P956" s="23"/>
      <c r="Q956" s="23"/>
      <c r="R956" s="72"/>
      <c r="S956" s="23"/>
      <c r="T956" s="23"/>
      <c r="U956" s="23"/>
      <c r="V956" s="23"/>
      <c r="W956" s="23"/>
      <c r="X956" s="23"/>
      <c r="Y956" s="23"/>
      <c r="Z956" s="23"/>
      <c r="AA956" s="23"/>
      <c r="AB956" s="23"/>
      <c r="AC956" s="23"/>
      <c r="AD956" s="23"/>
      <c r="AE956" s="23"/>
    </row>
    <row r="957" spans="1:31">
      <c r="A957" s="23"/>
      <c r="B957" s="40"/>
      <c r="C957" s="40"/>
      <c r="D957" s="23"/>
      <c r="E957" s="23"/>
      <c r="F957" s="23"/>
      <c r="G957" s="23"/>
      <c r="H957" s="23"/>
      <c r="I957" s="40"/>
      <c r="J957" s="70"/>
      <c r="K957" s="23"/>
      <c r="L957" s="70"/>
      <c r="M957" s="70"/>
      <c r="N957" s="23"/>
      <c r="O957" s="23"/>
      <c r="P957" s="23"/>
      <c r="Q957" s="23"/>
      <c r="R957" s="72"/>
      <c r="S957" s="23"/>
      <c r="T957" s="23"/>
      <c r="U957" s="23"/>
      <c r="V957" s="23"/>
      <c r="W957" s="23"/>
      <c r="X957" s="23"/>
      <c r="Y957" s="23"/>
      <c r="Z957" s="23"/>
      <c r="AA957" s="23"/>
      <c r="AB957" s="23"/>
      <c r="AC957" s="23"/>
      <c r="AD957" s="23"/>
      <c r="AE957" s="23"/>
    </row>
    <row r="958" spans="1:31">
      <c r="A958" s="23"/>
      <c r="B958" s="40"/>
      <c r="C958" s="40"/>
      <c r="D958" s="23"/>
      <c r="E958" s="23"/>
      <c r="F958" s="23"/>
      <c r="G958" s="23"/>
      <c r="H958" s="23"/>
      <c r="I958" s="40"/>
      <c r="J958" s="70"/>
      <c r="K958" s="23"/>
      <c r="L958" s="70"/>
      <c r="M958" s="70"/>
      <c r="N958" s="23"/>
      <c r="O958" s="23"/>
      <c r="P958" s="23"/>
      <c r="Q958" s="23"/>
      <c r="R958" s="72"/>
      <c r="S958" s="23"/>
      <c r="T958" s="23"/>
      <c r="U958" s="23"/>
      <c r="V958" s="23"/>
      <c r="W958" s="23"/>
      <c r="X958" s="23"/>
      <c r="Y958" s="23"/>
      <c r="Z958" s="23"/>
      <c r="AA958" s="23"/>
      <c r="AB958" s="23"/>
      <c r="AC958" s="23"/>
      <c r="AD958" s="23"/>
      <c r="AE958" s="23"/>
    </row>
    <row r="959" spans="1:31">
      <c r="A959" s="23"/>
      <c r="B959" s="40"/>
      <c r="C959" s="40"/>
      <c r="D959" s="23"/>
      <c r="E959" s="23"/>
      <c r="F959" s="23"/>
      <c r="G959" s="23"/>
      <c r="H959" s="23"/>
      <c r="I959" s="40"/>
      <c r="J959" s="70"/>
      <c r="K959" s="23"/>
      <c r="L959" s="70"/>
      <c r="M959" s="70"/>
      <c r="N959" s="23"/>
      <c r="O959" s="23"/>
      <c r="P959" s="23"/>
      <c r="Q959" s="23"/>
      <c r="R959" s="72"/>
      <c r="S959" s="23"/>
      <c r="T959" s="23"/>
      <c r="U959" s="23"/>
      <c r="V959" s="23"/>
      <c r="W959" s="23"/>
      <c r="X959" s="23"/>
      <c r="Y959" s="23"/>
      <c r="Z959" s="23"/>
      <c r="AA959" s="23"/>
      <c r="AB959" s="23"/>
      <c r="AC959" s="23"/>
      <c r="AD959" s="23"/>
      <c r="AE959" s="23"/>
    </row>
    <row r="960" spans="1:31">
      <c r="A960" s="23"/>
      <c r="B960" s="40"/>
      <c r="C960" s="40"/>
      <c r="D960" s="23"/>
      <c r="E960" s="23"/>
      <c r="F960" s="23"/>
      <c r="G960" s="23"/>
      <c r="H960" s="23"/>
      <c r="I960" s="40"/>
      <c r="J960" s="70"/>
      <c r="K960" s="23"/>
      <c r="L960" s="70"/>
      <c r="M960" s="70"/>
      <c r="N960" s="23"/>
      <c r="O960" s="23"/>
      <c r="P960" s="23"/>
      <c r="Q960" s="23"/>
      <c r="R960" s="72"/>
      <c r="S960" s="23"/>
      <c r="T960" s="23"/>
      <c r="U960" s="23"/>
      <c r="V960" s="23"/>
      <c r="W960" s="23"/>
      <c r="X960" s="23"/>
      <c r="Y960" s="23"/>
      <c r="Z960" s="23"/>
      <c r="AA960" s="23"/>
      <c r="AB960" s="23"/>
      <c r="AC960" s="23"/>
      <c r="AD960" s="23"/>
      <c r="AE960" s="23"/>
    </row>
    <row r="961" spans="1:31">
      <c r="A961" s="23"/>
      <c r="B961" s="40"/>
      <c r="C961" s="40"/>
      <c r="D961" s="23"/>
      <c r="E961" s="23"/>
      <c r="F961" s="23"/>
      <c r="G961" s="23"/>
      <c r="H961" s="23"/>
      <c r="I961" s="40"/>
      <c r="J961" s="70"/>
      <c r="K961" s="23"/>
      <c r="L961" s="70"/>
      <c r="M961" s="70"/>
      <c r="N961" s="23"/>
      <c r="O961" s="23"/>
      <c r="P961" s="23"/>
      <c r="Q961" s="23"/>
      <c r="R961" s="72"/>
      <c r="S961" s="23"/>
      <c r="T961" s="23"/>
      <c r="U961" s="23"/>
      <c r="V961" s="23"/>
      <c r="W961" s="23"/>
      <c r="X961" s="23"/>
      <c r="Y961" s="23"/>
      <c r="Z961" s="23"/>
      <c r="AA961" s="23"/>
      <c r="AB961" s="23"/>
      <c r="AC961" s="23"/>
      <c r="AD961" s="23"/>
      <c r="AE961" s="23"/>
    </row>
    <row r="962" spans="1:31">
      <c r="A962" s="23"/>
      <c r="B962" s="40"/>
      <c r="C962" s="40"/>
      <c r="D962" s="23"/>
      <c r="E962" s="23"/>
      <c r="F962" s="23"/>
      <c r="G962" s="23"/>
      <c r="H962" s="23"/>
      <c r="I962" s="40"/>
      <c r="J962" s="70"/>
      <c r="K962" s="23"/>
      <c r="L962" s="70"/>
      <c r="M962" s="70"/>
      <c r="N962" s="23"/>
      <c r="O962" s="23"/>
      <c r="P962" s="23"/>
      <c r="Q962" s="23"/>
      <c r="R962" s="72"/>
      <c r="S962" s="23"/>
      <c r="T962" s="23"/>
      <c r="U962" s="23"/>
      <c r="V962" s="23"/>
      <c r="W962" s="23"/>
      <c r="X962" s="23"/>
      <c r="Y962" s="23"/>
      <c r="Z962" s="23"/>
      <c r="AA962" s="23"/>
      <c r="AB962" s="23"/>
      <c r="AC962" s="23"/>
      <c r="AD962" s="23"/>
      <c r="AE962" s="23"/>
    </row>
    <row r="963" spans="1:31">
      <c r="A963" s="23"/>
      <c r="B963" s="40"/>
      <c r="C963" s="40"/>
      <c r="D963" s="23"/>
      <c r="E963" s="23"/>
      <c r="F963" s="23"/>
      <c r="G963" s="23"/>
      <c r="H963" s="23"/>
      <c r="I963" s="40"/>
      <c r="J963" s="70"/>
      <c r="K963" s="23"/>
      <c r="L963" s="70"/>
      <c r="M963" s="70"/>
      <c r="N963" s="23"/>
      <c r="O963" s="23"/>
      <c r="P963" s="23"/>
      <c r="Q963" s="23"/>
      <c r="R963" s="72"/>
      <c r="S963" s="23"/>
      <c r="T963" s="23"/>
      <c r="U963" s="23"/>
      <c r="V963" s="23"/>
      <c r="W963" s="23"/>
      <c r="X963" s="23"/>
      <c r="Y963" s="23"/>
      <c r="Z963" s="23"/>
      <c r="AA963" s="23"/>
      <c r="AB963" s="23"/>
      <c r="AC963" s="23"/>
      <c r="AD963" s="23"/>
      <c r="AE963" s="23"/>
    </row>
    <row r="964" spans="1:31">
      <c r="A964" s="23"/>
      <c r="B964" s="40"/>
      <c r="C964" s="40"/>
      <c r="D964" s="23"/>
      <c r="E964" s="23"/>
      <c r="F964" s="23"/>
      <c r="G964" s="23"/>
      <c r="H964" s="23"/>
      <c r="I964" s="40"/>
      <c r="J964" s="70"/>
      <c r="K964" s="23"/>
      <c r="L964" s="70"/>
      <c r="M964" s="70"/>
      <c r="N964" s="23"/>
      <c r="O964" s="23"/>
      <c r="P964" s="23"/>
      <c r="Q964" s="23"/>
      <c r="R964" s="72"/>
      <c r="S964" s="23"/>
      <c r="T964" s="23"/>
      <c r="U964" s="23"/>
      <c r="V964" s="23"/>
      <c r="W964" s="23"/>
      <c r="X964" s="23"/>
      <c r="Y964" s="23"/>
      <c r="Z964" s="23"/>
      <c r="AA964" s="23"/>
      <c r="AB964" s="23"/>
      <c r="AC964" s="23"/>
      <c r="AD964" s="23"/>
      <c r="AE964" s="23"/>
    </row>
    <row r="965" spans="1:31">
      <c r="A965" s="23"/>
      <c r="B965" s="40"/>
      <c r="C965" s="40"/>
      <c r="D965" s="23"/>
      <c r="E965" s="23"/>
      <c r="F965" s="23"/>
      <c r="G965" s="23"/>
      <c r="H965" s="23"/>
      <c r="I965" s="40"/>
      <c r="J965" s="70"/>
      <c r="K965" s="23"/>
      <c r="L965" s="70"/>
      <c r="M965" s="70"/>
      <c r="N965" s="23"/>
      <c r="O965" s="23"/>
      <c r="P965" s="23"/>
      <c r="Q965" s="23"/>
      <c r="R965" s="72"/>
      <c r="S965" s="23"/>
      <c r="T965" s="23"/>
      <c r="U965" s="23"/>
      <c r="V965" s="23"/>
      <c r="W965" s="23"/>
      <c r="X965" s="23"/>
      <c r="Y965" s="23"/>
      <c r="Z965" s="23"/>
      <c r="AA965" s="23"/>
      <c r="AB965" s="23"/>
      <c r="AC965" s="23"/>
      <c r="AD965" s="23"/>
      <c r="AE965" s="23"/>
    </row>
    <row r="966" spans="1:31">
      <c r="A966" s="23"/>
      <c r="B966" s="40"/>
      <c r="C966" s="40"/>
      <c r="D966" s="23"/>
      <c r="E966" s="23"/>
      <c r="F966" s="23"/>
      <c r="G966" s="23"/>
      <c r="H966" s="23"/>
      <c r="I966" s="40"/>
      <c r="J966" s="70"/>
      <c r="K966" s="23"/>
      <c r="L966" s="70"/>
      <c r="M966" s="70"/>
      <c r="N966" s="23"/>
      <c r="O966" s="23"/>
      <c r="P966" s="23"/>
      <c r="Q966" s="23"/>
      <c r="R966" s="72"/>
      <c r="S966" s="23"/>
      <c r="T966" s="23"/>
      <c r="U966" s="23"/>
      <c r="V966" s="23"/>
      <c r="W966" s="23"/>
      <c r="X966" s="23"/>
      <c r="Y966" s="23"/>
      <c r="Z966" s="23"/>
      <c r="AA966" s="23"/>
      <c r="AB966" s="23"/>
      <c r="AC966" s="23"/>
      <c r="AD966" s="23"/>
      <c r="AE966" s="23"/>
    </row>
    <row r="967" spans="1:31">
      <c r="A967" s="23"/>
      <c r="B967" s="40"/>
      <c r="C967" s="40"/>
      <c r="D967" s="23"/>
      <c r="E967" s="23"/>
      <c r="F967" s="23"/>
      <c r="G967" s="23"/>
      <c r="H967" s="23"/>
      <c r="I967" s="40"/>
      <c r="J967" s="70"/>
      <c r="K967" s="23"/>
      <c r="L967" s="70"/>
      <c r="M967" s="70"/>
      <c r="N967" s="23"/>
      <c r="O967" s="23"/>
      <c r="P967" s="23"/>
      <c r="Q967" s="23"/>
      <c r="R967" s="72"/>
      <c r="S967" s="23"/>
      <c r="T967" s="23"/>
      <c r="U967" s="23"/>
      <c r="V967" s="23"/>
      <c r="W967" s="23"/>
      <c r="X967" s="23"/>
      <c r="Y967" s="23"/>
      <c r="Z967" s="23"/>
      <c r="AA967" s="23"/>
      <c r="AB967" s="23"/>
      <c r="AC967" s="23"/>
      <c r="AD967" s="23"/>
      <c r="AE967" s="23"/>
    </row>
    <row r="968" spans="1:31">
      <c r="A968" s="23"/>
      <c r="B968" s="40"/>
      <c r="C968" s="40"/>
      <c r="D968" s="23"/>
      <c r="E968" s="23"/>
      <c r="F968" s="23"/>
      <c r="G968" s="23"/>
      <c r="H968" s="23"/>
      <c r="I968" s="40"/>
      <c r="J968" s="70"/>
      <c r="K968" s="23"/>
      <c r="L968" s="70"/>
      <c r="M968" s="70"/>
      <c r="N968" s="23"/>
      <c r="O968" s="23"/>
      <c r="P968" s="23"/>
      <c r="Q968" s="23"/>
      <c r="R968" s="72"/>
      <c r="S968" s="23"/>
      <c r="T968" s="23"/>
      <c r="U968" s="23"/>
      <c r="V968" s="23"/>
      <c r="W968" s="23"/>
      <c r="X968" s="23"/>
      <c r="Y968" s="23"/>
      <c r="Z968" s="23"/>
      <c r="AA968" s="23"/>
      <c r="AB968" s="23"/>
      <c r="AC968" s="23"/>
      <c r="AD968" s="23"/>
      <c r="AE968" s="23"/>
    </row>
    <row r="969" spans="1:31">
      <c r="A969" s="23"/>
      <c r="B969" s="40"/>
      <c r="C969" s="40"/>
      <c r="D969" s="23"/>
      <c r="E969" s="23"/>
      <c r="F969" s="23"/>
      <c r="G969" s="23"/>
      <c r="H969" s="23"/>
      <c r="I969" s="40"/>
      <c r="J969" s="70"/>
      <c r="K969" s="23"/>
      <c r="L969" s="70"/>
      <c r="M969" s="70"/>
      <c r="N969" s="23"/>
      <c r="O969" s="23"/>
      <c r="P969" s="23"/>
      <c r="Q969" s="23"/>
      <c r="R969" s="72"/>
      <c r="S969" s="23"/>
      <c r="T969" s="23"/>
      <c r="U969" s="23"/>
      <c r="V969" s="23"/>
      <c r="W969" s="23"/>
      <c r="X969" s="23"/>
      <c r="Y969" s="23"/>
      <c r="Z969" s="23"/>
      <c r="AA969" s="23"/>
      <c r="AB969" s="23"/>
      <c r="AC969" s="23"/>
      <c r="AD969" s="23"/>
      <c r="AE969" s="23"/>
    </row>
    <row r="970" spans="1:31" ht="24" customHeight="1">
      <c r="A970" s="23"/>
      <c r="B970" s="40"/>
      <c r="C970" s="40"/>
      <c r="D970" s="23"/>
      <c r="E970" s="23"/>
      <c r="F970" s="23"/>
      <c r="G970" s="23"/>
      <c r="H970" s="40"/>
      <c r="I970" s="40"/>
      <c r="J970" s="70"/>
      <c r="K970" s="23"/>
      <c r="L970" s="70"/>
      <c r="M970" s="70"/>
      <c r="N970" s="23"/>
      <c r="O970" s="23"/>
      <c r="P970" s="23"/>
      <c r="Q970" s="23"/>
      <c r="R970" s="72"/>
      <c r="S970" s="23"/>
      <c r="T970" s="23"/>
      <c r="U970" s="23"/>
      <c r="V970" s="23"/>
      <c r="W970" s="23"/>
      <c r="X970" s="23"/>
      <c r="Y970" s="23"/>
      <c r="Z970" s="23"/>
      <c r="AA970" s="23"/>
      <c r="AB970" s="23"/>
      <c r="AC970" s="23"/>
      <c r="AD970" s="23"/>
      <c r="AE970" s="23"/>
    </row>
    <row r="971" spans="1:31">
      <c r="A971" s="23"/>
      <c r="B971" s="40"/>
      <c r="C971" s="40"/>
      <c r="D971" s="23"/>
      <c r="E971" s="23"/>
      <c r="F971" s="23"/>
      <c r="G971" s="23"/>
      <c r="H971" s="40"/>
      <c r="I971" s="40"/>
      <c r="J971" s="70"/>
      <c r="K971" s="23"/>
      <c r="L971" s="70"/>
      <c r="M971" s="70"/>
      <c r="N971" s="23"/>
      <c r="O971" s="23"/>
      <c r="P971" s="23"/>
      <c r="Q971" s="23"/>
      <c r="R971" s="72"/>
      <c r="S971" s="23"/>
      <c r="T971" s="23"/>
      <c r="U971" s="23"/>
      <c r="V971" s="23"/>
      <c r="W971" s="23"/>
      <c r="X971" s="23"/>
      <c r="Y971" s="23"/>
      <c r="Z971" s="23"/>
      <c r="AA971" s="23"/>
      <c r="AB971" s="23"/>
      <c r="AC971" s="23"/>
      <c r="AD971" s="23"/>
      <c r="AE971" s="23"/>
    </row>
    <row r="972" spans="1:31">
      <c r="A972" s="23"/>
      <c r="B972" s="40"/>
      <c r="C972" s="40"/>
      <c r="D972" s="23"/>
      <c r="E972" s="23"/>
      <c r="F972" s="23"/>
      <c r="G972" s="23"/>
      <c r="H972" s="40"/>
      <c r="I972" s="40"/>
      <c r="J972" s="70"/>
      <c r="K972" s="23"/>
      <c r="L972" s="70"/>
      <c r="M972" s="70"/>
      <c r="N972" s="23"/>
      <c r="O972" s="23"/>
      <c r="P972" s="23"/>
      <c r="Q972" s="23"/>
      <c r="R972" s="72"/>
      <c r="S972" s="23"/>
      <c r="T972" s="23"/>
      <c r="U972" s="23"/>
      <c r="V972" s="23"/>
      <c r="W972" s="23"/>
      <c r="X972" s="23"/>
      <c r="Y972" s="23"/>
      <c r="Z972" s="23"/>
      <c r="AA972" s="23"/>
      <c r="AB972" s="23"/>
      <c r="AC972" s="23"/>
      <c r="AD972" s="23"/>
      <c r="AE972" s="23"/>
    </row>
    <row r="973" spans="1:31">
      <c r="A973" s="23"/>
      <c r="B973" s="40"/>
      <c r="C973" s="40"/>
      <c r="D973" s="23"/>
      <c r="E973" s="23"/>
      <c r="F973" s="23"/>
      <c r="G973" s="23"/>
      <c r="H973" s="40"/>
      <c r="I973" s="40"/>
      <c r="J973" s="70"/>
      <c r="K973" s="23"/>
      <c r="L973" s="70"/>
      <c r="M973" s="70"/>
      <c r="N973" s="23"/>
      <c r="O973" s="23"/>
      <c r="P973" s="23"/>
      <c r="Q973" s="23"/>
      <c r="R973" s="72"/>
      <c r="S973" s="23"/>
      <c r="T973" s="23"/>
      <c r="U973" s="23"/>
      <c r="V973" s="23"/>
      <c r="W973" s="23"/>
      <c r="X973" s="23"/>
      <c r="Y973" s="23"/>
      <c r="Z973" s="23"/>
      <c r="AA973" s="23"/>
      <c r="AB973" s="23"/>
      <c r="AC973" s="23"/>
      <c r="AD973" s="23"/>
      <c r="AE973" s="23"/>
    </row>
    <row r="974" spans="1:31">
      <c r="A974" s="23"/>
      <c r="B974" s="40"/>
      <c r="C974" s="40"/>
      <c r="D974" s="23"/>
      <c r="E974" s="23"/>
      <c r="F974" s="23"/>
      <c r="G974" s="23"/>
      <c r="H974" s="40"/>
      <c r="I974" s="40"/>
      <c r="J974" s="70"/>
      <c r="K974" s="23"/>
      <c r="L974" s="70"/>
      <c r="M974" s="70"/>
      <c r="N974" s="23"/>
      <c r="O974" s="23"/>
      <c r="P974" s="23"/>
      <c r="Q974" s="23"/>
      <c r="R974" s="72"/>
      <c r="S974" s="23"/>
      <c r="T974" s="23"/>
      <c r="U974" s="23"/>
      <c r="V974" s="23"/>
      <c r="W974" s="23"/>
      <c r="X974" s="23"/>
      <c r="Y974" s="23"/>
      <c r="Z974" s="23"/>
      <c r="AA974" s="23"/>
      <c r="AB974" s="23"/>
      <c r="AC974" s="23"/>
      <c r="AD974" s="23"/>
      <c r="AE974" s="23"/>
    </row>
    <row r="975" spans="1:31">
      <c r="A975" s="23"/>
      <c r="B975" s="40"/>
      <c r="C975" s="40"/>
      <c r="D975" s="23"/>
      <c r="E975" s="23"/>
      <c r="F975" s="23"/>
      <c r="G975" s="23"/>
      <c r="H975" s="23"/>
      <c r="I975" s="40"/>
      <c r="J975" s="70"/>
      <c r="K975" s="23"/>
      <c r="L975" s="70"/>
      <c r="M975" s="70"/>
      <c r="N975" s="23"/>
      <c r="O975" s="23"/>
      <c r="P975" s="23"/>
      <c r="Q975" s="23"/>
      <c r="R975" s="72"/>
      <c r="S975" s="23"/>
      <c r="T975" s="23"/>
      <c r="U975" s="23"/>
      <c r="V975" s="23"/>
      <c r="W975" s="23"/>
      <c r="X975" s="23"/>
      <c r="Y975" s="23"/>
      <c r="Z975" s="23"/>
      <c r="AA975" s="23"/>
      <c r="AB975" s="23"/>
      <c r="AC975" s="23"/>
      <c r="AD975" s="23"/>
      <c r="AE975" s="23"/>
    </row>
    <row r="976" spans="1:31">
      <c r="A976" s="23"/>
      <c r="B976" s="40"/>
      <c r="C976" s="40"/>
      <c r="D976" s="23"/>
      <c r="E976" s="23"/>
      <c r="F976" s="23"/>
      <c r="G976" s="23"/>
      <c r="H976" s="23"/>
      <c r="I976" s="40"/>
      <c r="J976" s="70"/>
      <c r="K976" s="23"/>
      <c r="L976" s="70"/>
      <c r="M976" s="70"/>
      <c r="N976" s="23"/>
      <c r="O976" s="23"/>
      <c r="P976" s="23"/>
      <c r="Q976" s="23"/>
      <c r="R976" s="72"/>
      <c r="S976" s="23"/>
      <c r="T976" s="23"/>
      <c r="U976" s="23"/>
      <c r="V976" s="23"/>
      <c r="W976" s="23"/>
      <c r="X976" s="23"/>
      <c r="Y976" s="23"/>
      <c r="Z976" s="23"/>
      <c r="AA976" s="23"/>
      <c r="AB976" s="23"/>
      <c r="AC976" s="23"/>
      <c r="AD976" s="23"/>
      <c r="AE976" s="23"/>
    </row>
    <row r="977" spans="1:31" ht="24" customHeight="1">
      <c r="A977" s="23"/>
      <c r="B977" s="40"/>
      <c r="C977" s="40"/>
      <c r="D977" s="23"/>
      <c r="E977" s="23"/>
      <c r="F977" s="23"/>
      <c r="G977" s="23"/>
      <c r="H977" s="40"/>
      <c r="I977" s="40"/>
      <c r="J977" s="70"/>
      <c r="K977" s="23"/>
      <c r="L977" s="70"/>
      <c r="M977" s="70"/>
      <c r="N977" s="23"/>
      <c r="O977" s="23"/>
      <c r="P977" s="23"/>
      <c r="Q977" s="23"/>
      <c r="R977" s="72"/>
      <c r="S977" s="23"/>
      <c r="T977" s="23"/>
      <c r="U977" s="23"/>
      <c r="V977" s="23"/>
      <c r="W977" s="23"/>
      <c r="X977" s="23"/>
      <c r="Y977" s="23"/>
      <c r="Z977" s="23"/>
      <c r="AA977" s="23"/>
      <c r="AB977" s="23"/>
      <c r="AC977" s="23"/>
      <c r="AD977" s="23"/>
      <c r="AE977" s="23"/>
    </row>
    <row r="978" spans="1:31">
      <c r="A978" s="23"/>
      <c r="B978" s="40"/>
      <c r="C978" s="40"/>
      <c r="D978" s="23"/>
      <c r="E978" s="23"/>
      <c r="F978" s="23"/>
      <c r="G978" s="23"/>
      <c r="H978" s="40"/>
      <c r="I978" s="40"/>
      <c r="J978" s="70"/>
      <c r="K978" s="23"/>
      <c r="L978" s="70"/>
      <c r="M978" s="70"/>
      <c r="N978" s="23"/>
      <c r="O978" s="23"/>
      <c r="P978" s="23"/>
      <c r="Q978" s="23"/>
      <c r="R978" s="72"/>
      <c r="S978" s="23"/>
      <c r="T978" s="23"/>
      <c r="U978" s="23"/>
      <c r="V978" s="23"/>
      <c r="W978" s="23"/>
      <c r="X978" s="23"/>
      <c r="Y978" s="23"/>
      <c r="Z978" s="23"/>
      <c r="AA978" s="23"/>
      <c r="AB978" s="23"/>
      <c r="AC978" s="23"/>
      <c r="AD978" s="23"/>
      <c r="AE978" s="23"/>
    </row>
    <row r="979" spans="1:31">
      <c r="A979" s="23"/>
      <c r="B979" s="40"/>
      <c r="C979" s="40"/>
      <c r="D979" s="23"/>
      <c r="E979" s="23"/>
      <c r="F979" s="23"/>
      <c r="G979" s="23"/>
      <c r="H979" s="40"/>
      <c r="I979" s="40"/>
      <c r="J979" s="70"/>
      <c r="K979" s="23"/>
      <c r="L979" s="70"/>
      <c r="M979" s="70"/>
      <c r="N979" s="23"/>
      <c r="O979" s="23"/>
      <c r="P979" s="23"/>
      <c r="Q979" s="23"/>
      <c r="R979" s="72"/>
      <c r="S979" s="23"/>
      <c r="T979" s="23"/>
      <c r="U979" s="23"/>
      <c r="V979" s="23"/>
      <c r="W979" s="23"/>
      <c r="X979" s="23"/>
      <c r="Y979" s="23"/>
      <c r="Z979" s="23"/>
      <c r="AA979" s="23"/>
      <c r="AB979" s="23"/>
      <c r="AC979" s="23"/>
      <c r="AD979" s="23"/>
      <c r="AE979" s="23"/>
    </row>
    <row r="980" spans="1:31">
      <c r="A980" s="23"/>
      <c r="B980" s="40"/>
      <c r="C980" s="40"/>
      <c r="D980" s="23"/>
      <c r="E980" s="23"/>
      <c r="F980" s="23"/>
      <c r="G980" s="23"/>
      <c r="H980" s="40"/>
      <c r="I980" s="40"/>
      <c r="J980" s="70"/>
      <c r="K980" s="23"/>
      <c r="L980" s="70"/>
      <c r="M980" s="70"/>
      <c r="N980" s="23"/>
      <c r="O980" s="23"/>
      <c r="P980" s="23"/>
      <c r="Q980" s="23"/>
      <c r="R980" s="72"/>
      <c r="S980" s="23"/>
      <c r="T980" s="23"/>
      <c r="U980" s="23"/>
      <c r="V980" s="23"/>
      <c r="W980" s="23"/>
      <c r="X980" s="23"/>
      <c r="Y980" s="23"/>
      <c r="Z980" s="23"/>
      <c r="AA980" s="23"/>
      <c r="AB980" s="23"/>
      <c r="AC980" s="23"/>
      <c r="AD980" s="23"/>
      <c r="AE980" s="23"/>
    </row>
    <row r="981" spans="1:31">
      <c r="A981" s="23"/>
      <c r="B981" s="40"/>
      <c r="C981" s="40"/>
      <c r="D981" s="23"/>
      <c r="E981" s="23"/>
      <c r="F981" s="23"/>
      <c r="G981" s="23"/>
      <c r="H981" s="40"/>
      <c r="I981" s="40"/>
      <c r="J981" s="70"/>
      <c r="K981" s="23"/>
      <c r="L981" s="70"/>
      <c r="M981" s="70"/>
      <c r="N981" s="23"/>
      <c r="O981" s="23"/>
      <c r="P981" s="23"/>
      <c r="Q981" s="23"/>
      <c r="R981" s="72"/>
      <c r="S981" s="23"/>
      <c r="T981" s="23"/>
      <c r="U981" s="23"/>
      <c r="V981" s="23"/>
      <c r="W981" s="23"/>
      <c r="X981" s="23"/>
      <c r="Y981" s="23"/>
      <c r="Z981" s="23"/>
      <c r="AA981" s="23"/>
      <c r="AB981" s="23"/>
      <c r="AC981" s="23"/>
      <c r="AD981" s="23"/>
      <c r="AE981" s="23"/>
    </row>
    <row r="982" spans="1:31">
      <c r="A982" s="23"/>
      <c r="B982" s="40"/>
      <c r="C982" s="40"/>
      <c r="D982" s="23"/>
      <c r="E982" s="23"/>
      <c r="F982" s="23"/>
      <c r="G982" s="23"/>
      <c r="H982" s="40"/>
      <c r="I982" s="40"/>
      <c r="J982" s="70"/>
      <c r="K982" s="23"/>
      <c r="L982" s="70"/>
      <c r="M982" s="70"/>
      <c r="N982" s="23"/>
      <c r="O982" s="23"/>
      <c r="P982" s="23"/>
      <c r="Q982" s="23"/>
      <c r="R982" s="72"/>
      <c r="S982" s="23"/>
      <c r="T982" s="23"/>
      <c r="U982" s="23"/>
      <c r="V982" s="23"/>
      <c r="W982" s="23"/>
      <c r="X982" s="23"/>
      <c r="Y982" s="23"/>
      <c r="Z982" s="23"/>
      <c r="AA982" s="23"/>
      <c r="AB982" s="23"/>
      <c r="AC982" s="23"/>
      <c r="AD982" s="23"/>
      <c r="AE982" s="23"/>
    </row>
    <row r="983" spans="1:31">
      <c r="A983" s="23"/>
      <c r="B983" s="40"/>
      <c r="C983" s="40"/>
      <c r="D983" s="23"/>
      <c r="E983" s="23"/>
      <c r="F983" s="23"/>
      <c r="G983" s="23"/>
      <c r="H983" s="40"/>
      <c r="I983" s="40"/>
      <c r="J983" s="70"/>
      <c r="K983" s="23"/>
      <c r="L983" s="70"/>
      <c r="M983" s="70"/>
      <c r="N983" s="23"/>
      <c r="O983" s="23"/>
      <c r="P983" s="23"/>
      <c r="Q983" s="23"/>
      <c r="R983" s="72"/>
      <c r="S983" s="23"/>
      <c r="T983" s="23"/>
      <c r="U983" s="23"/>
      <c r="V983" s="23"/>
      <c r="W983" s="23"/>
      <c r="X983" s="23"/>
      <c r="Y983" s="23"/>
      <c r="Z983" s="23"/>
      <c r="AA983" s="23"/>
      <c r="AB983" s="23"/>
      <c r="AC983" s="23"/>
      <c r="AD983" s="23"/>
      <c r="AE983" s="23"/>
    </row>
    <row r="984" spans="1:31">
      <c r="A984" s="23"/>
      <c r="B984" s="40"/>
      <c r="C984" s="40"/>
      <c r="D984" s="23"/>
      <c r="E984" s="23"/>
      <c r="F984" s="23"/>
      <c r="G984" s="23"/>
      <c r="H984" s="23"/>
      <c r="I984" s="40"/>
      <c r="J984" s="70"/>
      <c r="K984" s="23"/>
      <c r="L984" s="70"/>
      <c r="M984" s="70"/>
      <c r="N984" s="23"/>
      <c r="O984" s="23"/>
      <c r="P984" s="23"/>
      <c r="Q984" s="23"/>
      <c r="R984" s="72"/>
      <c r="S984" s="23"/>
      <c r="T984" s="23"/>
      <c r="U984" s="23"/>
      <c r="V984" s="23"/>
      <c r="W984" s="23"/>
      <c r="X984" s="23"/>
      <c r="Y984" s="23"/>
      <c r="Z984" s="23"/>
      <c r="AA984" s="23"/>
      <c r="AB984" s="23"/>
      <c r="AC984" s="23"/>
      <c r="AD984" s="23"/>
      <c r="AE984" s="23"/>
    </row>
    <row r="985" spans="1:31">
      <c r="A985" s="23"/>
      <c r="B985" s="40"/>
      <c r="C985" s="40"/>
      <c r="D985" s="23"/>
      <c r="E985" s="23"/>
      <c r="F985" s="23"/>
      <c r="G985" s="23"/>
      <c r="H985" s="23"/>
      <c r="I985" s="40"/>
      <c r="J985" s="70"/>
      <c r="K985" s="23"/>
      <c r="L985" s="70"/>
      <c r="M985" s="70"/>
      <c r="N985" s="23"/>
      <c r="O985" s="23"/>
      <c r="P985" s="23"/>
      <c r="Q985" s="23"/>
      <c r="R985" s="72"/>
      <c r="S985" s="23"/>
      <c r="T985" s="23"/>
      <c r="U985" s="23"/>
      <c r="V985" s="23"/>
      <c r="W985" s="23"/>
      <c r="X985" s="23"/>
      <c r="Y985" s="23"/>
      <c r="Z985" s="23"/>
      <c r="AA985" s="23"/>
      <c r="AB985" s="23"/>
      <c r="AC985" s="23"/>
      <c r="AD985" s="23"/>
      <c r="AE985" s="23"/>
    </row>
    <row r="986" spans="1:31">
      <c r="A986" s="23"/>
      <c r="B986" s="40"/>
      <c r="C986" s="40"/>
      <c r="D986" s="23"/>
      <c r="E986" s="23"/>
      <c r="F986" s="23"/>
      <c r="G986" s="23"/>
      <c r="H986" s="23"/>
      <c r="I986" s="40"/>
      <c r="J986" s="70"/>
      <c r="K986" s="23"/>
      <c r="L986" s="70"/>
      <c r="M986" s="70"/>
      <c r="N986" s="23"/>
      <c r="O986" s="23"/>
      <c r="P986" s="23"/>
      <c r="Q986" s="23"/>
      <c r="R986" s="72"/>
      <c r="S986" s="23"/>
      <c r="T986" s="23"/>
      <c r="U986" s="23"/>
      <c r="V986" s="23"/>
      <c r="W986" s="23"/>
      <c r="X986" s="23"/>
      <c r="Y986" s="23"/>
      <c r="Z986" s="23"/>
      <c r="AA986" s="23"/>
      <c r="AB986" s="23"/>
      <c r="AC986" s="23"/>
      <c r="AD986" s="23"/>
      <c r="AE986" s="23"/>
    </row>
    <row r="987" spans="1:31">
      <c r="A987" s="23"/>
      <c r="B987" s="40"/>
      <c r="C987" s="40"/>
      <c r="D987" s="23"/>
      <c r="E987" s="23"/>
      <c r="F987" s="23"/>
      <c r="G987" s="23"/>
      <c r="H987" s="23"/>
      <c r="I987" s="40"/>
      <c r="J987" s="70"/>
      <c r="K987" s="23"/>
      <c r="L987" s="70"/>
      <c r="M987" s="70"/>
      <c r="N987" s="23"/>
      <c r="O987" s="23"/>
      <c r="P987" s="23"/>
      <c r="Q987" s="23"/>
      <c r="R987" s="72"/>
      <c r="S987" s="23"/>
      <c r="T987" s="23"/>
      <c r="U987" s="23"/>
      <c r="V987" s="23"/>
      <c r="W987" s="23"/>
      <c r="X987" s="23"/>
      <c r="Y987" s="23"/>
      <c r="Z987" s="23"/>
      <c r="AA987" s="23"/>
      <c r="AB987" s="23"/>
      <c r="AC987" s="23"/>
      <c r="AD987" s="23"/>
      <c r="AE987" s="23"/>
    </row>
    <row r="988" spans="1:31" ht="24" customHeight="1">
      <c r="A988" s="23"/>
      <c r="B988" s="40"/>
      <c r="C988" s="40"/>
      <c r="D988" s="23"/>
      <c r="E988" s="23"/>
      <c r="F988" s="23"/>
      <c r="G988" s="23"/>
      <c r="H988" s="40"/>
      <c r="I988" s="40"/>
      <c r="J988" s="70"/>
      <c r="K988" s="23"/>
      <c r="L988" s="70"/>
      <c r="M988" s="70"/>
      <c r="N988" s="23"/>
      <c r="O988" s="23"/>
      <c r="P988" s="23"/>
      <c r="Q988" s="23"/>
      <c r="R988" s="72"/>
      <c r="S988" s="23"/>
      <c r="T988" s="23"/>
      <c r="U988" s="23"/>
      <c r="V988" s="23"/>
      <c r="W988" s="23"/>
      <c r="X988" s="23"/>
      <c r="Y988" s="23"/>
      <c r="Z988" s="23"/>
      <c r="AA988" s="23"/>
      <c r="AB988" s="23"/>
      <c r="AC988" s="23"/>
      <c r="AD988" s="23"/>
      <c r="AE988" s="23"/>
    </row>
    <row r="989" spans="1:31">
      <c r="A989" s="23"/>
      <c r="B989" s="40"/>
      <c r="C989" s="40"/>
      <c r="D989" s="23"/>
      <c r="E989" s="23"/>
      <c r="F989" s="23"/>
      <c r="G989" s="23"/>
      <c r="H989" s="40"/>
      <c r="I989" s="40"/>
      <c r="J989" s="70"/>
      <c r="K989" s="23"/>
      <c r="L989" s="70"/>
      <c r="M989" s="70"/>
      <c r="N989" s="23"/>
      <c r="O989" s="23"/>
      <c r="P989" s="23"/>
      <c r="Q989" s="23"/>
      <c r="R989" s="72"/>
      <c r="S989" s="23"/>
      <c r="T989" s="23"/>
      <c r="U989" s="23"/>
      <c r="V989" s="23"/>
      <c r="W989" s="23"/>
      <c r="X989" s="23"/>
      <c r="Y989" s="23"/>
      <c r="Z989" s="23"/>
      <c r="AA989" s="23"/>
      <c r="AB989" s="23"/>
      <c r="AC989" s="23"/>
      <c r="AD989" s="23"/>
      <c r="AE989" s="23"/>
    </row>
    <row r="990" spans="1:31">
      <c r="A990" s="23"/>
      <c r="B990" s="40"/>
      <c r="C990" s="40"/>
      <c r="D990" s="23"/>
      <c r="E990" s="23"/>
      <c r="F990" s="23"/>
      <c r="G990" s="23"/>
      <c r="H990" s="40"/>
      <c r="I990" s="40"/>
      <c r="J990" s="70"/>
      <c r="K990" s="23"/>
      <c r="L990" s="70"/>
      <c r="M990" s="70"/>
      <c r="N990" s="23"/>
      <c r="O990" s="23"/>
      <c r="P990" s="23"/>
      <c r="Q990" s="23"/>
      <c r="R990" s="72"/>
      <c r="S990" s="23"/>
      <c r="T990" s="23"/>
      <c r="U990" s="23"/>
      <c r="V990" s="23"/>
      <c r="W990" s="23"/>
      <c r="X990" s="23"/>
      <c r="Y990" s="23"/>
      <c r="Z990" s="23"/>
      <c r="AA990" s="23"/>
      <c r="AB990" s="23"/>
      <c r="AC990" s="23"/>
      <c r="AD990" s="23"/>
      <c r="AE990" s="23"/>
    </row>
    <row r="991" spans="1:31">
      <c r="A991" s="23"/>
      <c r="B991" s="40"/>
      <c r="C991" s="40"/>
      <c r="D991" s="23"/>
      <c r="E991" s="23"/>
      <c r="F991" s="23"/>
      <c r="G991" s="23"/>
      <c r="H991" s="40"/>
      <c r="I991" s="40"/>
      <c r="J991" s="70"/>
      <c r="K991" s="23"/>
      <c r="L991" s="70"/>
      <c r="M991" s="70"/>
      <c r="N991" s="23"/>
      <c r="O991" s="23"/>
      <c r="P991" s="23"/>
      <c r="Q991" s="23"/>
      <c r="R991" s="72"/>
      <c r="S991" s="23"/>
      <c r="T991" s="23"/>
      <c r="U991" s="23"/>
      <c r="V991" s="23"/>
      <c r="W991" s="23"/>
      <c r="X991" s="23"/>
      <c r="Y991" s="23"/>
      <c r="Z991" s="23"/>
      <c r="AA991" s="23"/>
      <c r="AB991" s="23"/>
      <c r="AC991" s="23"/>
      <c r="AD991" s="23"/>
      <c r="AE991" s="23"/>
    </row>
    <row r="992" spans="1:31">
      <c r="A992" s="23"/>
      <c r="B992" s="40"/>
      <c r="C992" s="40"/>
      <c r="D992" s="23"/>
      <c r="E992" s="23"/>
      <c r="F992" s="23"/>
      <c r="G992" s="23"/>
      <c r="H992" s="40"/>
      <c r="I992" s="40"/>
      <c r="J992" s="70"/>
      <c r="K992" s="23"/>
      <c r="L992" s="70"/>
      <c r="M992" s="70"/>
      <c r="N992" s="23"/>
      <c r="O992" s="23"/>
      <c r="P992" s="23"/>
      <c r="Q992" s="23"/>
      <c r="R992" s="72"/>
      <c r="S992" s="23"/>
      <c r="T992" s="23"/>
      <c r="U992" s="23"/>
      <c r="V992" s="23"/>
      <c r="W992" s="23"/>
      <c r="X992" s="23"/>
      <c r="Y992" s="23"/>
      <c r="Z992" s="23"/>
      <c r="AA992" s="23"/>
      <c r="AB992" s="23"/>
      <c r="AC992" s="23"/>
      <c r="AD992" s="23"/>
      <c r="AE992" s="23"/>
    </row>
    <row r="993" spans="1:31">
      <c r="A993" s="23"/>
      <c r="B993" s="40"/>
      <c r="C993" s="40"/>
      <c r="D993" s="23"/>
      <c r="E993" s="23"/>
      <c r="F993" s="23"/>
      <c r="G993" s="23"/>
      <c r="H993" s="23"/>
      <c r="I993" s="40"/>
      <c r="J993" s="70"/>
      <c r="K993" s="23"/>
      <c r="L993" s="70"/>
      <c r="M993" s="70"/>
      <c r="N993" s="23"/>
      <c r="O993" s="23"/>
      <c r="P993" s="23"/>
      <c r="Q993" s="23"/>
      <c r="R993" s="72"/>
      <c r="S993" s="23"/>
      <c r="T993" s="23"/>
      <c r="U993" s="23"/>
      <c r="V993" s="23"/>
      <c r="W993" s="23"/>
      <c r="X993" s="23"/>
      <c r="Y993" s="23"/>
      <c r="Z993" s="23"/>
      <c r="AA993" s="23"/>
      <c r="AB993" s="23"/>
      <c r="AC993" s="23"/>
      <c r="AD993" s="23"/>
      <c r="AE993" s="23"/>
    </row>
    <row r="994" spans="1:31">
      <c r="A994" s="23"/>
      <c r="B994" s="40"/>
      <c r="C994" s="40"/>
      <c r="D994" s="23"/>
      <c r="E994" s="23"/>
      <c r="F994" s="23"/>
      <c r="G994" s="23"/>
      <c r="H994" s="23"/>
      <c r="I994" s="40"/>
      <c r="J994" s="70"/>
      <c r="K994" s="23"/>
      <c r="L994" s="70"/>
      <c r="M994" s="70"/>
      <c r="N994" s="23"/>
      <c r="O994" s="23"/>
      <c r="P994" s="23"/>
      <c r="Q994" s="23"/>
      <c r="R994" s="72"/>
      <c r="S994" s="23"/>
      <c r="T994" s="23"/>
      <c r="U994" s="23"/>
      <c r="V994" s="23"/>
      <c r="W994" s="23"/>
      <c r="X994" s="23"/>
      <c r="Y994" s="23"/>
      <c r="Z994" s="23"/>
      <c r="AA994" s="23"/>
      <c r="AB994" s="23"/>
      <c r="AC994" s="23"/>
      <c r="AD994" s="23"/>
      <c r="AE994" s="23"/>
    </row>
    <row r="995" spans="1:31" ht="24" customHeight="1">
      <c r="A995" s="23"/>
      <c r="B995" s="40"/>
      <c r="C995" s="40"/>
      <c r="D995" s="23"/>
      <c r="E995" s="23"/>
      <c r="F995" s="23"/>
      <c r="G995" s="23"/>
      <c r="H995" s="40"/>
      <c r="I995" s="40"/>
      <c r="J995" s="70"/>
      <c r="K995" s="23"/>
      <c r="L995" s="70"/>
      <c r="M995" s="70"/>
      <c r="N995" s="23"/>
      <c r="O995" s="23"/>
      <c r="P995" s="23"/>
      <c r="Q995" s="23"/>
      <c r="R995" s="72"/>
      <c r="S995" s="23"/>
      <c r="T995" s="23"/>
      <c r="U995" s="23"/>
      <c r="V995" s="23"/>
      <c r="W995" s="23"/>
      <c r="X995" s="23"/>
      <c r="Y995" s="23"/>
      <c r="Z995" s="23"/>
      <c r="AA995" s="23"/>
      <c r="AB995" s="23"/>
      <c r="AC995" s="23"/>
      <c r="AD995" s="23"/>
      <c r="AE995" s="23"/>
    </row>
    <row r="996" spans="1:31">
      <c r="A996" s="23"/>
      <c r="B996" s="40"/>
      <c r="C996" s="40"/>
      <c r="D996" s="23"/>
      <c r="E996" s="23"/>
      <c r="F996" s="23"/>
      <c r="G996" s="23"/>
      <c r="H996" s="40"/>
      <c r="I996" s="40"/>
      <c r="J996" s="70"/>
      <c r="K996" s="23"/>
      <c r="L996" s="70"/>
      <c r="M996" s="70"/>
      <c r="N996" s="23"/>
      <c r="O996" s="23"/>
      <c r="P996" s="23"/>
      <c r="Q996" s="23"/>
      <c r="R996" s="72"/>
      <c r="S996" s="23"/>
      <c r="T996" s="23"/>
      <c r="U996" s="23"/>
      <c r="V996" s="23"/>
      <c r="W996" s="23"/>
      <c r="X996" s="23"/>
      <c r="Y996" s="23"/>
      <c r="Z996" s="23"/>
      <c r="AA996" s="23"/>
      <c r="AB996" s="23"/>
      <c r="AC996" s="23"/>
      <c r="AD996" s="23"/>
      <c r="AE996" s="23"/>
    </row>
    <row r="997" spans="1:31">
      <c r="A997" s="23"/>
      <c r="B997" s="40"/>
      <c r="C997" s="40"/>
      <c r="D997" s="23"/>
      <c r="E997" s="23"/>
      <c r="F997" s="23"/>
      <c r="G997" s="23"/>
      <c r="H997" s="40"/>
      <c r="I997" s="40"/>
      <c r="J997" s="70"/>
      <c r="K997" s="23"/>
      <c r="L997" s="70"/>
      <c r="M997" s="70"/>
      <c r="N997" s="23"/>
      <c r="O997" s="23"/>
      <c r="P997" s="23"/>
      <c r="Q997" s="23"/>
      <c r="R997" s="72"/>
      <c r="S997" s="23"/>
      <c r="T997" s="23"/>
      <c r="U997" s="23"/>
      <c r="V997" s="23"/>
      <c r="W997" s="23"/>
      <c r="X997" s="23"/>
      <c r="Y997" s="23"/>
      <c r="Z997" s="23"/>
      <c r="AA997" s="23"/>
      <c r="AB997" s="23"/>
      <c r="AC997" s="23"/>
      <c r="AD997" s="23"/>
      <c r="AE997" s="23"/>
    </row>
    <row r="998" spans="1:31">
      <c r="A998" s="23"/>
      <c r="B998" s="40"/>
      <c r="C998" s="40"/>
      <c r="D998" s="23"/>
      <c r="E998" s="23"/>
      <c r="F998" s="23"/>
      <c r="G998" s="23"/>
      <c r="H998" s="40"/>
      <c r="I998" s="40"/>
      <c r="J998" s="70"/>
      <c r="K998" s="23"/>
      <c r="L998" s="70"/>
      <c r="M998" s="70"/>
      <c r="N998" s="23"/>
      <c r="O998" s="23"/>
      <c r="P998" s="23"/>
      <c r="Q998" s="23"/>
      <c r="R998" s="72"/>
      <c r="S998" s="23"/>
      <c r="T998" s="23"/>
      <c r="U998" s="23"/>
      <c r="V998" s="23"/>
      <c r="W998" s="23"/>
      <c r="X998" s="23"/>
      <c r="Y998" s="23"/>
      <c r="Z998" s="23"/>
      <c r="AA998" s="23"/>
      <c r="AB998" s="23"/>
      <c r="AC998" s="23"/>
      <c r="AD998" s="23"/>
      <c r="AE998" s="23"/>
    </row>
    <row r="999" spans="1:31">
      <c r="A999" s="23"/>
      <c r="B999" s="40"/>
      <c r="C999" s="40"/>
      <c r="D999" s="23"/>
      <c r="E999" s="23"/>
      <c r="F999" s="23"/>
      <c r="G999" s="23"/>
      <c r="H999" s="40"/>
      <c r="I999" s="40"/>
      <c r="J999" s="70"/>
      <c r="K999" s="23"/>
      <c r="L999" s="70"/>
      <c r="M999" s="70"/>
      <c r="N999" s="23"/>
      <c r="O999" s="23"/>
      <c r="P999" s="23"/>
      <c r="Q999" s="23"/>
      <c r="R999" s="72"/>
      <c r="S999" s="23"/>
      <c r="T999" s="23"/>
      <c r="U999" s="23"/>
      <c r="V999" s="23"/>
      <c r="W999" s="23"/>
      <c r="X999" s="23"/>
      <c r="Y999" s="23"/>
      <c r="Z999" s="23"/>
      <c r="AA999" s="23"/>
      <c r="AB999" s="23"/>
      <c r="AC999" s="23"/>
      <c r="AD999" s="23"/>
      <c r="AE999" s="23"/>
    </row>
    <row r="1000" spans="1:31">
      <c r="A1000" s="23"/>
      <c r="B1000" s="40"/>
      <c r="C1000" s="40"/>
      <c r="D1000" s="23"/>
      <c r="E1000" s="23"/>
      <c r="F1000" s="23"/>
      <c r="G1000" s="23"/>
      <c r="H1000" s="40"/>
      <c r="I1000" s="40"/>
      <c r="J1000" s="70"/>
      <c r="K1000" s="23"/>
      <c r="L1000" s="70"/>
      <c r="M1000" s="70"/>
      <c r="N1000" s="23"/>
      <c r="O1000" s="23"/>
      <c r="P1000" s="23"/>
      <c r="Q1000" s="23"/>
      <c r="R1000" s="72"/>
      <c r="S1000" s="23"/>
      <c r="T1000" s="23"/>
      <c r="U1000" s="23"/>
      <c r="V1000" s="23"/>
      <c r="W1000" s="23"/>
      <c r="X1000" s="23"/>
      <c r="Y1000" s="23"/>
      <c r="Z1000" s="23"/>
      <c r="AA1000" s="23"/>
      <c r="AB1000" s="23"/>
      <c r="AC1000" s="23"/>
      <c r="AD1000" s="23"/>
      <c r="AE1000" s="23"/>
    </row>
    <row r="1001" spans="1:31">
      <c r="A1001" s="23"/>
      <c r="B1001" s="40"/>
      <c r="C1001" s="40"/>
      <c r="D1001" s="23"/>
      <c r="E1001" s="23"/>
      <c r="F1001" s="23"/>
      <c r="G1001" s="23"/>
      <c r="H1001" s="40"/>
      <c r="I1001" s="40"/>
      <c r="J1001" s="70"/>
      <c r="K1001" s="23"/>
      <c r="L1001" s="70"/>
      <c r="M1001" s="70"/>
      <c r="N1001" s="23"/>
      <c r="O1001" s="23"/>
      <c r="P1001" s="23"/>
      <c r="Q1001" s="23"/>
      <c r="R1001" s="72"/>
      <c r="S1001" s="23"/>
      <c r="T1001" s="23"/>
      <c r="U1001" s="23"/>
      <c r="V1001" s="23"/>
      <c r="W1001" s="23"/>
      <c r="X1001" s="23"/>
      <c r="Y1001" s="23"/>
      <c r="Z1001" s="23"/>
      <c r="AA1001" s="23"/>
      <c r="AB1001" s="23"/>
      <c r="AC1001" s="23"/>
      <c r="AD1001" s="23"/>
      <c r="AE1001" s="23"/>
    </row>
    <row r="1002" spans="1:31">
      <c r="A1002" s="23"/>
      <c r="B1002" s="40"/>
      <c r="C1002" s="40"/>
      <c r="D1002" s="23"/>
      <c r="E1002" s="23"/>
      <c r="F1002" s="23"/>
      <c r="G1002" s="23"/>
      <c r="H1002" s="23"/>
      <c r="I1002" s="40"/>
      <c r="J1002" s="70"/>
      <c r="K1002" s="23"/>
      <c r="L1002" s="70"/>
      <c r="M1002" s="70"/>
      <c r="N1002" s="23"/>
      <c r="O1002" s="23"/>
      <c r="P1002" s="23"/>
      <c r="Q1002" s="23"/>
      <c r="R1002" s="72"/>
      <c r="S1002" s="23"/>
      <c r="T1002" s="23"/>
      <c r="U1002" s="23"/>
      <c r="V1002" s="23"/>
      <c r="W1002" s="23"/>
      <c r="X1002" s="23"/>
      <c r="Y1002" s="23"/>
      <c r="Z1002" s="23"/>
      <c r="AA1002" s="23"/>
      <c r="AB1002" s="23"/>
      <c r="AC1002" s="23"/>
      <c r="AD1002" s="23"/>
      <c r="AE1002" s="23"/>
    </row>
    <row r="1003" spans="1:31">
      <c r="A1003" s="23"/>
      <c r="B1003" s="40"/>
      <c r="C1003" s="40"/>
      <c r="D1003" s="23"/>
      <c r="E1003" s="23"/>
      <c r="F1003" s="23"/>
      <c r="G1003" s="23"/>
      <c r="H1003" s="23"/>
      <c r="I1003" s="40"/>
      <c r="J1003" s="70"/>
      <c r="K1003" s="23"/>
      <c r="L1003" s="70"/>
      <c r="M1003" s="70"/>
      <c r="N1003" s="23"/>
      <c r="O1003" s="23"/>
      <c r="P1003" s="23"/>
      <c r="Q1003" s="23"/>
      <c r="R1003" s="72"/>
      <c r="S1003" s="23"/>
      <c r="T1003" s="23"/>
      <c r="U1003" s="23"/>
      <c r="V1003" s="23"/>
      <c r="W1003" s="23"/>
      <c r="X1003" s="23"/>
      <c r="Y1003" s="23"/>
      <c r="Z1003" s="23"/>
      <c r="AA1003" s="23"/>
      <c r="AB1003" s="23"/>
      <c r="AC1003" s="23"/>
      <c r="AD1003" s="23"/>
      <c r="AE1003" s="23"/>
    </row>
    <row r="1004" spans="1:31">
      <c r="A1004" s="23"/>
      <c r="B1004" s="40"/>
      <c r="C1004" s="40"/>
      <c r="D1004" s="23"/>
      <c r="E1004" s="23"/>
      <c r="F1004" s="23"/>
      <c r="G1004" s="23"/>
      <c r="H1004" s="23"/>
      <c r="I1004" s="40"/>
      <c r="J1004" s="70"/>
      <c r="K1004" s="23"/>
      <c r="L1004" s="70"/>
      <c r="M1004" s="70"/>
      <c r="N1004" s="23"/>
      <c r="O1004" s="23"/>
      <c r="P1004" s="23"/>
      <c r="Q1004" s="23"/>
      <c r="R1004" s="72"/>
      <c r="S1004" s="23"/>
      <c r="T1004" s="23"/>
      <c r="U1004" s="23"/>
      <c r="V1004" s="23"/>
      <c r="W1004" s="23"/>
      <c r="X1004" s="23"/>
      <c r="Y1004" s="23"/>
      <c r="Z1004" s="23"/>
      <c r="AA1004" s="23"/>
      <c r="AB1004" s="23"/>
      <c r="AC1004" s="23"/>
      <c r="AD1004" s="23"/>
      <c r="AE1004" s="23"/>
    </row>
    <row r="1005" spans="1:31">
      <c r="A1005" s="23"/>
      <c r="B1005" s="40"/>
      <c r="C1005" s="40"/>
      <c r="D1005" s="23"/>
      <c r="E1005" s="23"/>
      <c r="F1005" s="23"/>
      <c r="G1005" s="23"/>
      <c r="H1005" s="23"/>
      <c r="I1005" s="40"/>
      <c r="J1005" s="70"/>
      <c r="K1005" s="23"/>
      <c r="L1005" s="70"/>
      <c r="M1005" s="70"/>
      <c r="N1005" s="23"/>
      <c r="O1005" s="23"/>
      <c r="P1005" s="23"/>
      <c r="Q1005" s="23"/>
      <c r="R1005" s="72"/>
      <c r="S1005" s="23"/>
      <c r="T1005" s="23"/>
      <c r="U1005" s="23"/>
      <c r="V1005" s="23"/>
      <c r="W1005" s="23"/>
      <c r="X1005" s="23"/>
      <c r="Y1005" s="23"/>
      <c r="Z1005" s="23"/>
      <c r="AA1005" s="23"/>
      <c r="AB1005" s="23"/>
      <c r="AC1005" s="23"/>
      <c r="AD1005" s="23"/>
      <c r="AE1005" s="23"/>
    </row>
    <row r="1006" spans="1:31">
      <c r="A1006" s="23"/>
      <c r="B1006" s="40"/>
      <c r="C1006" s="40"/>
      <c r="D1006" s="23"/>
      <c r="E1006" s="23"/>
      <c r="F1006" s="23"/>
      <c r="G1006" s="23"/>
      <c r="H1006" s="23"/>
      <c r="I1006" s="40"/>
      <c r="J1006" s="70"/>
      <c r="K1006" s="23"/>
      <c r="L1006" s="70"/>
      <c r="M1006" s="70"/>
      <c r="N1006" s="23"/>
      <c r="O1006" s="23"/>
      <c r="P1006" s="23"/>
      <c r="Q1006" s="23"/>
      <c r="R1006" s="72"/>
      <c r="S1006" s="23"/>
      <c r="T1006" s="23"/>
      <c r="U1006" s="23"/>
      <c r="V1006" s="23"/>
      <c r="W1006" s="23"/>
      <c r="X1006" s="23"/>
      <c r="Y1006" s="23"/>
      <c r="Z1006" s="23"/>
      <c r="AA1006" s="23"/>
      <c r="AB1006" s="23"/>
      <c r="AC1006" s="23"/>
      <c r="AD1006" s="23"/>
      <c r="AE1006" s="23"/>
    </row>
    <row r="1007" spans="1:31">
      <c r="A1007" s="23"/>
      <c r="B1007" s="40"/>
      <c r="C1007" s="40"/>
      <c r="D1007" s="23"/>
      <c r="E1007" s="23"/>
      <c r="F1007" s="23"/>
      <c r="G1007" s="23"/>
      <c r="H1007" s="23"/>
      <c r="I1007" s="40"/>
      <c r="J1007" s="70"/>
      <c r="K1007" s="23"/>
      <c r="L1007" s="70"/>
      <c r="M1007" s="70"/>
      <c r="N1007" s="23"/>
      <c r="O1007" s="23"/>
      <c r="P1007" s="23"/>
      <c r="Q1007" s="23"/>
      <c r="R1007" s="72"/>
      <c r="S1007" s="23"/>
      <c r="T1007" s="23"/>
      <c r="U1007" s="23"/>
      <c r="V1007" s="23"/>
      <c r="W1007" s="23"/>
      <c r="X1007" s="23"/>
      <c r="Y1007" s="23"/>
      <c r="Z1007" s="23"/>
      <c r="AA1007" s="23"/>
      <c r="AB1007" s="23"/>
      <c r="AC1007" s="23"/>
      <c r="AD1007" s="23"/>
      <c r="AE1007" s="23"/>
    </row>
    <row r="1008" spans="1:31">
      <c r="A1008" s="23"/>
      <c r="B1008" s="40"/>
      <c r="C1008" s="40"/>
      <c r="D1008" s="23"/>
      <c r="E1008" s="23"/>
      <c r="F1008" s="23"/>
      <c r="G1008" s="23"/>
      <c r="H1008" s="23"/>
      <c r="I1008" s="40"/>
      <c r="J1008" s="70"/>
      <c r="K1008" s="23"/>
      <c r="L1008" s="70"/>
      <c r="M1008" s="70"/>
      <c r="N1008" s="23"/>
      <c r="O1008" s="23"/>
      <c r="P1008" s="23"/>
      <c r="Q1008" s="23"/>
      <c r="R1008" s="72"/>
      <c r="S1008" s="23"/>
      <c r="T1008" s="23"/>
      <c r="U1008" s="23"/>
      <c r="V1008" s="23"/>
      <c r="W1008" s="23"/>
      <c r="X1008" s="23"/>
      <c r="Y1008" s="23"/>
      <c r="Z1008" s="23"/>
      <c r="AA1008" s="23"/>
      <c r="AB1008" s="23"/>
      <c r="AC1008" s="23"/>
      <c r="AD1008" s="23"/>
      <c r="AE1008" s="23"/>
    </row>
    <row r="1009" spans="1:31">
      <c r="A1009" s="23"/>
      <c r="B1009" s="40"/>
      <c r="C1009" s="40"/>
      <c r="D1009" s="23"/>
      <c r="E1009" s="23"/>
      <c r="F1009" s="23"/>
      <c r="G1009" s="23"/>
      <c r="H1009" s="23"/>
      <c r="I1009" s="40"/>
      <c r="J1009" s="70"/>
      <c r="K1009" s="23"/>
      <c r="L1009" s="70"/>
      <c r="M1009" s="70"/>
      <c r="N1009" s="23"/>
      <c r="O1009" s="23"/>
      <c r="P1009" s="23"/>
      <c r="Q1009" s="23"/>
      <c r="R1009" s="72"/>
      <c r="S1009" s="23"/>
      <c r="T1009" s="23"/>
      <c r="U1009" s="23"/>
      <c r="V1009" s="23"/>
      <c r="W1009" s="23"/>
      <c r="X1009" s="23"/>
      <c r="Y1009" s="23"/>
      <c r="Z1009" s="23"/>
      <c r="AA1009" s="23"/>
      <c r="AB1009" s="23"/>
      <c r="AC1009" s="23"/>
      <c r="AD1009" s="23"/>
      <c r="AE1009" s="23"/>
    </row>
    <row r="1010" spans="1:31">
      <c r="A1010" s="23"/>
      <c r="B1010" s="40"/>
      <c r="C1010" s="40"/>
      <c r="D1010" s="23"/>
      <c r="E1010" s="23"/>
      <c r="F1010" s="23"/>
      <c r="G1010" s="23"/>
      <c r="H1010" s="23"/>
      <c r="I1010" s="40"/>
      <c r="J1010" s="70"/>
      <c r="K1010" s="23"/>
      <c r="L1010" s="70"/>
      <c r="M1010" s="70"/>
      <c r="N1010" s="23"/>
      <c r="O1010" s="23"/>
      <c r="P1010" s="23"/>
      <c r="Q1010" s="23"/>
      <c r="R1010" s="72"/>
      <c r="S1010" s="23"/>
      <c r="T1010" s="23"/>
      <c r="U1010" s="23"/>
      <c r="V1010" s="23"/>
      <c r="W1010" s="23"/>
      <c r="X1010" s="23"/>
      <c r="Y1010" s="23"/>
      <c r="Z1010" s="23"/>
      <c r="AA1010" s="23"/>
      <c r="AB1010" s="23"/>
      <c r="AC1010" s="23"/>
      <c r="AD1010" s="23"/>
      <c r="AE1010" s="23"/>
    </row>
    <row r="1011" spans="1:31">
      <c r="A1011" s="23"/>
      <c r="B1011" s="40"/>
      <c r="C1011" s="40"/>
      <c r="D1011" s="23"/>
      <c r="E1011" s="23"/>
      <c r="F1011" s="23"/>
      <c r="G1011" s="23"/>
      <c r="H1011" s="23"/>
      <c r="I1011" s="40"/>
      <c r="J1011" s="70"/>
      <c r="K1011" s="23"/>
      <c r="L1011" s="70"/>
      <c r="M1011" s="70"/>
      <c r="N1011" s="23"/>
      <c r="O1011" s="23"/>
      <c r="P1011" s="23"/>
      <c r="Q1011" s="23"/>
      <c r="R1011" s="72"/>
      <c r="S1011" s="23"/>
      <c r="T1011" s="23"/>
      <c r="U1011" s="23"/>
      <c r="V1011" s="23"/>
      <c r="W1011" s="23"/>
      <c r="X1011" s="23"/>
      <c r="Y1011" s="23"/>
      <c r="Z1011" s="23"/>
      <c r="AA1011" s="23"/>
      <c r="AB1011" s="23"/>
      <c r="AC1011" s="23"/>
      <c r="AD1011" s="23"/>
      <c r="AE1011" s="23"/>
    </row>
    <row r="1012" spans="1:31">
      <c r="A1012" s="23"/>
      <c r="B1012" s="40"/>
      <c r="C1012" s="40"/>
      <c r="D1012" s="23"/>
      <c r="E1012" s="23"/>
      <c r="F1012" s="23"/>
      <c r="G1012" s="23"/>
      <c r="H1012" s="23"/>
      <c r="I1012" s="40"/>
      <c r="J1012" s="70"/>
      <c r="K1012" s="23"/>
      <c r="L1012" s="70"/>
      <c r="M1012" s="70"/>
      <c r="N1012" s="23"/>
      <c r="O1012" s="23"/>
      <c r="P1012" s="23"/>
      <c r="Q1012" s="23"/>
      <c r="R1012" s="72"/>
      <c r="S1012" s="23"/>
      <c r="T1012" s="23"/>
      <c r="U1012" s="23"/>
      <c r="V1012" s="23"/>
      <c r="W1012" s="23"/>
      <c r="X1012" s="23"/>
      <c r="Y1012" s="23"/>
      <c r="Z1012" s="23"/>
      <c r="AA1012" s="23"/>
      <c r="AB1012" s="23"/>
      <c r="AC1012" s="23"/>
      <c r="AD1012" s="23"/>
      <c r="AE1012" s="23"/>
    </row>
    <row r="1013" spans="1:31">
      <c r="A1013" s="23"/>
      <c r="B1013" s="40"/>
      <c r="C1013" s="40"/>
      <c r="D1013" s="23"/>
      <c r="E1013" s="23"/>
      <c r="F1013" s="23"/>
      <c r="G1013" s="23"/>
      <c r="H1013" s="23"/>
      <c r="I1013" s="40"/>
      <c r="J1013" s="70"/>
      <c r="K1013" s="23"/>
      <c r="L1013" s="70"/>
      <c r="M1013" s="70"/>
      <c r="N1013" s="23"/>
      <c r="O1013" s="23"/>
      <c r="P1013" s="23"/>
      <c r="Q1013" s="23"/>
      <c r="R1013" s="72"/>
      <c r="S1013" s="23"/>
      <c r="T1013" s="23"/>
      <c r="U1013" s="23"/>
      <c r="V1013" s="23"/>
      <c r="W1013" s="23"/>
      <c r="X1013" s="23"/>
      <c r="Y1013" s="23"/>
      <c r="Z1013" s="23"/>
      <c r="AA1013" s="23"/>
      <c r="AB1013" s="23"/>
      <c r="AC1013" s="23"/>
      <c r="AD1013" s="23"/>
      <c r="AE1013" s="23"/>
    </row>
    <row r="1014" spans="1:31">
      <c r="A1014" s="23"/>
      <c r="B1014" s="40"/>
      <c r="C1014" s="40"/>
      <c r="D1014" s="23"/>
      <c r="E1014" s="23"/>
      <c r="F1014" s="23"/>
      <c r="G1014" s="23"/>
      <c r="H1014" s="23"/>
      <c r="I1014" s="40"/>
      <c r="J1014" s="70"/>
      <c r="K1014" s="23"/>
      <c r="L1014" s="70"/>
      <c r="M1014" s="70"/>
      <c r="N1014" s="23"/>
      <c r="O1014" s="23"/>
      <c r="P1014" s="23"/>
      <c r="Q1014" s="23"/>
      <c r="R1014" s="72"/>
      <c r="S1014" s="23"/>
      <c r="T1014" s="23"/>
      <c r="U1014" s="23"/>
      <c r="V1014" s="23"/>
      <c r="W1014" s="23"/>
      <c r="X1014" s="23"/>
      <c r="Y1014" s="23"/>
      <c r="Z1014" s="23"/>
      <c r="AA1014" s="23"/>
      <c r="AB1014" s="23"/>
      <c r="AC1014" s="23"/>
      <c r="AD1014" s="23"/>
      <c r="AE1014" s="23"/>
    </row>
    <row r="1015" spans="1:31" ht="24" customHeight="1">
      <c r="A1015" s="23"/>
      <c r="B1015" s="40"/>
      <c r="C1015" s="40"/>
      <c r="D1015" s="23"/>
      <c r="E1015" s="23"/>
      <c r="F1015" s="23"/>
      <c r="G1015" s="40"/>
      <c r="H1015" s="40"/>
      <c r="I1015" s="40"/>
      <c r="J1015" s="70"/>
      <c r="K1015" s="23"/>
      <c r="L1015" s="70"/>
      <c r="M1015" s="70"/>
      <c r="N1015" s="23"/>
      <c r="O1015" s="23"/>
      <c r="P1015" s="23"/>
      <c r="Q1015" s="23"/>
      <c r="R1015" s="72"/>
      <c r="S1015" s="23"/>
      <c r="T1015" s="23"/>
      <c r="U1015" s="23"/>
      <c r="V1015" s="23"/>
      <c r="W1015" s="23"/>
      <c r="X1015" s="23"/>
      <c r="Y1015" s="23"/>
      <c r="Z1015" s="23"/>
      <c r="AA1015" s="23"/>
      <c r="AB1015" s="23"/>
      <c r="AC1015" s="23"/>
      <c r="AD1015" s="23"/>
      <c r="AE1015" s="23"/>
    </row>
    <row r="1016" spans="1:31">
      <c r="A1016" s="23"/>
      <c r="B1016" s="40"/>
      <c r="C1016" s="40"/>
      <c r="D1016" s="23"/>
      <c r="E1016" s="23"/>
      <c r="F1016" s="23"/>
      <c r="G1016" s="23"/>
      <c r="H1016" s="40"/>
      <c r="I1016" s="40"/>
      <c r="J1016" s="70"/>
      <c r="K1016" s="23"/>
      <c r="L1016" s="70"/>
      <c r="M1016" s="70"/>
      <c r="N1016" s="23"/>
      <c r="O1016" s="23"/>
      <c r="P1016" s="23"/>
      <c r="Q1016" s="23"/>
      <c r="R1016" s="72"/>
      <c r="S1016" s="23"/>
      <c r="T1016" s="23"/>
      <c r="U1016" s="23"/>
      <c r="V1016" s="23"/>
      <c r="W1016" s="23"/>
      <c r="X1016" s="23"/>
      <c r="Y1016" s="23"/>
      <c r="Z1016" s="23"/>
      <c r="AA1016" s="23"/>
      <c r="AB1016" s="23"/>
      <c r="AC1016" s="23"/>
      <c r="AD1016" s="23"/>
      <c r="AE1016" s="23"/>
    </row>
    <row r="1017" spans="1:31">
      <c r="A1017" s="23"/>
      <c r="B1017" s="40"/>
      <c r="C1017" s="40"/>
      <c r="D1017" s="23"/>
      <c r="E1017" s="23"/>
      <c r="F1017" s="23"/>
      <c r="G1017" s="23"/>
      <c r="H1017" s="40"/>
      <c r="I1017" s="40"/>
      <c r="J1017" s="70"/>
      <c r="K1017" s="23"/>
      <c r="L1017" s="70"/>
      <c r="M1017" s="70"/>
      <c r="N1017" s="23"/>
      <c r="O1017" s="23"/>
      <c r="P1017" s="23"/>
      <c r="Q1017" s="23"/>
      <c r="R1017" s="72"/>
      <c r="S1017" s="23"/>
      <c r="T1017" s="23"/>
      <c r="U1017" s="23"/>
      <c r="V1017" s="23"/>
      <c r="W1017" s="23"/>
      <c r="X1017" s="23"/>
      <c r="Y1017" s="23"/>
      <c r="Z1017" s="23"/>
      <c r="AA1017" s="23"/>
      <c r="AB1017" s="23"/>
      <c r="AC1017" s="23"/>
      <c r="AD1017" s="23"/>
      <c r="AE1017" s="23"/>
    </row>
    <row r="1018" spans="1:31">
      <c r="A1018" s="23"/>
      <c r="B1018" s="40"/>
      <c r="C1018" s="40"/>
      <c r="D1018" s="23"/>
      <c r="E1018" s="23"/>
      <c r="F1018" s="23"/>
      <c r="G1018" s="40"/>
      <c r="H1018" s="40"/>
      <c r="I1018" s="40"/>
      <c r="J1018" s="70"/>
      <c r="K1018" s="23"/>
      <c r="L1018" s="70"/>
      <c r="M1018" s="70"/>
      <c r="N1018" s="23"/>
      <c r="O1018" s="23"/>
      <c r="P1018" s="23"/>
      <c r="Q1018" s="23"/>
      <c r="R1018" s="72"/>
      <c r="S1018" s="23"/>
      <c r="T1018" s="23"/>
      <c r="U1018" s="23"/>
      <c r="V1018" s="23"/>
      <c r="W1018" s="23"/>
      <c r="X1018" s="23"/>
      <c r="Y1018" s="23"/>
      <c r="Z1018" s="23"/>
      <c r="AA1018" s="23"/>
      <c r="AB1018" s="23"/>
      <c r="AC1018" s="23"/>
      <c r="AD1018" s="23"/>
      <c r="AE1018" s="23"/>
    </row>
    <row r="1019" spans="1:31">
      <c r="A1019" s="23"/>
      <c r="B1019" s="40"/>
      <c r="C1019" s="40"/>
      <c r="D1019" s="23"/>
      <c r="E1019" s="23"/>
      <c r="F1019" s="23"/>
      <c r="G1019" s="23"/>
      <c r="H1019" s="40"/>
      <c r="I1019" s="40"/>
      <c r="J1019" s="70"/>
      <c r="K1019" s="23"/>
      <c r="L1019" s="70"/>
      <c r="M1019" s="70"/>
      <c r="N1019" s="23"/>
      <c r="O1019" s="23"/>
      <c r="P1019" s="23"/>
      <c r="Q1019" s="23"/>
      <c r="R1019" s="72"/>
      <c r="S1019" s="23"/>
      <c r="T1019" s="23"/>
      <c r="U1019" s="23"/>
      <c r="V1019" s="23"/>
      <c r="W1019" s="23"/>
      <c r="X1019" s="23"/>
      <c r="Y1019" s="23"/>
      <c r="Z1019" s="23"/>
      <c r="AA1019" s="23"/>
      <c r="AB1019" s="23"/>
      <c r="AC1019" s="23"/>
      <c r="AD1019" s="23"/>
      <c r="AE1019" s="23"/>
    </row>
    <row r="1020" spans="1:31">
      <c r="A1020" s="23"/>
      <c r="B1020" s="40"/>
      <c r="C1020" s="40"/>
      <c r="D1020" s="23"/>
      <c r="E1020" s="23"/>
      <c r="F1020" s="23"/>
      <c r="G1020" s="23"/>
      <c r="H1020" s="23"/>
      <c r="I1020" s="40"/>
      <c r="J1020" s="70"/>
      <c r="K1020" s="23"/>
      <c r="L1020" s="70"/>
      <c r="M1020" s="70"/>
      <c r="N1020" s="23"/>
      <c r="O1020" s="23"/>
      <c r="P1020" s="23"/>
      <c r="Q1020" s="23"/>
      <c r="R1020" s="72"/>
      <c r="S1020" s="23"/>
      <c r="T1020" s="23"/>
      <c r="U1020" s="23"/>
      <c r="V1020" s="23"/>
      <c r="W1020" s="23"/>
      <c r="X1020" s="23"/>
      <c r="Y1020" s="23"/>
      <c r="Z1020" s="23"/>
      <c r="AA1020" s="23"/>
      <c r="AB1020" s="23"/>
      <c r="AC1020" s="23"/>
      <c r="AD1020" s="23"/>
      <c r="AE1020" s="23"/>
    </row>
    <row r="1021" spans="1:31">
      <c r="A1021" s="23"/>
      <c r="B1021" s="40"/>
      <c r="C1021" s="40"/>
      <c r="D1021" s="23"/>
      <c r="E1021" s="23"/>
      <c r="F1021" s="23"/>
      <c r="G1021" s="40"/>
      <c r="H1021" s="23"/>
      <c r="I1021" s="40"/>
      <c r="J1021" s="70"/>
      <c r="K1021" s="23"/>
      <c r="L1021" s="70"/>
      <c r="M1021" s="70"/>
      <c r="N1021" s="23"/>
      <c r="O1021" s="23"/>
      <c r="P1021" s="23"/>
      <c r="Q1021" s="23"/>
      <c r="R1021" s="72"/>
      <c r="S1021" s="23"/>
      <c r="T1021" s="23"/>
      <c r="U1021" s="23"/>
      <c r="V1021" s="23"/>
      <c r="W1021" s="23"/>
      <c r="X1021" s="23"/>
      <c r="Y1021" s="23"/>
      <c r="Z1021" s="23"/>
      <c r="AA1021" s="23"/>
      <c r="AB1021" s="23"/>
      <c r="AC1021" s="23"/>
      <c r="AD1021" s="23"/>
      <c r="AE1021" s="23"/>
    </row>
    <row r="1022" spans="1:31" ht="24" customHeight="1">
      <c r="A1022" s="23"/>
      <c r="B1022" s="40"/>
      <c r="C1022" s="40"/>
      <c r="D1022" s="23"/>
      <c r="E1022" s="23"/>
      <c r="F1022" s="23"/>
      <c r="G1022" s="23"/>
      <c r="H1022" s="40"/>
      <c r="I1022" s="40"/>
      <c r="J1022" s="70"/>
      <c r="K1022" s="23"/>
      <c r="L1022" s="70"/>
      <c r="M1022" s="70"/>
      <c r="N1022" s="23"/>
      <c r="O1022" s="23"/>
      <c r="P1022" s="23"/>
      <c r="Q1022" s="23"/>
      <c r="R1022" s="72"/>
      <c r="S1022" s="23"/>
      <c r="T1022" s="23"/>
      <c r="U1022" s="23"/>
      <c r="V1022" s="23"/>
      <c r="W1022" s="23"/>
      <c r="X1022" s="23"/>
      <c r="Y1022" s="23"/>
      <c r="Z1022" s="23"/>
      <c r="AA1022" s="23"/>
      <c r="AB1022" s="23"/>
      <c r="AC1022" s="23"/>
      <c r="AD1022" s="23"/>
      <c r="AE1022" s="23"/>
    </row>
    <row r="1023" spans="1:31">
      <c r="A1023" s="23"/>
      <c r="B1023" s="40"/>
      <c r="C1023" s="40"/>
      <c r="D1023" s="23"/>
      <c r="E1023" s="23"/>
      <c r="F1023" s="23"/>
      <c r="G1023" s="23"/>
      <c r="H1023" s="40"/>
      <c r="I1023" s="40"/>
      <c r="J1023" s="70"/>
      <c r="K1023" s="23"/>
      <c r="L1023" s="70"/>
      <c r="M1023" s="70"/>
      <c r="N1023" s="23"/>
      <c r="O1023" s="23"/>
      <c r="P1023" s="23"/>
      <c r="Q1023" s="23"/>
      <c r="R1023" s="72"/>
      <c r="S1023" s="23"/>
      <c r="T1023" s="23"/>
      <c r="U1023" s="23"/>
      <c r="V1023" s="23"/>
      <c r="W1023" s="23"/>
      <c r="X1023" s="23"/>
      <c r="Y1023" s="23"/>
      <c r="Z1023" s="23"/>
      <c r="AA1023" s="23"/>
      <c r="AB1023" s="23"/>
      <c r="AC1023" s="23"/>
      <c r="AD1023" s="23"/>
      <c r="AE1023" s="23"/>
    </row>
    <row r="1024" spans="1:31">
      <c r="A1024" s="23"/>
      <c r="B1024" s="40"/>
      <c r="C1024" s="40"/>
      <c r="D1024" s="23"/>
      <c r="E1024" s="23"/>
      <c r="F1024" s="23"/>
      <c r="G1024" s="40"/>
      <c r="H1024" s="40"/>
      <c r="I1024" s="40"/>
      <c r="J1024" s="70"/>
      <c r="K1024" s="23"/>
      <c r="L1024" s="70"/>
      <c r="M1024" s="70"/>
      <c r="N1024" s="23"/>
      <c r="O1024" s="23"/>
      <c r="P1024" s="23"/>
      <c r="Q1024" s="23"/>
      <c r="R1024" s="72"/>
      <c r="S1024" s="23"/>
      <c r="T1024" s="23"/>
      <c r="U1024" s="23"/>
      <c r="V1024" s="23"/>
      <c r="W1024" s="23"/>
      <c r="X1024" s="23"/>
      <c r="Y1024" s="23"/>
      <c r="Z1024" s="23"/>
      <c r="AA1024" s="23"/>
      <c r="AB1024" s="23"/>
      <c r="AC1024" s="23"/>
      <c r="AD1024" s="23"/>
      <c r="AE1024" s="23"/>
    </row>
    <row r="1025" spans="1:31">
      <c r="A1025" s="23"/>
      <c r="B1025" s="40"/>
      <c r="C1025" s="40"/>
      <c r="D1025" s="23"/>
      <c r="E1025" s="23"/>
      <c r="F1025" s="23"/>
      <c r="G1025" s="23"/>
      <c r="H1025" s="40"/>
      <c r="I1025" s="40"/>
      <c r="J1025" s="70"/>
      <c r="K1025" s="23"/>
      <c r="L1025" s="70"/>
      <c r="M1025" s="70"/>
      <c r="N1025" s="23"/>
      <c r="O1025" s="23"/>
      <c r="P1025" s="23"/>
      <c r="Q1025" s="23"/>
      <c r="R1025" s="72"/>
      <c r="S1025" s="23"/>
      <c r="T1025" s="23"/>
      <c r="U1025" s="23"/>
      <c r="V1025" s="23"/>
      <c r="W1025" s="23"/>
      <c r="X1025" s="23"/>
      <c r="Y1025" s="23"/>
      <c r="Z1025" s="23"/>
      <c r="AA1025" s="23"/>
      <c r="AB1025" s="23"/>
      <c r="AC1025" s="23"/>
      <c r="AD1025" s="23"/>
      <c r="AE1025" s="23"/>
    </row>
    <row r="1026" spans="1:31">
      <c r="A1026" s="23"/>
      <c r="B1026" s="40"/>
      <c r="C1026" s="40"/>
      <c r="D1026" s="23"/>
      <c r="E1026" s="23"/>
      <c r="F1026" s="23"/>
      <c r="G1026" s="23"/>
      <c r="H1026" s="40"/>
      <c r="I1026" s="40"/>
      <c r="J1026" s="70"/>
      <c r="K1026" s="23"/>
      <c r="L1026" s="70"/>
      <c r="M1026" s="70"/>
      <c r="N1026" s="23"/>
      <c r="O1026" s="23"/>
      <c r="P1026" s="23"/>
      <c r="Q1026" s="23"/>
      <c r="R1026" s="72"/>
      <c r="S1026" s="23"/>
      <c r="T1026" s="23"/>
      <c r="U1026" s="23"/>
      <c r="V1026" s="23"/>
      <c r="W1026" s="23"/>
      <c r="X1026" s="23"/>
      <c r="Y1026" s="23"/>
      <c r="Z1026" s="23"/>
      <c r="AA1026" s="23"/>
      <c r="AB1026" s="23"/>
      <c r="AC1026" s="23"/>
      <c r="AD1026" s="23"/>
      <c r="AE1026" s="23"/>
    </row>
    <row r="1027" spans="1:31">
      <c r="A1027" s="23"/>
      <c r="B1027" s="40"/>
      <c r="C1027" s="40"/>
      <c r="D1027" s="23"/>
      <c r="E1027" s="23"/>
      <c r="F1027" s="23"/>
      <c r="G1027" s="40"/>
      <c r="H1027" s="40"/>
      <c r="I1027" s="40"/>
      <c r="J1027" s="70"/>
      <c r="K1027" s="23"/>
      <c r="L1027" s="70"/>
      <c r="M1027" s="70"/>
      <c r="N1027" s="23"/>
      <c r="O1027" s="23"/>
      <c r="P1027" s="23"/>
      <c r="Q1027" s="23"/>
      <c r="R1027" s="72"/>
      <c r="S1027" s="23"/>
      <c r="T1027" s="23"/>
      <c r="U1027" s="23"/>
      <c r="V1027" s="23"/>
      <c r="W1027" s="23"/>
      <c r="X1027" s="23"/>
      <c r="Y1027" s="23"/>
      <c r="Z1027" s="23"/>
      <c r="AA1027" s="23"/>
      <c r="AB1027" s="23"/>
      <c r="AC1027" s="23"/>
      <c r="AD1027" s="23"/>
      <c r="AE1027" s="23"/>
    </row>
    <row r="1028" spans="1:31">
      <c r="A1028" s="23"/>
      <c r="B1028" s="40"/>
      <c r="C1028" s="40"/>
      <c r="D1028" s="23"/>
      <c r="E1028" s="23"/>
      <c r="F1028" s="23"/>
      <c r="G1028" s="23"/>
      <c r="H1028" s="40"/>
      <c r="I1028" s="40"/>
      <c r="J1028" s="70"/>
      <c r="K1028" s="23"/>
      <c r="L1028" s="70"/>
      <c r="M1028" s="70"/>
      <c r="N1028" s="23"/>
      <c r="O1028" s="23"/>
      <c r="P1028" s="23"/>
      <c r="Q1028" s="23"/>
      <c r="R1028" s="72"/>
      <c r="S1028" s="23"/>
      <c r="T1028" s="23"/>
      <c r="U1028" s="23"/>
      <c r="V1028" s="23"/>
      <c r="W1028" s="23"/>
      <c r="X1028" s="23"/>
      <c r="Y1028" s="23"/>
      <c r="Z1028" s="23"/>
      <c r="AA1028" s="23"/>
      <c r="AB1028" s="23"/>
      <c r="AC1028" s="23"/>
      <c r="AD1028" s="23"/>
      <c r="AE1028" s="23"/>
    </row>
    <row r="1029" spans="1:31">
      <c r="A1029" s="23"/>
      <c r="B1029" s="40"/>
      <c r="C1029" s="40"/>
      <c r="D1029" s="23"/>
      <c r="E1029" s="23"/>
      <c r="F1029" s="23"/>
      <c r="G1029" s="23"/>
      <c r="H1029" s="23"/>
      <c r="I1029" s="40"/>
      <c r="J1029" s="70"/>
      <c r="K1029" s="23"/>
      <c r="L1029" s="70"/>
      <c r="M1029" s="70"/>
      <c r="N1029" s="23"/>
      <c r="O1029" s="23"/>
      <c r="P1029" s="23"/>
      <c r="Q1029" s="23"/>
      <c r="R1029" s="72"/>
      <c r="S1029" s="23"/>
      <c r="T1029" s="23"/>
      <c r="U1029" s="23"/>
      <c r="V1029" s="23"/>
      <c r="W1029" s="23"/>
      <c r="X1029" s="23"/>
      <c r="Y1029" s="23"/>
      <c r="Z1029" s="23"/>
      <c r="AA1029" s="23"/>
      <c r="AB1029" s="23"/>
      <c r="AC1029" s="23"/>
      <c r="AD1029" s="23"/>
      <c r="AE1029" s="23"/>
    </row>
    <row r="1030" spans="1:31">
      <c r="A1030" s="23"/>
      <c r="B1030" s="40"/>
      <c r="C1030" s="40"/>
      <c r="D1030" s="23"/>
      <c r="E1030" s="23"/>
      <c r="F1030" s="23"/>
      <c r="G1030" s="40"/>
      <c r="H1030" s="23"/>
      <c r="I1030" s="40"/>
      <c r="J1030" s="70"/>
      <c r="K1030" s="23"/>
      <c r="L1030" s="70"/>
      <c r="M1030" s="70"/>
      <c r="N1030" s="23"/>
      <c r="O1030" s="23"/>
      <c r="P1030" s="23"/>
      <c r="Q1030" s="23"/>
      <c r="R1030" s="72"/>
      <c r="S1030" s="23"/>
      <c r="T1030" s="23"/>
      <c r="U1030" s="23"/>
      <c r="V1030" s="23"/>
      <c r="W1030" s="23"/>
      <c r="X1030" s="23"/>
      <c r="Y1030" s="23"/>
      <c r="Z1030" s="23"/>
      <c r="AA1030" s="23"/>
      <c r="AB1030" s="23"/>
      <c r="AC1030" s="23"/>
      <c r="AD1030" s="23"/>
      <c r="AE1030" s="23"/>
    </row>
    <row r="1031" spans="1:31">
      <c r="A1031" s="23"/>
      <c r="B1031" s="40"/>
      <c r="C1031" s="40"/>
      <c r="D1031" s="23"/>
      <c r="E1031" s="23"/>
      <c r="F1031" s="23"/>
      <c r="G1031" s="23"/>
      <c r="H1031" s="23"/>
      <c r="I1031" s="40"/>
      <c r="J1031" s="70"/>
      <c r="K1031" s="23"/>
      <c r="L1031" s="70"/>
      <c r="M1031" s="70"/>
      <c r="N1031" s="23"/>
      <c r="O1031" s="23"/>
      <c r="P1031" s="23"/>
      <c r="Q1031" s="23"/>
      <c r="R1031" s="72"/>
      <c r="S1031" s="23"/>
      <c r="T1031" s="23"/>
      <c r="U1031" s="23"/>
      <c r="V1031" s="23"/>
      <c r="W1031" s="23"/>
      <c r="X1031" s="23"/>
      <c r="Y1031" s="23"/>
      <c r="Z1031" s="23"/>
      <c r="AA1031" s="23"/>
      <c r="AB1031" s="23"/>
      <c r="AC1031" s="23"/>
      <c r="AD1031" s="23"/>
      <c r="AE1031" s="23"/>
    </row>
    <row r="1032" spans="1:31" ht="24" customHeight="1">
      <c r="A1032" s="23"/>
      <c r="B1032" s="40"/>
      <c r="C1032" s="40"/>
      <c r="D1032" s="23"/>
      <c r="E1032" s="23"/>
      <c r="F1032" s="23"/>
      <c r="G1032" s="23"/>
      <c r="H1032" s="40"/>
      <c r="I1032" s="40"/>
      <c r="J1032" s="70"/>
      <c r="K1032" s="23"/>
      <c r="L1032" s="70"/>
      <c r="M1032" s="70"/>
      <c r="N1032" s="23"/>
      <c r="O1032" s="23"/>
      <c r="P1032" s="23"/>
      <c r="Q1032" s="23"/>
      <c r="R1032" s="72"/>
      <c r="S1032" s="23"/>
      <c r="T1032" s="23"/>
      <c r="U1032" s="23"/>
      <c r="V1032" s="23"/>
      <c r="W1032" s="23"/>
      <c r="X1032" s="23"/>
      <c r="Y1032" s="23"/>
      <c r="Z1032" s="23"/>
      <c r="AA1032" s="23"/>
      <c r="AB1032" s="23"/>
      <c r="AC1032" s="23"/>
      <c r="AD1032" s="23"/>
      <c r="AE1032" s="23"/>
    </row>
    <row r="1033" spans="1:31">
      <c r="A1033" s="23"/>
      <c r="B1033" s="40"/>
      <c r="C1033" s="40"/>
      <c r="D1033" s="23"/>
      <c r="E1033" s="23"/>
      <c r="F1033" s="23"/>
      <c r="G1033" s="40"/>
      <c r="H1033" s="40"/>
      <c r="I1033" s="40"/>
      <c r="J1033" s="70"/>
      <c r="K1033" s="23"/>
      <c r="L1033" s="70"/>
      <c r="M1033" s="70"/>
      <c r="N1033" s="23"/>
      <c r="O1033" s="23"/>
      <c r="P1033" s="23"/>
      <c r="Q1033" s="23"/>
      <c r="R1033" s="72"/>
      <c r="S1033" s="23"/>
      <c r="T1033" s="23"/>
      <c r="U1033" s="23"/>
      <c r="V1033" s="23"/>
      <c r="W1033" s="23"/>
      <c r="X1033" s="23"/>
      <c r="Y1033" s="23"/>
      <c r="Z1033" s="23"/>
      <c r="AA1033" s="23"/>
      <c r="AB1033" s="23"/>
      <c r="AC1033" s="23"/>
      <c r="AD1033" s="23"/>
      <c r="AE1033" s="23"/>
    </row>
    <row r="1034" spans="1:31">
      <c r="A1034" s="23"/>
      <c r="B1034" s="40"/>
      <c r="C1034" s="40"/>
      <c r="D1034" s="23"/>
      <c r="E1034" s="23"/>
      <c r="F1034" s="23"/>
      <c r="G1034" s="23"/>
      <c r="H1034" s="40"/>
      <c r="I1034" s="40"/>
      <c r="J1034" s="70"/>
      <c r="K1034" s="23"/>
      <c r="L1034" s="70"/>
      <c r="M1034" s="70"/>
      <c r="N1034" s="23"/>
      <c r="O1034" s="23"/>
      <c r="P1034" s="23"/>
      <c r="Q1034" s="23"/>
      <c r="R1034" s="72"/>
      <c r="S1034" s="23"/>
      <c r="T1034" s="23"/>
      <c r="U1034" s="23"/>
      <c r="V1034" s="23"/>
      <c r="W1034" s="23"/>
      <c r="X1034" s="23"/>
      <c r="Y1034" s="23"/>
      <c r="Z1034" s="23"/>
      <c r="AA1034" s="23"/>
      <c r="AB1034" s="23"/>
      <c r="AC1034" s="23"/>
      <c r="AD1034" s="23"/>
      <c r="AE1034" s="23"/>
    </row>
    <row r="1035" spans="1:31">
      <c r="A1035" s="23"/>
      <c r="B1035" s="40"/>
      <c r="C1035" s="40"/>
      <c r="D1035" s="23"/>
      <c r="E1035" s="23"/>
      <c r="F1035" s="23"/>
      <c r="G1035" s="23"/>
      <c r="H1035" s="40"/>
      <c r="I1035" s="40"/>
      <c r="J1035" s="70"/>
      <c r="K1035" s="23"/>
      <c r="L1035" s="70"/>
      <c r="M1035" s="70"/>
      <c r="N1035" s="23"/>
      <c r="O1035" s="23"/>
      <c r="P1035" s="23"/>
      <c r="Q1035" s="23"/>
      <c r="R1035" s="72"/>
      <c r="S1035" s="23"/>
      <c r="T1035" s="23"/>
      <c r="U1035" s="23"/>
      <c r="V1035" s="23"/>
      <c r="W1035" s="23"/>
      <c r="X1035" s="23"/>
      <c r="Y1035" s="23"/>
      <c r="Z1035" s="23"/>
      <c r="AA1035" s="23"/>
      <c r="AB1035" s="23"/>
      <c r="AC1035" s="23"/>
      <c r="AD1035" s="23"/>
      <c r="AE1035" s="23"/>
    </row>
    <row r="1036" spans="1:31">
      <c r="A1036" s="23"/>
      <c r="B1036" s="40"/>
      <c r="C1036" s="40"/>
      <c r="D1036" s="23"/>
      <c r="E1036" s="23"/>
      <c r="F1036" s="23"/>
      <c r="G1036" s="40"/>
      <c r="H1036" s="40"/>
      <c r="I1036" s="40"/>
      <c r="J1036" s="70"/>
      <c r="K1036" s="23"/>
      <c r="L1036" s="70"/>
      <c r="M1036" s="70"/>
      <c r="N1036" s="23"/>
      <c r="O1036" s="23"/>
      <c r="P1036" s="23"/>
      <c r="Q1036" s="23"/>
      <c r="R1036" s="72"/>
      <c r="S1036" s="23"/>
      <c r="T1036" s="23"/>
      <c r="U1036" s="23"/>
      <c r="V1036" s="23"/>
      <c r="W1036" s="23"/>
      <c r="X1036" s="23"/>
      <c r="Y1036" s="23"/>
      <c r="Z1036" s="23"/>
      <c r="AA1036" s="23"/>
      <c r="AB1036" s="23"/>
      <c r="AC1036" s="23"/>
      <c r="AD1036" s="23"/>
      <c r="AE1036" s="23"/>
    </row>
    <row r="1037" spans="1:31">
      <c r="A1037" s="23"/>
      <c r="B1037" s="40"/>
      <c r="C1037" s="40"/>
      <c r="D1037" s="23"/>
      <c r="E1037" s="23"/>
      <c r="F1037" s="23"/>
      <c r="G1037" s="23"/>
      <c r="H1037" s="23"/>
      <c r="I1037" s="40"/>
      <c r="J1037" s="70"/>
      <c r="K1037" s="23"/>
      <c r="L1037" s="70"/>
      <c r="M1037" s="70"/>
      <c r="N1037" s="23"/>
      <c r="O1037" s="23"/>
      <c r="P1037" s="23"/>
      <c r="Q1037" s="23"/>
      <c r="R1037" s="72"/>
      <c r="S1037" s="23"/>
      <c r="T1037" s="23"/>
      <c r="U1037" s="23"/>
      <c r="V1037" s="23"/>
      <c r="W1037" s="23"/>
      <c r="X1037" s="23"/>
      <c r="Y1037" s="23"/>
      <c r="Z1037" s="23"/>
      <c r="AA1037" s="23"/>
      <c r="AB1037" s="23"/>
      <c r="AC1037" s="23"/>
      <c r="AD1037" s="23"/>
      <c r="AE1037" s="23"/>
    </row>
    <row r="1038" spans="1:31">
      <c r="A1038" s="23"/>
      <c r="B1038" s="40"/>
      <c r="C1038" s="40"/>
      <c r="D1038" s="23"/>
      <c r="E1038" s="23"/>
      <c r="F1038" s="23"/>
      <c r="G1038" s="23"/>
      <c r="H1038" s="23"/>
      <c r="I1038" s="40"/>
      <c r="J1038" s="70"/>
      <c r="K1038" s="23"/>
      <c r="L1038" s="70"/>
      <c r="M1038" s="70"/>
      <c r="N1038" s="23"/>
      <c r="O1038" s="23"/>
      <c r="P1038" s="23"/>
      <c r="Q1038" s="23"/>
      <c r="R1038" s="72"/>
      <c r="S1038" s="23"/>
      <c r="T1038" s="23"/>
      <c r="U1038" s="23"/>
      <c r="V1038" s="23"/>
      <c r="W1038" s="23"/>
      <c r="X1038" s="23"/>
      <c r="Y1038" s="23"/>
      <c r="Z1038" s="23"/>
      <c r="AA1038" s="23"/>
      <c r="AB1038" s="23"/>
      <c r="AC1038" s="23"/>
      <c r="AD1038" s="23"/>
      <c r="AE1038" s="23"/>
    </row>
    <row r="1039" spans="1:31" ht="24" customHeight="1">
      <c r="A1039" s="23"/>
      <c r="B1039" s="40"/>
      <c r="C1039" s="40"/>
      <c r="D1039" s="23"/>
      <c r="E1039" s="23"/>
      <c r="F1039" s="23"/>
      <c r="G1039" s="40"/>
      <c r="H1039" s="40"/>
      <c r="I1039" s="40"/>
      <c r="J1039" s="70"/>
      <c r="K1039" s="23"/>
      <c r="L1039" s="70"/>
      <c r="M1039" s="70"/>
      <c r="N1039" s="23"/>
      <c r="O1039" s="23"/>
      <c r="P1039" s="23"/>
      <c r="Q1039" s="23"/>
      <c r="R1039" s="72"/>
      <c r="S1039" s="23"/>
      <c r="T1039" s="23"/>
      <c r="U1039" s="23"/>
      <c r="V1039" s="23"/>
      <c r="W1039" s="23"/>
      <c r="X1039" s="23"/>
      <c r="Y1039" s="23"/>
      <c r="Z1039" s="23"/>
      <c r="AA1039" s="23"/>
      <c r="AB1039" s="23"/>
      <c r="AC1039" s="23"/>
      <c r="AD1039" s="23"/>
      <c r="AE1039" s="23"/>
    </row>
    <row r="1040" spans="1:31">
      <c r="A1040" s="23"/>
      <c r="B1040" s="40"/>
      <c r="C1040" s="40"/>
      <c r="D1040" s="23"/>
      <c r="E1040" s="23"/>
      <c r="F1040" s="23"/>
      <c r="G1040" s="23"/>
      <c r="H1040" s="40"/>
      <c r="I1040" s="40"/>
      <c r="J1040" s="70"/>
      <c r="K1040" s="23"/>
      <c r="L1040" s="70"/>
      <c r="M1040" s="70"/>
      <c r="N1040" s="23"/>
      <c r="O1040" s="23"/>
      <c r="P1040" s="23"/>
      <c r="Q1040" s="23"/>
      <c r="R1040" s="72"/>
      <c r="S1040" s="23"/>
      <c r="T1040" s="23"/>
      <c r="U1040" s="23"/>
      <c r="V1040" s="23"/>
      <c r="W1040" s="23"/>
      <c r="X1040" s="23"/>
      <c r="Y1040" s="23"/>
      <c r="Z1040" s="23"/>
      <c r="AA1040" s="23"/>
      <c r="AB1040" s="23"/>
      <c r="AC1040" s="23"/>
      <c r="AD1040" s="23"/>
      <c r="AE1040" s="23"/>
    </row>
    <row r="1041" spans="1:31">
      <c r="A1041" s="23"/>
      <c r="B1041" s="40"/>
      <c r="C1041" s="40"/>
      <c r="D1041" s="23"/>
      <c r="E1041" s="23"/>
      <c r="F1041" s="23"/>
      <c r="G1041" s="23"/>
      <c r="H1041" s="40"/>
      <c r="I1041" s="40"/>
      <c r="J1041" s="70"/>
      <c r="K1041" s="23"/>
      <c r="L1041" s="70"/>
      <c r="M1041" s="70"/>
      <c r="N1041" s="23"/>
      <c r="O1041" s="23"/>
      <c r="P1041" s="23"/>
      <c r="Q1041" s="23"/>
      <c r="R1041" s="72"/>
      <c r="S1041" s="23"/>
      <c r="T1041" s="23"/>
      <c r="U1041" s="23"/>
      <c r="V1041" s="23"/>
      <c r="W1041" s="23"/>
      <c r="X1041" s="23"/>
      <c r="Y1041" s="23"/>
      <c r="Z1041" s="23"/>
      <c r="AA1041" s="23"/>
      <c r="AB1041" s="23"/>
      <c r="AC1041" s="23"/>
      <c r="AD1041" s="23"/>
      <c r="AE1041" s="23"/>
    </row>
    <row r="1042" spans="1:31">
      <c r="A1042" s="23"/>
      <c r="B1042" s="40"/>
      <c r="C1042" s="40"/>
      <c r="D1042" s="23"/>
      <c r="E1042" s="23"/>
      <c r="F1042" s="23"/>
      <c r="G1042" s="40"/>
      <c r="H1042" s="40"/>
      <c r="I1042" s="40"/>
      <c r="J1042" s="70"/>
      <c r="K1042" s="23"/>
      <c r="L1042" s="70"/>
      <c r="M1042" s="70"/>
      <c r="N1042" s="23"/>
      <c r="O1042" s="23"/>
      <c r="P1042" s="23"/>
      <c r="Q1042" s="23"/>
      <c r="R1042" s="72"/>
      <c r="S1042" s="23"/>
      <c r="T1042" s="23"/>
      <c r="U1042" s="23"/>
      <c r="V1042" s="23"/>
      <c r="W1042" s="23"/>
      <c r="X1042" s="23"/>
      <c r="Y1042" s="23"/>
      <c r="Z1042" s="23"/>
      <c r="AA1042" s="23"/>
      <c r="AB1042" s="23"/>
      <c r="AC1042" s="23"/>
      <c r="AD1042" s="23"/>
      <c r="AE1042" s="23"/>
    </row>
    <row r="1043" spans="1:31">
      <c r="A1043" s="23"/>
      <c r="B1043" s="40"/>
      <c r="C1043" s="40"/>
      <c r="D1043" s="23"/>
      <c r="E1043" s="23"/>
      <c r="F1043" s="23"/>
      <c r="G1043" s="23"/>
      <c r="H1043" s="40"/>
      <c r="I1043" s="40"/>
      <c r="J1043" s="70"/>
      <c r="K1043" s="23"/>
      <c r="L1043" s="70"/>
      <c r="M1043" s="70"/>
      <c r="N1043" s="23"/>
      <c r="O1043" s="23"/>
      <c r="P1043" s="23"/>
      <c r="Q1043" s="23"/>
      <c r="R1043" s="72"/>
      <c r="S1043" s="23"/>
      <c r="T1043" s="23"/>
      <c r="U1043" s="23"/>
      <c r="V1043" s="23"/>
      <c r="W1043" s="23"/>
      <c r="X1043" s="23"/>
      <c r="Y1043" s="23"/>
      <c r="Z1043" s="23"/>
      <c r="AA1043" s="23"/>
      <c r="AB1043" s="23"/>
      <c r="AC1043" s="23"/>
      <c r="AD1043" s="23"/>
      <c r="AE1043" s="23"/>
    </row>
    <row r="1044" spans="1:31">
      <c r="A1044" s="23"/>
      <c r="B1044" s="40"/>
      <c r="C1044" s="40"/>
      <c r="D1044" s="23"/>
      <c r="E1044" s="23"/>
      <c r="F1044" s="23"/>
      <c r="G1044" s="23"/>
      <c r="H1044" s="40"/>
      <c r="I1044" s="40"/>
      <c r="J1044" s="70"/>
      <c r="K1044" s="23"/>
      <c r="L1044" s="70"/>
      <c r="M1044" s="70"/>
      <c r="N1044" s="23"/>
      <c r="O1044" s="23"/>
      <c r="P1044" s="23"/>
      <c r="Q1044" s="23"/>
      <c r="R1044" s="72"/>
      <c r="S1044" s="23"/>
      <c r="T1044" s="23"/>
      <c r="U1044" s="23"/>
      <c r="V1044" s="23"/>
      <c r="W1044" s="23"/>
      <c r="X1044" s="23"/>
      <c r="Y1044" s="23"/>
      <c r="Z1044" s="23"/>
      <c r="AA1044" s="23"/>
      <c r="AB1044" s="23"/>
      <c r="AC1044" s="23"/>
      <c r="AD1044" s="23"/>
      <c r="AE1044" s="23"/>
    </row>
    <row r="1045" spans="1:31">
      <c r="A1045" s="23"/>
      <c r="B1045" s="40"/>
      <c r="C1045" s="40"/>
      <c r="D1045" s="23"/>
      <c r="E1045" s="23"/>
      <c r="F1045" s="23"/>
      <c r="G1045" s="40"/>
      <c r="H1045" s="40"/>
      <c r="I1045" s="40"/>
      <c r="J1045" s="70"/>
      <c r="K1045" s="23"/>
      <c r="L1045" s="70"/>
      <c r="M1045" s="70"/>
      <c r="N1045" s="23"/>
      <c r="O1045" s="23"/>
      <c r="P1045" s="23"/>
      <c r="Q1045" s="23"/>
      <c r="R1045" s="72"/>
      <c r="S1045" s="23"/>
      <c r="T1045" s="23"/>
      <c r="U1045" s="23"/>
      <c r="V1045" s="23"/>
      <c r="W1045" s="23"/>
      <c r="X1045" s="23"/>
      <c r="Y1045" s="23"/>
      <c r="Z1045" s="23"/>
      <c r="AA1045" s="23"/>
      <c r="AB1045" s="23"/>
      <c r="AC1045" s="23"/>
      <c r="AD1045" s="23"/>
      <c r="AE1045" s="23"/>
    </row>
    <row r="1046" spans="1:31">
      <c r="A1046" s="23"/>
      <c r="B1046" s="40"/>
      <c r="C1046" s="40"/>
      <c r="D1046" s="23"/>
      <c r="E1046" s="23"/>
      <c r="F1046" s="23"/>
      <c r="G1046" s="23"/>
      <c r="H1046" s="23"/>
      <c r="I1046" s="40"/>
      <c r="J1046" s="70"/>
      <c r="K1046" s="23"/>
      <c r="L1046" s="70"/>
      <c r="M1046" s="70"/>
      <c r="N1046" s="23"/>
      <c r="O1046" s="23"/>
      <c r="P1046" s="23"/>
      <c r="Q1046" s="23"/>
      <c r="R1046" s="72"/>
      <c r="S1046" s="23"/>
      <c r="T1046" s="23"/>
      <c r="U1046" s="23"/>
      <c r="V1046" s="23"/>
      <c r="W1046" s="23"/>
      <c r="X1046" s="23"/>
      <c r="Y1046" s="23"/>
      <c r="Z1046" s="23"/>
      <c r="AA1046" s="23"/>
      <c r="AB1046" s="23"/>
      <c r="AC1046" s="23"/>
      <c r="AD1046" s="23"/>
      <c r="AE1046" s="23"/>
    </row>
    <row r="1047" spans="1:31">
      <c r="A1047" s="23"/>
      <c r="B1047" s="40"/>
      <c r="C1047" s="40"/>
      <c r="D1047" s="23"/>
      <c r="E1047" s="23"/>
      <c r="F1047" s="23"/>
      <c r="G1047" s="23"/>
      <c r="H1047" s="23"/>
      <c r="I1047" s="40"/>
      <c r="J1047" s="70"/>
      <c r="K1047" s="23"/>
      <c r="L1047" s="70"/>
      <c r="M1047" s="70"/>
      <c r="N1047" s="23"/>
      <c r="O1047" s="23"/>
      <c r="P1047" s="23"/>
      <c r="Q1047" s="23"/>
      <c r="R1047" s="72"/>
      <c r="S1047" s="23"/>
      <c r="T1047" s="23"/>
      <c r="U1047" s="23"/>
      <c r="V1047" s="23"/>
      <c r="W1047" s="23"/>
      <c r="X1047" s="23"/>
      <c r="Y1047" s="23"/>
      <c r="Z1047" s="23"/>
      <c r="AA1047" s="23"/>
      <c r="AB1047" s="23"/>
      <c r="AC1047" s="23"/>
      <c r="AD1047" s="23"/>
      <c r="AE1047" s="23"/>
    </row>
    <row r="1048" spans="1:31">
      <c r="A1048" s="23"/>
      <c r="B1048" s="40"/>
      <c r="C1048" s="40"/>
      <c r="D1048" s="23"/>
      <c r="E1048" s="23"/>
      <c r="F1048" s="23"/>
      <c r="G1048" s="40"/>
      <c r="H1048" s="23"/>
      <c r="I1048" s="40"/>
      <c r="J1048" s="70"/>
      <c r="K1048" s="23"/>
      <c r="L1048" s="70"/>
      <c r="M1048" s="70"/>
      <c r="N1048" s="23"/>
      <c r="O1048" s="23"/>
      <c r="P1048" s="23"/>
      <c r="Q1048" s="23"/>
      <c r="R1048" s="72"/>
      <c r="S1048" s="23"/>
      <c r="T1048" s="23"/>
      <c r="U1048" s="23"/>
      <c r="V1048" s="23"/>
      <c r="W1048" s="23"/>
      <c r="X1048" s="23"/>
      <c r="Y1048" s="23"/>
      <c r="Z1048" s="23"/>
      <c r="AA1048" s="23"/>
      <c r="AB1048" s="23"/>
      <c r="AC1048" s="23"/>
      <c r="AD1048" s="23"/>
      <c r="AE1048" s="23"/>
    </row>
    <row r="1049" spans="1:31">
      <c r="A1049" s="23"/>
      <c r="B1049" s="40"/>
      <c r="C1049" s="40"/>
      <c r="D1049" s="23"/>
      <c r="E1049" s="23"/>
      <c r="F1049" s="23"/>
      <c r="G1049" s="23"/>
      <c r="H1049" s="23"/>
      <c r="I1049" s="40"/>
      <c r="J1049" s="70"/>
      <c r="K1049" s="23"/>
      <c r="L1049" s="70"/>
      <c r="M1049" s="70"/>
      <c r="N1049" s="23"/>
      <c r="O1049" s="23"/>
      <c r="P1049" s="23"/>
      <c r="Q1049" s="23"/>
      <c r="R1049" s="72"/>
      <c r="S1049" s="23"/>
      <c r="T1049" s="23"/>
      <c r="U1049" s="23"/>
      <c r="V1049" s="23"/>
      <c r="W1049" s="23"/>
      <c r="X1049" s="23"/>
      <c r="Y1049" s="23"/>
      <c r="Z1049" s="23"/>
      <c r="AA1049" s="23"/>
      <c r="AB1049" s="23"/>
      <c r="AC1049" s="23"/>
      <c r="AD1049" s="23"/>
      <c r="AE1049" s="23"/>
    </row>
    <row r="1050" spans="1:31">
      <c r="A1050" s="23"/>
      <c r="B1050" s="40"/>
      <c r="C1050" s="40"/>
      <c r="D1050" s="23"/>
      <c r="E1050" s="23"/>
      <c r="F1050" s="23"/>
      <c r="G1050" s="23"/>
      <c r="H1050" s="23"/>
      <c r="I1050" s="40"/>
      <c r="J1050" s="70"/>
      <c r="K1050" s="23"/>
      <c r="L1050" s="70"/>
      <c r="M1050" s="70"/>
      <c r="N1050" s="23"/>
      <c r="O1050" s="23"/>
      <c r="P1050" s="23"/>
      <c r="Q1050" s="23"/>
      <c r="R1050" s="72"/>
      <c r="S1050" s="23"/>
      <c r="T1050" s="23"/>
      <c r="U1050" s="23"/>
      <c r="V1050" s="23"/>
      <c r="W1050" s="23"/>
      <c r="X1050" s="23"/>
      <c r="Y1050" s="23"/>
      <c r="Z1050" s="23"/>
      <c r="AA1050" s="23"/>
      <c r="AB1050" s="23"/>
      <c r="AC1050" s="23"/>
      <c r="AD1050" s="23"/>
      <c r="AE1050" s="23"/>
    </row>
    <row r="1051" spans="1:31">
      <c r="A1051" s="23"/>
      <c r="B1051" s="40"/>
      <c r="C1051" s="40"/>
      <c r="D1051" s="23"/>
      <c r="E1051" s="23"/>
      <c r="F1051" s="23"/>
      <c r="G1051" s="40"/>
      <c r="H1051" s="23"/>
      <c r="I1051" s="40"/>
      <c r="J1051" s="70"/>
      <c r="K1051" s="23"/>
      <c r="L1051" s="70"/>
      <c r="M1051" s="70"/>
      <c r="N1051" s="23"/>
      <c r="O1051" s="23"/>
      <c r="P1051" s="23"/>
      <c r="Q1051" s="23"/>
      <c r="R1051" s="72"/>
      <c r="S1051" s="23"/>
      <c r="T1051" s="23"/>
      <c r="U1051" s="23"/>
      <c r="V1051" s="23"/>
      <c r="W1051" s="23"/>
      <c r="X1051" s="23"/>
      <c r="Y1051" s="23"/>
      <c r="Z1051" s="23"/>
      <c r="AA1051" s="23"/>
      <c r="AB1051" s="23"/>
      <c r="AC1051" s="23"/>
      <c r="AD1051" s="23"/>
      <c r="AE1051" s="23"/>
    </row>
    <row r="1052" spans="1:31">
      <c r="A1052" s="23"/>
      <c r="B1052" s="40"/>
      <c r="C1052" s="40"/>
      <c r="D1052" s="23"/>
      <c r="E1052" s="23"/>
      <c r="F1052" s="23"/>
      <c r="G1052" s="23"/>
      <c r="H1052" s="23"/>
      <c r="I1052" s="40"/>
      <c r="J1052" s="70"/>
      <c r="K1052" s="23"/>
      <c r="L1052" s="70"/>
      <c r="M1052" s="70"/>
      <c r="N1052" s="23"/>
      <c r="O1052" s="23"/>
      <c r="P1052" s="23"/>
      <c r="Q1052" s="23"/>
      <c r="R1052" s="72"/>
      <c r="S1052" s="23"/>
      <c r="T1052" s="23"/>
      <c r="U1052" s="23"/>
      <c r="V1052" s="23"/>
      <c r="W1052" s="23"/>
      <c r="X1052" s="23"/>
      <c r="Y1052" s="23"/>
      <c r="Z1052" s="23"/>
      <c r="AA1052" s="23"/>
      <c r="AB1052" s="23"/>
      <c r="AC1052" s="23"/>
      <c r="AD1052" s="23"/>
      <c r="AE1052" s="23"/>
    </row>
    <row r="1053" spans="1:31">
      <c r="A1053" s="23"/>
      <c r="B1053" s="40"/>
      <c r="C1053" s="40"/>
      <c r="D1053" s="23"/>
      <c r="E1053" s="23"/>
      <c r="F1053" s="23"/>
      <c r="G1053" s="23"/>
      <c r="H1053" s="23"/>
      <c r="I1053" s="40"/>
      <c r="J1053" s="70"/>
      <c r="K1053" s="23"/>
      <c r="L1053" s="70"/>
      <c r="M1053" s="70"/>
      <c r="N1053" s="23"/>
      <c r="O1053" s="23"/>
      <c r="P1053" s="23"/>
      <c r="Q1053" s="23"/>
      <c r="R1053" s="72"/>
      <c r="S1053" s="23"/>
      <c r="T1053" s="23"/>
      <c r="U1053" s="23"/>
      <c r="V1053" s="23"/>
      <c r="W1053" s="23"/>
      <c r="X1053" s="23"/>
      <c r="Y1053" s="23"/>
      <c r="Z1053" s="23"/>
      <c r="AA1053" s="23"/>
      <c r="AB1053" s="23"/>
      <c r="AC1053" s="23"/>
      <c r="AD1053" s="23"/>
      <c r="AE1053" s="23"/>
    </row>
    <row r="1054" spans="1:31">
      <c r="A1054" s="23"/>
      <c r="B1054" s="40"/>
      <c r="C1054" s="40"/>
      <c r="D1054" s="23"/>
      <c r="E1054" s="23"/>
      <c r="F1054" s="23"/>
      <c r="G1054" s="40"/>
      <c r="H1054" s="23"/>
      <c r="I1054" s="40"/>
      <c r="J1054" s="70"/>
      <c r="K1054" s="23"/>
      <c r="L1054" s="70"/>
      <c r="M1054" s="70"/>
      <c r="N1054" s="23"/>
      <c r="O1054" s="23"/>
      <c r="P1054" s="23"/>
      <c r="Q1054" s="23"/>
      <c r="R1054" s="72"/>
      <c r="S1054" s="23"/>
      <c r="T1054" s="23"/>
      <c r="U1054" s="23"/>
      <c r="V1054" s="23"/>
      <c r="W1054" s="23"/>
      <c r="X1054" s="23"/>
      <c r="Y1054" s="23"/>
      <c r="Z1054" s="23"/>
      <c r="AA1054" s="23"/>
      <c r="AB1054" s="23"/>
      <c r="AC1054" s="23"/>
      <c r="AD1054" s="23"/>
      <c r="AE1054" s="23"/>
    </row>
    <row r="1055" spans="1:31">
      <c r="A1055" s="23"/>
      <c r="B1055" s="40"/>
      <c r="C1055" s="40"/>
      <c r="D1055" s="23"/>
      <c r="E1055" s="23"/>
      <c r="F1055" s="23"/>
      <c r="G1055" s="23"/>
      <c r="H1055" s="23"/>
      <c r="I1055" s="40"/>
      <c r="J1055" s="70"/>
      <c r="K1055" s="23"/>
      <c r="L1055" s="70"/>
      <c r="M1055" s="70"/>
      <c r="N1055" s="23"/>
      <c r="O1055" s="23"/>
      <c r="P1055" s="23"/>
      <c r="Q1055" s="23"/>
      <c r="R1055" s="72"/>
      <c r="S1055" s="23"/>
      <c r="T1055" s="23"/>
      <c r="U1055" s="23"/>
      <c r="V1055" s="23"/>
      <c r="W1055" s="23"/>
      <c r="X1055" s="23"/>
      <c r="Y1055" s="23"/>
      <c r="Z1055" s="23"/>
      <c r="AA1055" s="23"/>
      <c r="AB1055" s="23"/>
      <c r="AC1055" s="23"/>
      <c r="AD1055" s="23"/>
      <c r="AE1055" s="23"/>
    </row>
    <row r="1056" spans="1:31">
      <c r="A1056" s="23"/>
      <c r="B1056" s="40"/>
      <c r="C1056" s="40"/>
      <c r="D1056" s="23"/>
      <c r="E1056" s="23"/>
      <c r="F1056" s="23"/>
      <c r="G1056" s="23"/>
      <c r="H1056" s="23"/>
      <c r="I1056" s="40"/>
      <c r="J1056" s="70"/>
      <c r="K1056" s="23"/>
      <c r="L1056" s="70"/>
      <c r="M1056" s="70"/>
      <c r="N1056" s="23"/>
      <c r="O1056" s="23"/>
      <c r="P1056" s="23"/>
      <c r="Q1056" s="23"/>
      <c r="R1056" s="72"/>
      <c r="S1056" s="23"/>
      <c r="T1056" s="23"/>
      <c r="U1056" s="23"/>
      <c r="V1056" s="23"/>
      <c r="W1056" s="23"/>
      <c r="X1056" s="23"/>
      <c r="Y1056" s="23"/>
      <c r="Z1056" s="23"/>
      <c r="AA1056" s="23"/>
      <c r="AB1056" s="23"/>
      <c r="AC1056" s="23"/>
      <c r="AD1056" s="23"/>
      <c r="AE1056" s="23"/>
    </row>
    <row r="1057" spans="1:31">
      <c r="A1057" s="23"/>
      <c r="B1057" s="40"/>
      <c r="C1057" s="40"/>
      <c r="D1057" s="23"/>
      <c r="E1057" s="23"/>
      <c r="F1057" s="23"/>
      <c r="G1057" s="40"/>
      <c r="H1057" s="23"/>
      <c r="I1057" s="40"/>
      <c r="J1057" s="70"/>
      <c r="K1057" s="23"/>
      <c r="L1057" s="70"/>
      <c r="M1057" s="70"/>
      <c r="N1057" s="23"/>
      <c r="O1057" s="23"/>
      <c r="P1057" s="23"/>
      <c r="Q1057" s="23"/>
      <c r="R1057" s="72"/>
      <c r="S1057" s="23"/>
      <c r="T1057" s="23"/>
      <c r="U1057" s="23"/>
      <c r="V1057" s="23"/>
      <c r="W1057" s="23"/>
      <c r="X1057" s="23"/>
      <c r="Y1057" s="23"/>
      <c r="Z1057" s="23"/>
      <c r="AA1057" s="23"/>
      <c r="AB1057" s="23"/>
      <c r="AC1057" s="23"/>
      <c r="AD1057" s="23"/>
      <c r="AE1057" s="23"/>
    </row>
    <row r="1058" spans="1:31">
      <c r="A1058" s="23"/>
      <c r="B1058" s="40"/>
      <c r="C1058" s="40"/>
      <c r="D1058" s="23"/>
      <c r="E1058" s="23"/>
      <c r="F1058" s="23"/>
      <c r="G1058" s="23"/>
      <c r="H1058" s="23"/>
      <c r="I1058" s="40"/>
      <c r="J1058" s="70"/>
      <c r="K1058" s="23"/>
      <c r="L1058" s="70"/>
      <c r="M1058" s="70"/>
      <c r="N1058" s="23"/>
      <c r="O1058" s="23"/>
      <c r="P1058" s="23"/>
      <c r="Q1058" s="23"/>
      <c r="R1058" s="72"/>
      <c r="S1058" s="23"/>
      <c r="T1058" s="23"/>
      <c r="U1058" s="23"/>
      <c r="V1058" s="23"/>
      <c r="W1058" s="23"/>
      <c r="X1058" s="23"/>
      <c r="Y1058" s="23"/>
      <c r="Z1058" s="23"/>
      <c r="AA1058" s="23"/>
      <c r="AB1058" s="23"/>
      <c r="AC1058" s="23"/>
      <c r="AD1058" s="23"/>
      <c r="AE1058" s="23"/>
    </row>
    <row r="1059" spans="1:31">
      <c r="A1059" s="23"/>
      <c r="B1059" s="40"/>
      <c r="C1059" s="40"/>
      <c r="D1059" s="23"/>
      <c r="E1059" s="23"/>
      <c r="F1059" s="23"/>
      <c r="G1059" s="23"/>
      <c r="H1059" s="23"/>
      <c r="I1059" s="40"/>
      <c r="J1059" s="70"/>
      <c r="K1059" s="23"/>
      <c r="L1059" s="70"/>
      <c r="M1059" s="70"/>
      <c r="N1059" s="23"/>
      <c r="O1059" s="23"/>
      <c r="P1059" s="23"/>
      <c r="Q1059" s="23"/>
      <c r="R1059" s="72"/>
      <c r="S1059" s="23"/>
      <c r="T1059" s="23"/>
      <c r="U1059" s="23"/>
      <c r="V1059" s="23"/>
      <c r="W1059" s="23"/>
      <c r="X1059" s="23"/>
      <c r="Y1059" s="23"/>
      <c r="Z1059" s="23"/>
      <c r="AA1059" s="23"/>
      <c r="AB1059" s="23"/>
      <c r="AC1059" s="23"/>
      <c r="AD1059" s="23"/>
      <c r="AE1059" s="23"/>
    </row>
    <row r="1060" spans="1:31" ht="24" customHeight="1">
      <c r="A1060" s="23"/>
      <c r="B1060" s="40"/>
      <c r="C1060" s="40"/>
      <c r="D1060" s="23"/>
      <c r="E1060" s="23"/>
      <c r="F1060" s="23"/>
      <c r="G1060" s="23"/>
      <c r="H1060" s="40"/>
      <c r="I1060" s="40"/>
      <c r="J1060" s="70"/>
      <c r="K1060" s="23"/>
      <c r="L1060" s="70"/>
      <c r="M1060" s="70"/>
      <c r="N1060" s="23"/>
      <c r="O1060" s="23"/>
      <c r="P1060" s="23"/>
      <c r="Q1060" s="23"/>
      <c r="R1060" s="72"/>
      <c r="S1060" s="23"/>
      <c r="T1060" s="23"/>
      <c r="U1060" s="23"/>
      <c r="V1060" s="23"/>
      <c r="W1060" s="23"/>
      <c r="X1060" s="23"/>
      <c r="Y1060" s="23"/>
      <c r="Z1060" s="23"/>
      <c r="AA1060" s="23"/>
      <c r="AB1060" s="23"/>
      <c r="AC1060" s="23"/>
      <c r="AD1060" s="23"/>
      <c r="AE1060" s="23"/>
    </row>
    <row r="1061" spans="1:31">
      <c r="A1061" s="23"/>
      <c r="B1061" s="40"/>
      <c r="C1061" s="40"/>
      <c r="D1061" s="23"/>
      <c r="E1061" s="23"/>
      <c r="F1061" s="23"/>
      <c r="G1061" s="23"/>
      <c r="H1061" s="40"/>
      <c r="I1061" s="40"/>
      <c r="J1061" s="70"/>
      <c r="K1061" s="23"/>
      <c r="L1061" s="70"/>
      <c r="M1061" s="70"/>
      <c r="N1061" s="23"/>
      <c r="O1061" s="23"/>
      <c r="P1061" s="23"/>
      <c r="Q1061" s="23"/>
      <c r="R1061" s="72"/>
      <c r="S1061" s="23"/>
      <c r="T1061" s="23"/>
      <c r="U1061" s="23"/>
      <c r="V1061" s="23"/>
      <c r="W1061" s="23"/>
      <c r="X1061" s="23"/>
      <c r="Y1061" s="23"/>
      <c r="Z1061" s="23"/>
      <c r="AA1061" s="23"/>
      <c r="AB1061" s="23"/>
      <c r="AC1061" s="23"/>
      <c r="AD1061" s="23"/>
      <c r="AE1061" s="23"/>
    </row>
    <row r="1062" spans="1:31">
      <c r="A1062" s="23"/>
      <c r="B1062" s="40"/>
      <c r="C1062" s="40"/>
      <c r="D1062" s="23"/>
      <c r="E1062" s="23"/>
      <c r="F1062" s="23"/>
      <c r="G1062" s="23"/>
      <c r="H1062" s="40"/>
      <c r="I1062" s="40"/>
      <c r="J1062" s="70"/>
      <c r="K1062" s="23"/>
      <c r="L1062" s="70"/>
      <c r="M1062" s="70"/>
      <c r="N1062" s="23"/>
      <c r="O1062" s="23"/>
      <c r="P1062" s="23"/>
      <c r="Q1062" s="23"/>
      <c r="R1062" s="72"/>
      <c r="S1062" s="23"/>
      <c r="T1062" s="23"/>
      <c r="U1062" s="23"/>
      <c r="V1062" s="23"/>
      <c r="W1062" s="23"/>
      <c r="X1062" s="23"/>
      <c r="Y1062" s="23"/>
      <c r="Z1062" s="23"/>
      <c r="AA1062" s="23"/>
      <c r="AB1062" s="23"/>
      <c r="AC1062" s="23"/>
      <c r="AD1062" s="23"/>
      <c r="AE1062" s="23"/>
    </row>
    <row r="1063" spans="1:31">
      <c r="A1063" s="23"/>
      <c r="B1063" s="40"/>
      <c r="C1063" s="40"/>
      <c r="D1063" s="23"/>
      <c r="E1063" s="23"/>
      <c r="F1063" s="23"/>
      <c r="G1063" s="23"/>
      <c r="H1063" s="40"/>
      <c r="I1063" s="40"/>
      <c r="J1063" s="70"/>
      <c r="K1063" s="23"/>
      <c r="L1063" s="70"/>
      <c r="M1063" s="70"/>
      <c r="N1063" s="23"/>
      <c r="O1063" s="23"/>
      <c r="P1063" s="23"/>
      <c r="Q1063" s="23"/>
      <c r="R1063" s="72"/>
      <c r="S1063" s="23"/>
      <c r="T1063" s="23"/>
      <c r="U1063" s="23"/>
      <c r="V1063" s="23"/>
      <c r="W1063" s="23"/>
      <c r="X1063" s="23"/>
      <c r="Y1063" s="23"/>
      <c r="Z1063" s="23"/>
      <c r="AA1063" s="23"/>
      <c r="AB1063" s="23"/>
      <c r="AC1063" s="23"/>
      <c r="AD1063" s="23"/>
      <c r="AE1063" s="23"/>
    </row>
    <row r="1064" spans="1:31">
      <c r="A1064" s="23"/>
      <c r="B1064" s="40"/>
      <c r="C1064" s="40"/>
      <c r="D1064" s="23"/>
      <c r="E1064" s="23"/>
      <c r="F1064" s="23"/>
      <c r="G1064" s="23"/>
      <c r="H1064" s="40"/>
      <c r="I1064" s="40"/>
      <c r="J1064" s="70"/>
      <c r="K1064" s="23"/>
      <c r="L1064" s="70"/>
      <c r="M1064" s="70"/>
      <c r="N1064" s="23"/>
      <c r="O1064" s="23"/>
      <c r="P1064" s="23"/>
      <c r="Q1064" s="23"/>
      <c r="R1064" s="72"/>
      <c r="S1064" s="23"/>
      <c r="T1064" s="23"/>
      <c r="U1064" s="23"/>
      <c r="V1064" s="23"/>
      <c r="W1064" s="23"/>
      <c r="X1064" s="23"/>
      <c r="Y1064" s="23"/>
      <c r="Z1064" s="23"/>
      <c r="AA1064" s="23"/>
      <c r="AB1064" s="23"/>
      <c r="AC1064" s="23"/>
      <c r="AD1064" s="23"/>
      <c r="AE1064" s="23"/>
    </row>
    <row r="1065" spans="1:31">
      <c r="A1065" s="23"/>
      <c r="B1065" s="40"/>
      <c r="C1065" s="40"/>
      <c r="D1065" s="23"/>
      <c r="E1065" s="23"/>
      <c r="F1065" s="23"/>
      <c r="G1065" s="23"/>
      <c r="H1065" s="23"/>
      <c r="I1065" s="40"/>
      <c r="J1065" s="70"/>
      <c r="K1065" s="23"/>
      <c r="L1065" s="70"/>
      <c r="M1065" s="70"/>
      <c r="N1065" s="23"/>
      <c r="O1065" s="23"/>
      <c r="P1065" s="23"/>
      <c r="Q1065" s="23"/>
      <c r="R1065" s="72"/>
      <c r="S1065" s="23"/>
      <c r="T1065" s="23"/>
      <c r="U1065" s="23"/>
      <c r="V1065" s="23"/>
      <c r="W1065" s="23"/>
      <c r="X1065" s="23"/>
      <c r="Y1065" s="23"/>
      <c r="Z1065" s="23"/>
      <c r="AA1065" s="23"/>
      <c r="AB1065" s="23"/>
      <c r="AC1065" s="23"/>
      <c r="AD1065" s="23"/>
      <c r="AE1065" s="23"/>
    </row>
    <row r="1066" spans="1:31">
      <c r="A1066" s="23"/>
      <c r="B1066" s="40"/>
      <c r="C1066" s="40"/>
      <c r="D1066" s="23"/>
      <c r="E1066" s="23"/>
      <c r="F1066" s="23"/>
      <c r="G1066" s="23"/>
      <c r="H1066" s="23"/>
      <c r="I1066" s="40"/>
      <c r="J1066" s="70"/>
      <c r="K1066" s="23"/>
      <c r="L1066" s="70"/>
      <c r="M1066" s="70"/>
      <c r="N1066" s="23"/>
      <c r="O1066" s="23"/>
      <c r="P1066" s="23"/>
      <c r="Q1066" s="23"/>
      <c r="R1066" s="72"/>
      <c r="S1066" s="23"/>
      <c r="T1066" s="23"/>
      <c r="U1066" s="23"/>
      <c r="V1066" s="23"/>
      <c r="W1066" s="23"/>
      <c r="X1066" s="23"/>
      <c r="Y1066" s="23"/>
      <c r="Z1066" s="23"/>
      <c r="AA1066" s="23"/>
      <c r="AB1066" s="23"/>
      <c r="AC1066" s="23"/>
      <c r="AD1066" s="23"/>
      <c r="AE1066" s="23"/>
    </row>
    <row r="1067" spans="1:31" ht="24" customHeight="1">
      <c r="A1067" s="23"/>
      <c r="B1067" s="40"/>
      <c r="C1067" s="40"/>
      <c r="D1067" s="23"/>
      <c r="E1067" s="23"/>
      <c r="F1067" s="23"/>
      <c r="G1067" s="23"/>
      <c r="H1067" s="40"/>
      <c r="I1067" s="40"/>
      <c r="J1067" s="70"/>
      <c r="K1067" s="23"/>
      <c r="L1067" s="70"/>
      <c r="M1067" s="70"/>
      <c r="N1067" s="23"/>
      <c r="O1067" s="23"/>
      <c r="P1067" s="23"/>
      <c r="Q1067" s="23"/>
      <c r="R1067" s="72"/>
      <c r="S1067" s="23"/>
      <c r="T1067" s="23"/>
      <c r="U1067" s="23"/>
      <c r="V1067" s="23"/>
      <c r="W1067" s="23"/>
      <c r="X1067" s="23"/>
      <c r="Y1067" s="23"/>
      <c r="Z1067" s="23"/>
      <c r="AA1067" s="23"/>
      <c r="AB1067" s="23"/>
      <c r="AC1067" s="23"/>
      <c r="AD1067" s="23"/>
      <c r="AE1067" s="23"/>
    </row>
    <row r="1068" spans="1:31">
      <c r="A1068" s="23"/>
      <c r="B1068" s="40"/>
      <c r="C1068" s="40"/>
      <c r="D1068" s="23"/>
      <c r="E1068" s="23"/>
      <c r="F1068" s="23"/>
      <c r="G1068" s="23"/>
      <c r="H1068" s="40"/>
      <c r="I1068" s="40"/>
      <c r="J1068" s="70"/>
      <c r="K1068" s="23"/>
      <c r="L1068" s="70"/>
      <c r="M1068" s="70"/>
      <c r="N1068" s="23"/>
      <c r="O1068" s="23"/>
      <c r="P1068" s="23"/>
      <c r="Q1068" s="23"/>
      <c r="R1068" s="72"/>
      <c r="S1068" s="23"/>
      <c r="T1068" s="23"/>
      <c r="U1068" s="23"/>
      <c r="V1068" s="23"/>
      <c r="W1068" s="23"/>
      <c r="X1068" s="23"/>
      <c r="Y1068" s="23"/>
      <c r="Z1068" s="23"/>
      <c r="AA1068" s="23"/>
      <c r="AB1068" s="23"/>
      <c r="AC1068" s="23"/>
      <c r="AD1068" s="23"/>
      <c r="AE1068" s="23"/>
    </row>
    <row r="1069" spans="1:31">
      <c r="A1069" s="23"/>
      <c r="B1069" s="40"/>
      <c r="C1069" s="40"/>
      <c r="D1069" s="23"/>
      <c r="E1069" s="23"/>
      <c r="F1069" s="23"/>
      <c r="G1069" s="23"/>
      <c r="H1069" s="40"/>
      <c r="I1069" s="40"/>
      <c r="J1069" s="70"/>
      <c r="K1069" s="23"/>
      <c r="L1069" s="70"/>
      <c r="M1069" s="70"/>
      <c r="N1069" s="23"/>
      <c r="O1069" s="23"/>
      <c r="P1069" s="23"/>
      <c r="Q1069" s="23"/>
      <c r="R1069" s="72"/>
      <c r="S1069" s="23"/>
      <c r="T1069" s="23"/>
      <c r="U1069" s="23"/>
      <c r="V1069" s="23"/>
      <c r="W1069" s="23"/>
      <c r="X1069" s="23"/>
      <c r="Y1069" s="23"/>
      <c r="Z1069" s="23"/>
      <c r="AA1069" s="23"/>
      <c r="AB1069" s="23"/>
      <c r="AC1069" s="23"/>
      <c r="AD1069" s="23"/>
      <c r="AE1069" s="23"/>
    </row>
    <row r="1070" spans="1:31">
      <c r="A1070" s="23"/>
      <c r="B1070" s="40"/>
      <c r="C1070" s="40"/>
      <c r="D1070" s="23"/>
      <c r="E1070" s="23"/>
      <c r="F1070" s="23"/>
      <c r="G1070" s="23"/>
      <c r="H1070" s="40"/>
      <c r="I1070" s="40"/>
      <c r="J1070" s="70"/>
      <c r="K1070" s="23"/>
      <c r="L1070" s="70"/>
      <c r="M1070" s="70"/>
      <c r="N1070" s="23"/>
      <c r="O1070" s="23"/>
      <c r="P1070" s="23"/>
      <c r="Q1070" s="23"/>
      <c r="R1070" s="72"/>
      <c r="S1070" s="23"/>
      <c r="T1070" s="23"/>
      <c r="U1070" s="23"/>
      <c r="V1070" s="23"/>
      <c r="W1070" s="23"/>
      <c r="X1070" s="23"/>
      <c r="Y1070" s="23"/>
      <c r="Z1070" s="23"/>
      <c r="AA1070" s="23"/>
      <c r="AB1070" s="23"/>
      <c r="AC1070" s="23"/>
      <c r="AD1070" s="23"/>
      <c r="AE1070" s="23"/>
    </row>
    <row r="1071" spans="1:31">
      <c r="A1071" s="23"/>
      <c r="B1071" s="40"/>
      <c r="C1071" s="40"/>
      <c r="D1071" s="23"/>
      <c r="E1071" s="23"/>
      <c r="F1071" s="23"/>
      <c r="G1071" s="23"/>
      <c r="H1071" s="40"/>
      <c r="I1071" s="40"/>
      <c r="J1071" s="70"/>
      <c r="K1071" s="23"/>
      <c r="L1071" s="70"/>
      <c r="M1071" s="70"/>
      <c r="N1071" s="23"/>
      <c r="O1071" s="23"/>
      <c r="P1071" s="23"/>
      <c r="Q1071" s="23"/>
      <c r="R1071" s="72"/>
      <c r="S1071" s="23"/>
      <c r="T1071" s="23"/>
      <c r="U1071" s="23"/>
      <c r="V1071" s="23"/>
      <c r="W1071" s="23"/>
      <c r="X1071" s="23"/>
      <c r="Y1071" s="23"/>
      <c r="Z1071" s="23"/>
      <c r="AA1071" s="23"/>
      <c r="AB1071" s="23"/>
      <c r="AC1071" s="23"/>
      <c r="AD1071" s="23"/>
      <c r="AE1071" s="23"/>
    </row>
    <row r="1072" spans="1:31">
      <c r="A1072" s="23"/>
      <c r="B1072" s="40"/>
      <c r="C1072" s="40"/>
      <c r="D1072" s="23"/>
      <c r="E1072" s="23"/>
      <c r="F1072" s="23"/>
      <c r="G1072" s="23"/>
      <c r="H1072" s="40"/>
      <c r="I1072" s="40"/>
      <c r="J1072" s="70"/>
      <c r="K1072" s="23"/>
      <c r="L1072" s="70"/>
      <c r="M1072" s="70"/>
      <c r="N1072" s="23"/>
      <c r="O1072" s="23"/>
      <c r="P1072" s="23"/>
      <c r="Q1072" s="23"/>
      <c r="R1072" s="72"/>
      <c r="S1072" s="23"/>
      <c r="T1072" s="23"/>
      <c r="U1072" s="23"/>
      <c r="V1072" s="23"/>
      <c r="W1072" s="23"/>
      <c r="X1072" s="23"/>
      <c r="Y1072" s="23"/>
      <c r="Z1072" s="23"/>
      <c r="AA1072" s="23"/>
      <c r="AB1072" s="23"/>
      <c r="AC1072" s="23"/>
      <c r="AD1072" s="23"/>
      <c r="AE1072" s="23"/>
    </row>
    <row r="1073" spans="1:31">
      <c r="A1073" s="23"/>
      <c r="B1073" s="40"/>
      <c r="C1073" s="40"/>
      <c r="D1073" s="23"/>
      <c r="E1073" s="23"/>
      <c r="F1073" s="23"/>
      <c r="G1073" s="23"/>
      <c r="H1073" s="40"/>
      <c r="I1073" s="40"/>
      <c r="J1073" s="70"/>
      <c r="K1073" s="23"/>
      <c r="L1073" s="70"/>
      <c r="M1073" s="70"/>
      <c r="N1073" s="23"/>
      <c r="O1073" s="23"/>
      <c r="P1073" s="23"/>
      <c r="Q1073" s="23"/>
      <c r="R1073" s="72"/>
      <c r="S1073" s="23"/>
      <c r="T1073" s="23"/>
      <c r="U1073" s="23"/>
      <c r="V1073" s="23"/>
      <c r="W1073" s="23"/>
      <c r="X1073" s="23"/>
      <c r="Y1073" s="23"/>
      <c r="Z1073" s="23"/>
      <c r="AA1073" s="23"/>
      <c r="AB1073" s="23"/>
      <c r="AC1073" s="23"/>
      <c r="AD1073" s="23"/>
      <c r="AE1073" s="23"/>
    </row>
    <row r="1074" spans="1:31">
      <c r="A1074" s="23"/>
      <c r="B1074" s="40"/>
      <c r="C1074" s="40"/>
      <c r="D1074" s="23"/>
      <c r="E1074" s="23"/>
      <c r="F1074" s="23"/>
      <c r="G1074" s="23"/>
      <c r="H1074" s="23"/>
      <c r="I1074" s="40"/>
      <c r="J1074" s="70"/>
      <c r="K1074" s="23"/>
      <c r="L1074" s="70"/>
      <c r="M1074" s="70"/>
      <c r="N1074" s="23"/>
      <c r="O1074" s="23"/>
      <c r="P1074" s="23"/>
      <c r="Q1074" s="23"/>
      <c r="R1074" s="72"/>
      <c r="S1074" s="23"/>
      <c r="T1074" s="23"/>
      <c r="U1074" s="23"/>
      <c r="V1074" s="23"/>
      <c r="W1074" s="23"/>
      <c r="X1074" s="23"/>
      <c r="Y1074" s="23"/>
      <c r="Z1074" s="23"/>
      <c r="AA1074" s="23"/>
      <c r="AB1074" s="23"/>
      <c r="AC1074" s="23"/>
      <c r="AD1074" s="23"/>
      <c r="AE1074" s="23"/>
    </row>
    <row r="1075" spans="1:31">
      <c r="A1075" s="23"/>
      <c r="B1075" s="40"/>
      <c r="C1075" s="40"/>
      <c r="D1075" s="23"/>
      <c r="E1075" s="23"/>
      <c r="F1075" s="23"/>
      <c r="G1075" s="23"/>
      <c r="H1075" s="23"/>
      <c r="I1075" s="40"/>
      <c r="J1075" s="70"/>
      <c r="K1075" s="23"/>
      <c r="L1075" s="70"/>
      <c r="M1075" s="70"/>
      <c r="N1075" s="23"/>
      <c r="O1075" s="23"/>
      <c r="P1075" s="23"/>
      <c r="Q1075" s="23"/>
      <c r="R1075" s="72"/>
      <c r="S1075" s="23"/>
      <c r="T1075" s="23"/>
      <c r="U1075" s="23"/>
      <c r="V1075" s="23"/>
      <c r="W1075" s="23"/>
      <c r="X1075" s="23"/>
      <c r="Y1075" s="23"/>
      <c r="Z1075" s="23"/>
      <c r="AA1075" s="23"/>
      <c r="AB1075" s="23"/>
      <c r="AC1075" s="23"/>
      <c r="AD1075" s="23"/>
      <c r="AE1075" s="23"/>
    </row>
    <row r="1076" spans="1:31" ht="24" customHeight="1">
      <c r="A1076" s="23"/>
      <c r="B1076" s="40"/>
      <c r="C1076" s="40"/>
      <c r="D1076" s="23"/>
      <c r="E1076" s="23"/>
      <c r="F1076" s="23"/>
      <c r="G1076" s="23"/>
      <c r="H1076" s="40"/>
      <c r="I1076" s="40"/>
      <c r="J1076" s="70"/>
      <c r="K1076" s="23"/>
      <c r="L1076" s="70"/>
      <c r="M1076" s="70"/>
      <c r="N1076" s="23"/>
      <c r="O1076" s="23"/>
      <c r="P1076" s="23"/>
      <c r="Q1076" s="23"/>
      <c r="R1076" s="72"/>
      <c r="S1076" s="23"/>
      <c r="T1076" s="23"/>
      <c r="U1076" s="23"/>
      <c r="V1076" s="23"/>
      <c r="W1076" s="23"/>
      <c r="X1076" s="23"/>
      <c r="Y1076" s="23"/>
      <c r="Z1076" s="23"/>
      <c r="AA1076" s="23"/>
      <c r="AB1076" s="23"/>
      <c r="AC1076" s="23"/>
      <c r="AD1076" s="23"/>
      <c r="AE1076" s="23"/>
    </row>
    <row r="1077" spans="1:31">
      <c r="A1077" s="23"/>
      <c r="B1077" s="40"/>
      <c r="C1077" s="40"/>
      <c r="D1077" s="23"/>
      <c r="E1077" s="23"/>
      <c r="F1077" s="23"/>
      <c r="G1077" s="23"/>
      <c r="H1077" s="40"/>
      <c r="I1077" s="40"/>
      <c r="J1077" s="70"/>
      <c r="K1077" s="23"/>
      <c r="L1077" s="70"/>
      <c r="M1077" s="70"/>
      <c r="N1077" s="23"/>
      <c r="O1077" s="23"/>
      <c r="P1077" s="23"/>
      <c r="Q1077" s="23"/>
      <c r="R1077" s="72"/>
      <c r="S1077" s="23"/>
      <c r="T1077" s="23"/>
      <c r="U1077" s="23"/>
      <c r="V1077" s="23"/>
      <c r="W1077" s="23"/>
      <c r="X1077" s="23"/>
      <c r="Y1077" s="23"/>
      <c r="Z1077" s="23"/>
      <c r="AA1077" s="23"/>
      <c r="AB1077" s="23"/>
      <c r="AC1077" s="23"/>
      <c r="AD1077" s="23"/>
      <c r="AE1077" s="23"/>
    </row>
    <row r="1078" spans="1:31">
      <c r="A1078" s="23"/>
      <c r="B1078" s="40"/>
      <c r="C1078" s="40"/>
      <c r="D1078" s="23"/>
      <c r="E1078" s="23"/>
      <c r="F1078" s="23"/>
      <c r="G1078" s="23"/>
      <c r="H1078" s="40"/>
      <c r="I1078" s="40"/>
      <c r="J1078" s="70"/>
      <c r="K1078" s="23"/>
      <c r="L1078" s="70"/>
      <c r="M1078" s="70"/>
      <c r="N1078" s="23"/>
      <c r="O1078" s="23"/>
      <c r="P1078" s="23"/>
      <c r="Q1078" s="23"/>
      <c r="R1078" s="72"/>
      <c r="S1078" s="23"/>
      <c r="T1078" s="23"/>
      <c r="U1078" s="23"/>
      <c r="V1078" s="23"/>
      <c r="W1078" s="23"/>
      <c r="X1078" s="23"/>
      <c r="Y1078" s="23"/>
      <c r="Z1078" s="23"/>
      <c r="AA1078" s="23"/>
      <c r="AB1078" s="23"/>
      <c r="AC1078" s="23"/>
      <c r="AD1078" s="23"/>
      <c r="AE1078" s="23"/>
    </row>
    <row r="1079" spans="1:31">
      <c r="A1079" s="23"/>
      <c r="B1079" s="40"/>
      <c r="C1079" s="40"/>
      <c r="D1079" s="23"/>
      <c r="E1079" s="23"/>
      <c r="F1079" s="23"/>
      <c r="G1079" s="23"/>
      <c r="H1079" s="40"/>
      <c r="I1079" s="40"/>
      <c r="J1079" s="70"/>
      <c r="K1079" s="23"/>
      <c r="L1079" s="70"/>
      <c r="M1079" s="70"/>
      <c r="N1079" s="23"/>
      <c r="O1079" s="23"/>
      <c r="P1079" s="23"/>
      <c r="Q1079" s="23"/>
      <c r="R1079" s="72"/>
      <c r="S1079" s="23"/>
      <c r="T1079" s="23"/>
      <c r="U1079" s="23"/>
      <c r="V1079" s="23"/>
      <c r="W1079" s="23"/>
      <c r="X1079" s="23"/>
      <c r="Y1079" s="23"/>
      <c r="Z1079" s="23"/>
      <c r="AA1079" s="23"/>
      <c r="AB1079" s="23"/>
      <c r="AC1079" s="23"/>
      <c r="AD1079" s="23"/>
      <c r="AE1079" s="23"/>
    </row>
    <row r="1080" spans="1:31">
      <c r="A1080" s="23"/>
      <c r="B1080" s="40"/>
      <c r="C1080" s="40"/>
      <c r="D1080" s="23"/>
      <c r="E1080" s="23"/>
      <c r="F1080" s="23"/>
      <c r="G1080" s="23"/>
      <c r="H1080" s="40"/>
      <c r="I1080" s="40"/>
      <c r="J1080" s="70"/>
      <c r="K1080" s="23"/>
      <c r="L1080" s="70"/>
      <c r="M1080" s="70"/>
      <c r="N1080" s="23"/>
      <c r="O1080" s="23"/>
      <c r="P1080" s="23"/>
      <c r="Q1080" s="23"/>
      <c r="R1080" s="72"/>
      <c r="S1080" s="23"/>
      <c r="T1080" s="23"/>
      <c r="U1080" s="23"/>
      <c r="V1080" s="23"/>
      <c r="W1080" s="23"/>
      <c r="X1080" s="23"/>
      <c r="Y1080" s="23"/>
      <c r="Z1080" s="23"/>
      <c r="AA1080" s="23"/>
      <c r="AB1080" s="23"/>
      <c r="AC1080" s="23"/>
      <c r="AD1080" s="23"/>
      <c r="AE1080" s="23"/>
    </row>
    <row r="1081" spans="1:31">
      <c r="A1081" s="23"/>
      <c r="B1081" s="40"/>
      <c r="C1081" s="40"/>
      <c r="D1081" s="23"/>
      <c r="E1081" s="23"/>
      <c r="F1081" s="23"/>
      <c r="G1081" s="23"/>
      <c r="H1081" s="23"/>
      <c r="I1081" s="40"/>
      <c r="J1081" s="70"/>
      <c r="K1081" s="23"/>
      <c r="L1081" s="70"/>
      <c r="M1081" s="70"/>
      <c r="N1081" s="23"/>
      <c r="O1081" s="23"/>
      <c r="P1081" s="23"/>
      <c r="Q1081" s="23"/>
      <c r="R1081" s="72"/>
      <c r="S1081" s="23"/>
      <c r="T1081" s="23"/>
      <c r="U1081" s="23"/>
      <c r="V1081" s="23"/>
      <c r="W1081" s="23"/>
      <c r="X1081" s="23"/>
      <c r="Y1081" s="23"/>
      <c r="Z1081" s="23"/>
      <c r="AA1081" s="23"/>
      <c r="AB1081" s="23"/>
      <c r="AC1081" s="23"/>
      <c r="AD1081" s="23"/>
      <c r="AE1081" s="23"/>
    </row>
    <row r="1082" spans="1:31">
      <c r="A1082" s="23"/>
      <c r="B1082" s="40"/>
      <c r="C1082" s="40"/>
      <c r="D1082" s="23"/>
      <c r="E1082" s="23"/>
      <c r="F1082" s="23"/>
      <c r="G1082" s="23"/>
      <c r="H1082" s="23"/>
      <c r="I1082" s="40"/>
      <c r="J1082" s="70"/>
      <c r="K1082" s="23"/>
      <c r="L1082" s="70"/>
      <c r="M1082" s="70"/>
      <c r="N1082" s="23"/>
      <c r="O1082" s="23"/>
      <c r="P1082" s="23"/>
      <c r="Q1082" s="23"/>
      <c r="R1082" s="72"/>
      <c r="S1082" s="23"/>
      <c r="T1082" s="23"/>
      <c r="U1082" s="23"/>
      <c r="V1082" s="23"/>
      <c r="W1082" s="23"/>
      <c r="X1082" s="23"/>
      <c r="Y1082" s="23"/>
      <c r="Z1082" s="23"/>
      <c r="AA1082" s="23"/>
      <c r="AB1082" s="23"/>
      <c r="AC1082" s="23"/>
      <c r="AD1082" s="23"/>
      <c r="AE1082" s="23"/>
    </row>
    <row r="1083" spans="1:31" ht="24" customHeight="1">
      <c r="A1083" s="23"/>
      <c r="B1083" s="40"/>
      <c r="C1083" s="40"/>
      <c r="D1083" s="23"/>
      <c r="E1083" s="23"/>
      <c r="F1083" s="23"/>
      <c r="G1083" s="23"/>
      <c r="H1083" s="40"/>
      <c r="I1083" s="40"/>
      <c r="J1083" s="70"/>
      <c r="K1083" s="23"/>
      <c r="L1083" s="70"/>
      <c r="M1083" s="70"/>
      <c r="N1083" s="23"/>
      <c r="O1083" s="23"/>
      <c r="P1083" s="23"/>
      <c r="Q1083" s="23"/>
      <c r="R1083" s="72"/>
      <c r="S1083" s="23"/>
      <c r="T1083" s="23"/>
      <c r="U1083" s="23"/>
      <c r="V1083" s="23"/>
      <c r="W1083" s="23"/>
      <c r="X1083" s="23"/>
      <c r="Y1083" s="23"/>
      <c r="Z1083" s="23"/>
      <c r="AA1083" s="23"/>
      <c r="AB1083" s="23"/>
      <c r="AC1083" s="23"/>
      <c r="AD1083" s="23"/>
      <c r="AE1083" s="23"/>
    </row>
    <row r="1084" spans="1:31">
      <c r="A1084" s="23"/>
      <c r="B1084" s="40"/>
      <c r="C1084" s="40"/>
      <c r="D1084" s="23"/>
      <c r="E1084" s="23"/>
      <c r="F1084" s="23"/>
      <c r="G1084" s="23"/>
      <c r="H1084" s="40"/>
      <c r="I1084" s="40"/>
      <c r="J1084" s="70"/>
      <c r="K1084" s="23"/>
      <c r="L1084" s="70"/>
      <c r="M1084" s="70"/>
      <c r="N1084" s="23"/>
      <c r="O1084" s="23"/>
      <c r="P1084" s="23"/>
      <c r="Q1084" s="23"/>
      <c r="R1084" s="72"/>
      <c r="S1084" s="23"/>
      <c r="T1084" s="23"/>
      <c r="U1084" s="23"/>
      <c r="V1084" s="23"/>
      <c r="W1084" s="23"/>
      <c r="X1084" s="23"/>
      <c r="Y1084" s="23"/>
      <c r="Z1084" s="23"/>
      <c r="AA1084" s="23"/>
      <c r="AB1084" s="23"/>
      <c r="AC1084" s="23"/>
      <c r="AD1084" s="23"/>
      <c r="AE1084" s="23"/>
    </row>
    <row r="1085" spans="1:31">
      <c r="A1085" s="23"/>
      <c r="B1085" s="40"/>
      <c r="C1085" s="40"/>
      <c r="D1085" s="23"/>
      <c r="E1085" s="23"/>
      <c r="F1085" s="23"/>
      <c r="G1085" s="23"/>
      <c r="H1085" s="40"/>
      <c r="I1085" s="40"/>
      <c r="J1085" s="70"/>
      <c r="K1085" s="23"/>
      <c r="L1085" s="70"/>
      <c r="M1085" s="70"/>
      <c r="N1085" s="23"/>
      <c r="O1085" s="23"/>
      <c r="P1085" s="23"/>
      <c r="Q1085" s="23"/>
      <c r="R1085" s="72"/>
      <c r="S1085" s="23"/>
      <c r="T1085" s="23"/>
      <c r="U1085" s="23"/>
      <c r="V1085" s="23"/>
      <c r="W1085" s="23"/>
      <c r="X1085" s="23"/>
      <c r="Y1085" s="23"/>
      <c r="Z1085" s="23"/>
      <c r="AA1085" s="23"/>
      <c r="AB1085" s="23"/>
      <c r="AC1085" s="23"/>
      <c r="AD1085" s="23"/>
      <c r="AE1085" s="23"/>
    </row>
    <row r="1086" spans="1:31">
      <c r="A1086" s="23"/>
      <c r="B1086" s="40"/>
      <c r="C1086" s="40"/>
      <c r="D1086" s="23"/>
      <c r="E1086" s="23"/>
      <c r="F1086" s="23"/>
      <c r="G1086" s="23"/>
      <c r="H1086" s="40"/>
      <c r="I1086" s="40"/>
      <c r="J1086" s="70"/>
      <c r="K1086" s="23"/>
      <c r="L1086" s="70"/>
      <c r="M1086" s="70"/>
      <c r="N1086" s="23"/>
      <c r="O1086" s="23"/>
      <c r="P1086" s="23"/>
      <c r="Q1086" s="23"/>
      <c r="R1086" s="72"/>
      <c r="S1086" s="23"/>
      <c r="T1086" s="23"/>
      <c r="U1086" s="23"/>
      <c r="V1086" s="23"/>
      <c r="W1086" s="23"/>
      <c r="X1086" s="23"/>
      <c r="Y1086" s="23"/>
      <c r="Z1086" s="23"/>
      <c r="AA1086" s="23"/>
      <c r="AB1086" s="23"/>
      <c r="AC1086" s="23"/>
      <c r="AD1086" s="23"/>
      <c r="AE1086" s="23"/>
    </row>
    <row r="1087" spans="1:31">
      <c r="A1087" s="23"/>
      <c r="B1087" s="40"/>
      <c r="C1087" s="40"/>
      <c r="D1087" s="23"/>
      <c r="E1087" s="23"/>
      <c r="F1087" s="23"/>
      <c r="G1087" s="23"/>
      <c r="H1087" s="40"/>
      <c r="I1087" s="40"/>
      <c r="J1087" s="70"/>
      <c r="K1087" s="23"/>
      <c r="L1087" s="70"/>
      <c r="M1087" s="70"/>
      <c r="N1087" s="23"/>
      <c r="O1087" s="23"/>
      <c r="P1087" s="23"/>
      <c r="Q1087" s="23"/>
      <c r="R1087" s="72"/>
      <c r="S1087" s="23"/>
      <c r="T1087" s="23"/>
      <c r="U1087" s="23"/>
      <c r="V1087" s="23"/>
      <c r="W1087" s="23"/>
      <c r="X1087" s="23"/>
      <c r="Y1087" s="23"/>
      <c r="Z1087" s="23"/>
      <c r="AA1087" s="23"/>
      <c r="AB1087" s="23"/>
      <c r="AC1087" s="23"/>
      <c r="AD1087" s="23"/>
      <c r="AE1087" s="23"/>
    </row>
    <row r="1088" spans="1:31">
      <c r="A1088" s="23"/>
      <c r="B1088" s="40"/>
      <c r="C1088" s="40"/>
      <c r="D1088" s="23"/>
      <c r="E1088" s="23"/>
      <c r="F1088" s="23"/>
      <c r="G1088" s="23"/>
      <c r="H1088" s="40"/>
      <c r="I1088" s="40"/>
      <c r="J1088" s="70"/>
      <c r="K1088" s="23"/>
      <c r="L1088" s="70"/>
      <c r="M1088" s="70"/>
      <c r="N1088" s="23"/>
      <c r="O1088" s="23"/>
      <c r="P1088" s="23"/>
      <c r="Q1088" s="23"/>
      <c r="R1088" s="72"/>
      <c r="S1088" s="23"/>
      <c r="T1088" s="23"/>
      <c r="U1088" s="23"/>
      <c r="V1088" s="23"/>
      <c r="W1088" s="23"/>
      <c r="X1088" s="23"/>
      <c r="Y1088" s="23"/>
      <c r="Z1088" s="23"/>
      <c r="AA1088" s="23"/>
      <c r="AB1088" s="23"/>
      <c r="AC1088" s="23"/>
      <c r="AD1088" s="23"/>
      <c r="AE1088" s="23"/>
    </row>
    <row r="1089" spans="1:31">
      <c r="A1089" s="23"/>
      <c r="B1089" s="40"/>
      <c r="C1089" s="40"/>
      <c r="D1089" s="23"/>
      <c r="E1089" s="23"/>
      <c r="F1089" s="23"/>
      <c r="G1089" s="23"/>
      <c r="H1089" s="40"/>
      <c r="I1089" s="40"/>
      <c r="J1089" s="70"/>
      <c r="K1089" s="23"/>
      <c r="L1089" s="70"/>
      <c r="M1089" s="70"/>
      <c r="N1089" s="23"/>
      <c r="O1089" s="23"/>
      <c r="P1089" s="23"/>
      <c r="Q1089" s="23"/>
      <c r="R1089" s="72"/>
      <c r="S1089" s="23"/>
      <c r="T1089" s="23"/>
      <c r="U1089" s="23"/>
      <c r="V1089" s="23"/>
      <c r="W1089" s="23"/>
      <c r="X1089" s="23"/>
      <c r="Y1089" s="23"/>
      <c r="Z1089" s="23"/>
      <c r="AA1089" s="23"/>
      <c r="AB1089" s="23"/>
      <c r="AC1089" s="23"/>
      <c r="AD1089" s="23"/>
      <c r="AE1089" s="23"/>
    </row>
    <row r="1090" spans="1:31">
      <c r="A1090" s="23"/>
      <c r="B1090" s="40"/>
      <c r="C1090" s="40"/>
      <c r="D1090" s="23"/>
      <c r="E1090" s="23"/>
      <c r="F1090" s="23"/>
      <c r="G1090" s="23"/>
      <c r="H1090" s="23"/>
      <c r="I1090" s="40"/>
      <c r="J1090" s="70"/>
      <c r="K1090" s="23"/>
      <c r="L1090" s="70"/>
      <c r="M1090" s="70"/>
      <c r="N1090" s="23"/>
      <c r="O1090" s="23"/>
      <c r="P1090" s="23"/>
      <c r="Q1090" s="23"/>
      <c r="R1090" s="72"/>
      <c r="S1090" s="23"/>
      <c r="T1090" s="23"/>
      <c r="U1090" s="23"/>
      <c r="V1090" s="23"/>
      <c r="W1090" s="23"/>
      <c r="X1090" s="23"/>
      <c r="Y1090" s="23"/>
      <c r="Z1090" s="23"/>
      <c r="AA1090" s="23"/>
      <c r="AB1090" s="23"/>
      <c r="AC1090" s="23"/>
      <c r="AD1090" s="23"/>
      <c r="AE1090" s="23"/>
    </row>
    <row r="1091" spans="1:31">
      <c r="A1091" s="23"/>
      <c r="B1091" s="40"/>
      <c r="C1091" s="40"/>
      <c r="D1091" s="23"/>
      <c r="E1091" s="23"/>
      <c r="F1091" s="23"/>
      <c r="G1091" s="23"/>
      <c r="H1091" s="23"/>
      <c r="I1091" s="40"/>
      <c r="J1091" s="70"/>
      <c r="K1091" s="23"/>
      <c r="L1091" s="70"/>
      <c r="M1091" s="70"/>
      <c r="N1091" s="23"/>
      <c r="O1091" s="23"/>
      <c r="P1091" s="23"/>
      <c r="Q1091" s="23"/>
      <c r="R1091" s="72"/>
      <c r="S1091" s="23"/>
      <c r="T1091" s="23"/>
      <c r="U1091" s="23"/>
      <c r="V1091" s="23"/>
      <c r="W1091" s="23"/>
      <c r="X1091" s="23"/>
      <c r="Y1091" s="23"/>
      <c r="Z1091" s="23"/>
      <c r="AA1091" s="23"/>
      <c r="AB1091" s="23"/>
      <c r="AC1091" s="23"/>
      <c r="AD1091" s="23"/>
      <c r="AE1091" s="23"/>
    </row>
    <row r="1092" spans="1:31">
      <c r="A1092" s="23"/>
      <c r="B1092" s="40"/>
      <c r="C1092" s="40"/>
      <c r="D1092" s="23"/>
      <c r="E1092" s="23"/>
      <c r="F1092" s="23"/>
      <c r="G1092" s="23"/>
      <c r="H1092" s="23"/>
      <c r="I1092" s="40"/>
      <c r="J1092" s="70"/>
      <c r="K1092" s="23"/>
      <c r="L1092" s="70"/>
      <c r="M1092" s="70"/>
      <c r="N1092" s="23"/>
      <c r="O1092" s="23"/>
      <c r="P1092" s="23"/>
      <c r="Q1092" s="23"/>
      <c r="R1092" s="72"/>
      <c r="S1092" s="23"/>
      <c r="T1092" s="23"/>
      <c r="U1092" s="23"/>
      <c r="V1092" s="23"/>
      <c r="W1092" s="23"/>
      <c r="X1092" s="23"/>
      <c r="Y1092" s="23"/>
      <c r="Z1092" s="23"/>
      <c r="AA1092" s="23"/>
      <c r="AB1092" s="23"/>
      <c r="AC1092" s="23"/>
      <c r="AD1092" s="23"/>
      <c r="AE1092" s="23"/>
    </row>
    <row r="1093" spans="1:31">
      <c r="A1093" s="23"/>
      <c r="B1093" s="40"/>
      <c r="C1093" s="40"/>
      <c r="D1093" s="23"/>
      <c r="E1093" s="23"/>
      <c r="F1093" s="23"/>
      <c r="G1093" s="23"/>
      <c r="H1093" s="23"/>
      <c r="I1093" s="40"/>
      <c r="J1093" s="70"/>
      <c r="K1093" s="23"/>
      <c r="L1093" s="70"/>
      <c r="M1093" s="70"/>
      <c r="N1093" s="23"/>
      <c r="O1093" s="23"/>
      <c r="P1093" s="23"/>
      <c r="Q1093" s="23"/>
      <c r="R1093" s="72"/>
      <c r="S1093" s="23"/>
      <c r="T1093" s="23"/>
      <c r="U1093" s="23"/>
      <c r="V1093" s="23"/>
      <c r="W1093" s="23"/>
      <c r="X1093" s="23"/>
      <c r="Y1093" s="23"/>
      <c r="Z1093" s="23"/>
      <c r="AA1093" s="23"/>
      <c r="AB1093" s="23"/>
      <c r="AC1093" s="23"/>
      <c r="AD1093" s="23"/>
      <c r="AE1093" s="23"/>
    </row>
    <row r="1094" spans="1:31">
      <c r="A1094" s="23"/>
      <c r="B1094" s="40"/>
      <c r="C1094" s="40"/>
      <c r="D1094" s="23"/>
      <c r="E1094" s="23"/>
      <c r="F1094" s="23"/>
      <c r="G1094" s="23"/>
      <c r="H1094" s="23"/>
      <c r="I1094" s="40"/>
      <c r="J1094" s="70"/>
      <c r="K1094" s="23"/>
      <c r="L1094" s="70"/>
      <c r="M1094" s="70"/>
      <c r="N1094" s="23"/>
      <c r="O1094" s="23"/>
      <c r="P1094" s="23"/>
      <c r="Q1094" s="23"/>
      <c r="R1094" s="72"/>
      <c r="S1094" s="23"/>
      <c r="T1094" s="23"/>
      <c r="U1094" s="23"/>
      <c r="V1094" s="23"/>
      <c r="W1094" s="23"/>
      <c r="X1094" s="23"/>
      <c r="Y1094" s="23"/>
      <c r="Z1094" s="23"/>
      <c r="AA1094" s="23"/>
      <c r="AB1094" s="23"/>
      <c r="AC1094" s="23"/>
      <c r="AD1094" s="23"/>
      <c r="AE1094" s="23"/>
    </row>
    <row r="1095" spans="1:31">
      <c r="A1095" s="23"/>
      <c r="B1095" s="40"/>
      <c r="C1095" s="40"/>
      <c r="D1095" s="23"/>
      <c r="E1095" s="23"/>
      <c r="F1095" s="23"/>
      <c r="G1095" s="23"/>
      <c r="H1095" s="23"/>
      <c r="I1095" s="40"/>
      <c r="J1095" s="70"/>
      <c r="K1095" s="23"/>
      <c r="L1095" s="70"/>
      <c r="M1095" s="70"/>
      <c r="N1095" s="23"/>
      <c r="O1095" s="23"/>
      <c r="P1095" s="23"/>
      <c r="Q1095" s="23"/>
      <c r="R1095" s="72"/>
      <c r="S1095" s="23"/>
      <c r="T1095" s="23"/>
      <c r="U1095" s="23"/>
      <c r="V1095" s="23"/>
      <c r="W1095" s="23"/>
      <c r="X1095" s="23"/>
      <c r="Y1095" s="23"/>
      <c r="Z1095" s="23"/>
      <c r="AA1095" s="23"/>
      <c r="AB1095" s="23"/>
      <c r="AC1095" s="23"/>
      <c r="AD1095" s="23"/>
      <c r="AE1095" s="23"/>
    </row>
    <row r="1096" spans="1:31">
      <c r="A1096" s="23"/>
      <c r="B1096" s="40"/>
      <c r="C1096" s="40"/>
      <c r="D1096" s="23"/>
      <c r="E1096" s="23"/>
      <c r="F1096" s="23"/>
      <c r="G1096" s="23"/>
      <c r="H1096" s="23"/>
      <c r="I1096" s="40"/>
      <c r="J1096" s="70"/>
      <c r="K1096" s="23"/>
      <c r="L1096" s="70"/>
      <c r="M1096" s="70"/>
      <c r="N1096" s="23"/>
      <c r="O1096" s="23"/>
      <c r="P1096" s="23"/>
      <c r="Q1096" s="23"/>
      <c r="R1096" s="72"/>
      <c r="S1096" s="23"/>
      <c r="T1096" s="23"/>
      <c r="U1096" s="23"/>
      <c r="V1096" s="23"/>
      <c r="W1096" s="23"/>
      <c r="X1096" s="23"/>
      <c r="Y1096" s="23"/>
      <c r="Z1096" s="23"/>
      <c r="AA1096" s="23"/>
      <c r="AB1096" s="23"/>
      <c r="AC1096" s="23"/>
      <c r="AD1096" s="23"/>
      <c r="AE1096" s="23"/>
    </row>
    <row r="1097" spans="1:31">
      <c r="A1097" s="23"/>
      <c r="B1097" s="40"/>
      <c r="C1097" s="40"/>
      <c r="D1097" s="23"/>
      <c r="E1097" s="23"/>
      <c r="F1097" s="23"/>
      <c r="G1097" s="23"/>
      <c r="H1097" s="23"/>
      <c r="I1097" s="40"/>
      <c r="J1097" s="70"/>
      <c r="K1097" s="23"/>
      <c r="L1097" s="70"/>
      <c r="M1097" s="70"/>
      <c r="N1097" s="23"/>
      <c r="O1097" s="23"/>
      <c r="P1097" s="23"/>
      <c r="Q1097" s="23"/>
      <c r="R1097" s="72"/>
      <c r="S1097" s="23"/>
      <c r="T1097" s="23"/>
      <c r="U1097" s="23"/>
      <c r="V1097" s="23"/>
      <c r="W1097" s="23"/>
      <c r="X1097" s="23"/>
      <c r="Y1097" s="23"/>
      <c r="Z1097" s="23"/>
      <c r="AA1097" s="23"/>
      <c r="AB1097" s="23"/>
      <c r="AC1097" s="23"/>
      <c r="AD1097" s="23"/>
      <c r="AE1097" s="23"/>
    </row>
    <row r="1098" spans="1:31">
      <c r="A1098" s="23"/>
      <c r="B1098" s="40"/>
      <c r="C1098" s="40"/>
      <c r="D1098" s="23"/>
      <c r="E1098" s="23"/>
      <c r="F1098" s="23"/>
      <c r="G1098" s="23"/>
      <c r="H1098" s="23"/>
      <c r="I1098" s="40"/>
      <c r="J1098" s="70"/>
      <c r="K1098" s="23"/>
      <c r="L1098" s="70"/>
      <c r="M1098" s="70"/>
      <c r="N1098" s="23"/>
      <c r="O1098" s="23"/>
      <c r="P1098" s="23"/>
      <c r="Q1098" s="23"/>
      <c r="R1098" s="72"/>
      <c r="S1098" s="23"/>
      <c r="T1098" s="23"/>
      <c r="U1098" s="23"/>
      <c r="V1098" s="23"/>
      <c r="W1098" s="23"/>
      <c r="X1098" s="23"/>
      <c r="Y1098" s="23"/>
      <c r="Z1098" s="23"/>
      <c r="AA1098" s="23"/>
      <c r="AB1098" s="23"/>
      <c r="AC1098" s="23"/>
      <c r="AD1098" s="23"/>
      <c r="AE1098" s="23"/>
    </row>
    <row r="1099" spans="1:31">
      <c r="A1099" s="23"/>
      <c r="B1099" s="40"/>
      <c r="C1099" s="40"/>
      <c r="D1099" s="23"/>
      <c r="E1099" s="23"/>
      <c r="F1099" s="23"/>
      <c r="G1099" s="23"/>
      <c r="H1099" s="23"/>
      <c r="I1099" s="40"/>
      <c r="J1099" s="70"/>
      <c r="K1099" s="23"/>
      <c r="L1099" s="70"/>
      <c r="M1099" s="70"/>
      <c r="N1099" s="23"/>
      <c r="O1099" s="23"/>
      <c r="P1099" s="23"/>
      <c r="Q1099" s="23"/>
      <c r="R1099" s="72"/>
      <c r="S1099" s="23"/>
      <c r="T1099" s="23"/>
      <c r="U1099" s="23"/>
      <c r="V1099" s="23"/>
      <c r="W1099" s="23"/>
      <c r="X1099" s="23"/>
      <c r="Y1099" s="23"/>
      <c r="Z1099" s="23"/>
      <c r="AA1099" s="23"/>
      <c r="AB1099" s="23"/>
      <c r="AC1099" s="23"/>
      <c r="AD1099" s="23"/>
      <c r="AE1099" s="23"/>
    </row>
    <row r="1100" spans="1:31">
      <c r="A1100" s="23"/>
      <c r="B1100" s="40"/>
      <c r="C1100" s="40"/>
      <c r="D1100" s="23"/>
      <c r="E1100" s="23"/>
      <c r="F1100" s="23"/>
      <c r="G1100" s="23"/>
      <c r="H1100" s="23"/>
      <c r="I1100" s="40"/>
      <c r="J1100" s="70"/>
      <c r="K1100" s="23"/>
      <c r="L1100" s="70"/>
      <c r="M1100" s="70"/>
      <c r="N1100" s="23"/>
      <c r="O1100" s="23"/>
      <c r="P1100" s="23"/>
      <c r="Q1100" s="23"/>
      <c r="R1100" s="72"/>
      <c r="S1100" s="23"/>
      <c r="T1100" s="23"/>
      <c r="U1100" s="23"/>
      <c r="V1100" s="23"/>
      <c r="W1100" s="23"/>
      <c r="X1100" s="23"/>
      <c r="Y1100" s="23"/>
      <c r="Z1100" s="23"/>
      <c r="AA1100" s="23"/>
      <c r="AB1100" s="23"/>
      <c r="AC1100" s="23"/>
      <c r="AD1100" s="23"/>
      <c r="AE1100" s="23"/>
    </row>
    <row r="1101" spans="1:31">
      <c r="A1101" s="23"/>
      <c r="B1101" s="40"/>
      <c r="C1101" s="40"/>
      <c r="D1101" s="23"/>
      <c r="E1101" s="23"/>
      <c r="F1101" s="23"/>
      <c r="G1101" s="23"/>
      <c r="H1101" s="23"/>
      <c r="I1101" s="40"/>
      <c r="J1101" s="70"/>
      <c r="K1101" s="23"/>
      <c r="L1101" s="70"/>
      <c r="M1101" s="70"/>
      <c r="N1101" s="23"/>
      <c r="O1101" s="23"/>
      <c r="P1101" s="23"/>
      <c r="Q1101" s="23"/>
      <c r="R1101" s="72"/>
      <c r="S1101" s="23"/>
      <c r="T1101" s="23"/>
      <c r="U1101" s="23"/>
      <c r="V1101" s="23"/>
      <c r="W1101" s="23"/>
      <c r="X1101" s="23"/>
      <c r="Y1101" s="23"/>
      <c r="Z1101" s="23"/>
      <c r="AA1101" s="23"/>
      <c r="AB1101" s="23"/>
      <c r="AC1101" s="23"/>
      <c r="AD1101" s="23"/>
      <c r="AE1101" s="23"/>
    </row>
    <row r="1102" spans="1:31" ht="12" customHeight="1">
      <c r="A1102" s="23"/>
      <c r="B1102" s="40"/>
      <c r="C1102" s="40"/>
      <c r="D1102" s="23"/>
      <c r="E1102" s="23"/>
      <c r="F1102" s="23"/>
      <c r="G1102" s="23"/>
      <c r="H1102" s="40"/>
      <c r="I1102" s="40"/>
      <c r="J1102" s="70"/>
      <c r="K1102" s="23"/>
      <c r="L1102" s="70"/>
      <c r="M1102" s="70"/>
      <c r="N1102" s="23"/>
      <c r="O1102" s="23"/>
      <c r="P1102" s="23"/>
      <c r="Q1102" s="23"/>
      <c r="R1102" s="72"/>
      <c r="S1102" s="23"/>
      <c r="T1102" s="23"/>
      <c r="U1102" s="23"/>
      <c r="V1102" s="23"/>
      <c r="W1102" s="23"/>
      <c r="X1102" s="23"/>
      <c r="Y1102" s="23"/>
      <c r="Z1102" s="23"/>
      <c r="AA1102" s="23"/>
      <c r="AB1102" s="23"/>
      <c r="AC1102" s="23"/>
      <c r="AD1102" s="23"/>
      <c r="AE1102" s="23"/>
    </row>
    <row r="1103" spans="1:31">
      <c r="A1103" s="23"/>
      <c r="B1103" s="40"/>
      <c r="C1103" s="40"/>
      <c r="D1103" s="23"/>
      <c r="E1103" s="23"/>
      <c r="F1103" s="23"/>
      <c r="G1103" s="23"/>
      <c r="H1103" s="40"/>
      <c r="I1103" s="40"/>
      <c r="J1103" s="70"/>
      <c r="K1103" s="23"/>
      <c r="L1103" s="70"/>
      <c r="M1103" s="70"/>
      <c r="N1103" s="23"/>
      <c r="O1103" s="23"/>
      <c r="P1103" s="23"/>
      <c r="Q1103" s="23"/>
      <c r="R1103" s="72"/>
      <c r="S1103" s="23"/>
      <c r="T1103" s="23"/>
      <c r="U1103" s="23"/>
      <c r="V1103" s="23"/>
      <c r="W1103" s="23"/>
      <c r="X1103" s="23"/>
      <c r="Y1103" s="23"/>
      <c r="Z1103" s="23"/>
      <c r="AA1103" s="23"/>
      <c r="AB1103" s="23"/>
      <c r="AC1103" s="23"/>
      <c r="AD1103" s="23"/>
      <c r="AE1103" s="23"/>
    </row>
    <row r="1104" spans="1:31">
      <c r="A1104" s="23"/>
      <c r="B1104" s="40"/>
      <c r="C1104" s="40"/>
      <c r="D1104" s="23"/>
      <c r="E1104" s="23"/>
      <c r="F1104" s="23"/>
      <c r="G1104" s="23"/>
      <c r="H1104" s="40"/>
      <c r="I1104" s="40"/>
      <c r="J1104" s="70"/>
      <c r="K1104" s="23"/>
      <c r="L1104" s="70"/>
      <c r="M1104" s="70"/>
      <c r="N1104" s="23"/>
      <c r="O1104" s="23"/>
      <c r="P1104" s="23"/>
      <c r="Q1104" s="23"/>
      <c r="R1104" s="72"/>
      <c r="S1104" s="23"/>
      <c r="T1104" s="23"/>
      <c r="U1104" s="23"/>
      <c r="V1104" s="23"/>
      <c r="W1104" s="23"/>
      <c r="X1104" s="23"/>
      <c r="Y1104" s="23"/>
      <c r="Z1104" s="23"/>
      <c r="AA1104" s="23"/>
      <c r="AB1104" s="23"/>
      <c r="AC1104" s="23"/>
      <c r="AD1104" s="23"/>
      <c r="AE1104" s="23"/>
    </row>
    <row r="1105" spans="1:31" ht="12" customHeight="1">
      <c r="A1105" s="23"/>
      <c r="B1105" s="40"/>
      <c r="C1105" s="40"/>
      <c r="D1105" s="23"/>
      <c r="E1105" s="23"/>
      <c r="F1105" s="23"/>
      <c r="G1105" s="23"/>
      <c r="H1105" s="40"/>
      <c r="I1105" s="40"/>
      <c r="J1105" s="70"/>
      <c r="K1105" s="23"/>
      <c r="L1105" s="70"/>
      <c r="M1105" s="70"/>
      <c r="N1105" s="23"/>
      <c r="O1105" s="23"/>
      <c r="P1105" s="23"/>
      <c r="Q1105" s="23"/>
      <c r="R1105" s="72"/>
      <c r="S1105" s="23"/>
      <c r="T1105" s="23"/>
      <c r="U1105" s="23"/>
      <c r="V1105" s="23"/>
      <c r="W1105" s="23"/>
      <c r="X1105" s="23"/>
      <c r="Y1105" s="23"/>
      <c r="Z1105" s="23"/>
      <c r="AA1105" s="23"/>
      <c r="AB1105" s="23"/>
      <c r="AC1105" s="23"/>
      <c r="AD1105" s="23"/>
      <c r="AE1105" s="23"/>
    </row>
    <row r="1106" spans="1:31">
      <c r="A1106" s="23"/>
      <c r="B1106" s="40"/>
      <c r="C1106" s="40"/>
      <c r="D1106" s="23"/>
      <c r="E1106" s="23"/>
      <c r="F1106" s="23"/>
      <c r="G1106" s="23"/>
      <c r="H1106" s="40"/>
      <c r="I1106" s="40"/>
      <c r="J1106" s="70"/>
      <c r="K1106" s="23"/>
      <c r="L1106" s="70"/>
      <c r="M1106" s="70"/>
      <c r="N1106" s="23"/>
      <c r="O1106" s="23"/>
      <c r="P1106" s="23"/>
      <c r="Q1106" s="23"/>
      <c r="R1106" s="72"/>
      <c r="S1106" s="23"/>
      <c r="T1106" s="23"/>
      <c r="U1106" s="23"/>
      <c r="V1106" s="23"/>
      <c r="W1106" s="23"/>
      <c r="X1106" s="23"/>
      <c r="Y1106" s="23"/>
      <c r="Z1106" s="23"/>
      <c r="AA1106" s="23"/>
      <c r="AB1106" s="23"/>
      <c r="AC1106" s="23"/>
      <c r="AD1106" s="23"/>
      <c r="AE1106" s="23"/>
    </row>
    <row r="1107" spans="1:31">
      <c r="A1107" s="23"/>
      <c r="B1107" s="40"/>
      <c r="C1107" s="40"/>
      <c r="D1107" s="23"/>
      <c r="E1107" s="23"/>
      <c r="F1107" s="23"/>
      <c r="G1107" s="23"/>
      <c r="H1107" s="40"/>
      <c r="I1107" s="40"/>
      <c r="J1107" s="70"/>
      <c r="K1107" s="23"/>
      <c r="L1107" s="70"/>
      <c r="M1107" s="70"/>
      <c r="N1107" s="23"/>
      <c r="O1107" s="23"/>
      <c r="P1107" s="23"/>
      <c r="Q1107" s="23"/>
      <c r="R1107" s="72"/>
      <c r="S1107" s="23"/>
      <c r="T1107" s="23"/>
      <c r="U1107" s="23"/>
      <c r="V1107" s="23"/>
      <c r="W1107" s="23"/>
      <c r="X1107" s="23"/>
      <c r="Y1107" s="23"/>
      <c r="Z1107" s="23"/>
      <c r="AA1107" s="23"/>
      <c r="AB1107" s="23"/>
      <c r="AC1107" s="23"/>
      <c r="AD1107" s="23"/>
      <c r="AE1107" s="23"/>
    </row>
    <row r="1108" spans="1:31">
      <c r="A1108" s="23"/>
      <c r="B1108" s="40"/>
      <c r="C1108" s="40"/>
      <c r="D1108" s="23"/>
      <c r="E1108" s="23"/>
      <c r="F1108" s="23"/>
      <c r="G1108" s="23"/>
      <c r="H1108" s="40"/>
      <c r="I1108" s="40"/>
      <c r="J1108" s="70"/>
      <c r="K1108" s="23"/>
      <c r="L1108" s="70"/>
      <c r="M1108" s="70"/>
      <c r="N1108" s="23"/>
      <c r="O1108" s="23"/>
      <c r="P1108" s="23"/>
      <c r="Q1108" s="23"/>
      <c r="R1108" s="72"/>
      <c r="S1108" s="23"/>
      <c r="T1108" s="23"/>
      <c r="U1108" s="23"/>
      <c r="V1108" s="23"/>
      <c r="W1108" s="23"/>
      <c r="X1108" s="23"/>
      <c r="Y1108" s="23"/>
      <c r="Z1108" s="23"/>
      <c r="AA1108" s="23"/>
      <c r="AB1108" s="23"/>
      <c r="AC1108" s="23"/>
      <c r="AD1108" s="23"/>
      <c r="AE1108" s="23"/>
    </row>
    <row r="1109" spans="1:31">
      <c r="A1109" s="23"/>
      <c r="B1109" s="40"/>
      <c r="C1109" s="40"/>
      <c r="D1109" s="23"/>
      <c r="E1109" s="23"/>
      <c r="F1109" s="23"/>
      <c r="G1109" s="23"/>
      <c r="H1109" s="23"/>
      <c r="I1109" s="40"/>
      <c r="J1109" s="70"/>
      <c r="K1109" s="23"/>
      <c r="L1109" s="70"/>
      <c r="M1109" s="70"/>
      <c r="N1109" s="23"/>
      <c r="O1109" s="23"/>
      <c r="P1109" s="23"/>
      <c r="Q1109" s="23"/>
      <c r="R1109" s="72"/>
      <c r="S1109" s="23"/>
      <c r="T1109" s="23"/>
      <c r="U1109" s="23"/>
      <c r="V1109" s="23"/>
      <c r="W1109" s="23"/>
      <c r="X1109" s="23"/>
      <c r="Y1109" s="23"/>
      <c r="Z1109" s="23"/>
      <c r="AA1109" s="23"/>
      <c r="AB1109" s="23"/>
      <c r="AC1109" s="23"/>
      <c r="AD1109" s="23"/>
      <c r="AE1109" s="23"/>
    </row>
    <row r="1110" spans="1:31" ht="12" customHeight="1">
      <c r="A1110" s="23"/>
      <c r="B1110" s="40"/>
      <c r="C1110" s="40"/>
      <c r="D1110" s="23"/>
      <c r="E1110" s="23"/>
      <c r="F1110" s="23"/>
      <c r="G1110" s="23"/>
      <c r="H1110" s="40"/>
      <c r="I1110" s="40"/>
      <c r="J1110" s="70"/>
      <c r="K1110" s="23"/>
      <c r="L1110" s="70"/>
      <c r="M1110" s="70"/>
      <c r="N1110" s="23"/>
      <c r="O1110" s="23"/>
      <c r="P1110" s="23"/>
      <c r="Q1110" s="23"/>
      <c r="R1110" s="72"/>
      <c r="S1110" s="23"/>
      <c r="T1110" s="23"/>
      <c r="U1110" s="23"/>
      <c r="V1110" s="23"/>
      <c r="W1110" s="23"/>
      <c r="X1110" s="23"/>
      <c r="Y1110" s="23"/>
      <c r="Z1110" s="23"/>
      <c r="AA1110" s="23"/>
      <c r="AB1110" s="23"/>
      <c r="AC1110" s="23"/>
      <c r="AD1110" s="23"/>
      <c r="AE1110" s="23"/>
    </row>
    <row r="1111" spans="1:31">
      <c r="A1111" s="23"/>
      <c r="B1111" s="40"/>
      <c r="C1111" s="40"/>
      <c r="D1111" s="23"/>
      <c r="E1111" s="23"/>
      <c r="F1111" s="23"/>
      <c r="G1111" s="23"/>
      <c r="H1111" s="40"/>
      <c r="I1111" s="40"/>
      <c r="J1111" s="70"/>
      <c r="K1111" s="23"/>
      <c r="L1111" s="70"/>
      <c r="M1111" s="70"/>
      <c r="N1111" s="23"/>
      <c r="O1111" s="23"/>
      <c r="P1111" s="23"/>
      <c r="Q1111" s="23"/>
      <c r="R1111" s="72"/>
      <c r="S1111" s="23"/>
      <c r="T1111" s="23"/>
      <c r="U1111" s="23"/>
      <c r="V1111" s="23"/>
      <c r="W1111" s="23"/>
      <c r="X1111" s="23"/>
      <c r="Y1111" s="23"/>
      <c r="Z1111" s="23"/>
      <c r="AA1111" s="23"/>
      <c r="AB1111" s="23"/>
      <c r="AC1111" s="23"/>
      <c r="AD1111" s="23"/>
      <c r="AE1111" s="23"/>
    </row>
    <row r="1112" spans="1:31">
      <c r="A1112" s="23"/>
      <c r="B1112" s="40"/>
      <c r="C1112" s="40"/>
      <c r="D1112" s="23"/>
      <c r="E1112" s="23"/>
      <c r="F1112" s="23"/>
      <c r="G1112" s="23"/>
      <c r="H1112" s="40"/>
      <c r="I1112" s="40"/>
      <c r="J1112" s="70"/>
      <c r="K1112" s="23"/>
      <c r="L1112" s="70"/>
      <c r="M1112" s="70"/>
      <c r="N1112" s="23"/>
      <c r="O1112" s="23"/>
      <c r="P1112" s="23"/>
      <c r="Q1112" s="23"/>
      <c r="R1112" s="72"/>
      <c r="S1112" s="23"/>
      <c r="T1112" s="23"/>
      <c r="U1112" s="23"/>
      <c r="V1112" s="23"/>
      <c r="W1112" s="23"/>
      <c r="X1112" s="23"/>
      <c r="Y1112" s="23"/>
      <c r="Z1112" s="23"/>
      <c r="AA1112" s="23"/>
      <c r="AB1112" s="23"/>
      <c r="AC1112" s="23"/>
      <c r="AD1112" s="23"/>
      <c r="AE1112" s="23"/>
    </row>
    <row r="1113" spans="1:31">
      <c r="A1113" s="23"/>
      <c r="B1113" s="40"/>
      <c r="C1113" s="40"/>
      <c r="D1113" s="23"/>
      <c r="E1113" s="23"/>
      <c r="F1113" s="23"/>
      <c r="G1113" s="23"/>
      <c r="H1113" s="40"/>
      <c r="I1113" s="40"/>
      <c r="J1113" s="70"/>
      <c r="K1113" s="23"/>
      <c r="L1113" s="70"/>
      <c r="M1113" s="70"/>
      <c r="N1113" s="23"/>
      <c r="O1113" s="23"/>
      <c r="P1113" s="23"/>
      <c r="Q1113" s="23"/>
      <c r="R1113" s="72"/>
      <c r="S1113" s="23"/>
      <c r="T1113" s="23"/>
      <c r="U1113" s="23"/>
      <c r="V1113" s="23"/>
      <c r="W1113" s="23"/>
      <c r="X1113" s="23"/>
      <c r="Y1113" s="23"/>
      <c r="Z1113" s="23"/>
      <c r="AA1113" s="23"/>
      <c r="AB1113" s="23"/>
      <c r="AC1113" s="23"/>
      <c r="AD1113" s="23"/>
      <c r="AE1113" s="23"/>
    </row>
    <row r="1114" spans="1:31">
      <c r="A1114" s="23"/>
      <c r="B1114" s="40"/>
      <c r="C1114" s="40"/>
      <c r="D1114" s="23"/>
      <c r="E1114" s="23"/>
      <c r="F1114" s="23"/>
      <c r="G1114" s="23"/>
      <c r="H1114" s="40"/>
      <c r="I1114" s="40"/>
      <c r="J1114" s="70"/>
      <c r="K1114" s="23"/>
      <c r="L1114" s="70"/>
      <c r="M1114" s="70"/>
      <c r="N1114" s="23"/>
      <c r="O1114" s="23"/>
      <c r="P1114" s="23"/>
      <c r="Q1114" s="23"/>
      <c r="R1114" s="72"/>
      <c r="S1114" s="23"/>
      <c r="T1114" s="23"/>
      <c r="U1114" s="23"/>
      <c r="V1114" s="23"/>
      <c r="W1114" s="23"/>
      <c r="X1114" s="23"/>
      <c r="Y1114" s="23"/>
      <c r="Z1114" s="23"/>
      <c r="AA1114" s="23"/>
      <c r="AB1114" s="23"/>
      <c r="AC1114" s="23"/>
      <c r="AD1114" s="23"/>
      <c r="AE1114" s="23"/>
    </row>
    <row r="1115" spans="1:31">
      <c r="A1115" s="23"/>
      <c r="B1115" s="40"/>
      <c r="C1115" s="40"/>
      <c r="D1115" s="23"/>
      <c r="E1115" s="23"/>
      <c r="F1115" s="23"/>
      <c r="G1115" s="23"/>
      <c r="H1115" s="40"/>
      <c r="I1115" s="40"/>
      <c r="J1115" s="70"/>
      <c r="K1115" s="23"/>
      <c r="L1115" s="70"/>
      <c r="M1115" s="70"/>
      <c r="N1115" s="23"/>
      <c r="O1115" s="23"/>
      <c r="P1115" s="23"/>
      <c r="Q1115" s="23"/>
      <c r="R1115" s="72"/>
      <c r="S1115" s="23"/>
      <c r="T1115" s="23"/>
      <c r="U1115" s="23"/>
      <c r="V1115" s="23"/>
      <c r="W1115" s="23"/>
      <c r="X1115" s="23"/>
      <c r="Y1115" s="23"/>
      <c r="Z1115" s="23"/>
      <c r="AA1115" s="23"/>
      <c r="AB1115" s="23"/>
      <c r="AC1115" s="23"/>
      <c r="AD1115" s="23"/>
      <c r="AE1115" s="23"/>
    </row>
    <row r="1116" spans="1:31">
      <c r="A1116" s="23"/>
      <c r="B1116" s="40"/>
      <c r="C1116" s="40"/>
      <c r="D1116" s="23"/>
      <c r="E1116" s="23"/>
      <c r="F1116" s="23"/>
      <c r="G1116" s="23"/>
      <c r="H1116" s="23"/>
      <c r="I1116" s="40"/>
      <c r="J1116" s="70"/>
      <c r="K1116" s="23"/>
      <c r="L1116" s="70"/>
      <c r="M1116" s="70"/>
      <c r="N1116" s="23"/>
      <c r="O1116" s="23"/>
      <c r="P1116" s="23"/>
      <c r="Q1116" s="23"/>
      <c r="R1116" s="72"/>
      <c r="S1116" s="23"/>
      <c r="T1116" s="23"/>
      <c r="U1116" s="23"/>
      <c r="V1116" s="23"/>
      <c r="W1116" s="23"/>
      <c r="X1116" s="23"/>
      <c r="Y1116" s="23"/>
      <c r="Z1116" s="23"/>
      <c r="AA1116" s="23"/>
      <c r="AB1116" s="23"/>
      <c r="AC1116" s="23"/>
      <c r="AD1116" s="23"/>
      <c r="AE1116" s="23"/>
    </row>
    <row r="1117" spans="1:31">
      <c r="A1117" s="23"/>
      <c r="B1117" s="40"/>
      <c r="C1117" s="40"/>
      <c r="D1117" s="23"/>
      <c r="E1117" s="23"/>
      <c r="F1117" s="23"/>
      <c r="G1117" s="23"/>
      <c r="H1117" s="23"/>
      <c r="I1117" s="40"/>
      <c r="J1117" s="70"/>
      <c r="K1117" s="23"/>
      <c r="L1117" s="70"/>
      <c r="M1117" s="70"/>
      <c r="N1117" s="23"/>
      <c r="O1117" s="23"/>
      <c r="P1117" s="23"/>
      <c r="Q1117" s="23"/>
      <c r="R1117" s="72"/>
      <c r="S1117" s="23"/>
      <c r="T1117" s="23"/>
      <c r="U1117" s="23"/>
      <c r="V1117" s="23"/>
      <c r="W1117" s="23"/>
      <c r="X1117" s="23"/>
      <c r="Y1117" s="23"/>
      <c r="Z1117" s="23"/>
      <c r="AA1117" s="23"/>
      <c r="AB1117" s="23"/>
      <c r="AC1117" s="23"/>
      <c r="AD1117" s="23"/>
      <c r="AE1117" s="23"/>
    </row>
    <row r="1118" spans="1:31">
      <c r="A1118" s="23"/>
      <c r="B1118" s="40"/>
      <c r="C1118" s="40"/>
      <c r="D1118" s="23"/>
      <c r="E1118" s="23"/>
      <c r="F1118" s="23"/>
      <c r="G1118" s="23"/>
      <c r="H1118" s="23"/>
      <c r="I1118" s="40"/>
      <c r="J1118" s="70"/>
      <c r="K1118" s="23"/>
      <c r="L1118" s="70"/>
      <c r="M1118" s="70"/>
      <c r="N1118" s="23"/>
      <c r="O1118" s="23"/>
      <c r="P1118" s="23"/>
      <c r="Q1118" s="23"/>
      <c r="R1118" s="72"/>
      <c r="S1118" s="23"/>
      <c r="T1118" s="23"/>
      <c r="U1118" s="23"/>
      <c r="V1118" s="23"/>
      <c r="W1118" s="23"/>
      <c r="X1118" s="23"/>
      <c r="Y1118" s="23"/>
      <c r="Z1118" s="23"/>
      <c r="AA1118" s="23"/>
      <c r="AB1118" s="23"/>
      <c r="AC1118" s="23"/>
      <c r="AD1118" s="23"/>
      <c r="AE1118" s="23"/>
    </row>
    <row r="1119" spans="1:31">
      <c r="A1119" s="23"/>
      <c r="B1119" s="40"/>
      <c r="C1119" s="40"/>
      <c r="D1119" s="23"/>
      <c r="E1119" s="23"/>
      <c r="F1119" s="23"/>
      <c r="G1119" s="23"/>
      <c r="H1119" s="23"/>
      <c r="I1119" s="40"/>
      <c r="J1119" s="70"/>
      <c r="K1119" s="23"/>
      <c r="L1119" s="70"/>
      <c r="M1119" s="70"/>
      <c r="N1119" s="23"/>
      <c r="O1119" s="23"/>
      <c r="P1119" s="23"/>
      <c r="Q1119" s="23"/>
      <c r="R1119" s="72"/>
      <c r="S1119" s="23"/>
      <c r="T1119" s="23"/>
      <c r="U1119" s="23"/>
      <c r="V1119" s="23"/>
      <c r="W1119" s="23"/>
      <c r="X1119" s="23"/>
      <c r="Y1119" s="23"/>
      <c r="Z1119" s="23"/>
      <c r="AA1119" s="23"/>
      <c r="AB1119" s="23"/>
      <c r="AC1119" s="23"/>
      <c r="AD1119" s="23"/>
      <c r="AE1119" s="23"/>
    </row>
    <row r="1120" spans="1:31">
      <c r="A1120" s="23"/>
      <c r="B1120" s="40"/>
      <c r="C1120" s="40"/>
      <c r="D1120" s="23"/>
      <c r="E1120" s="23"/>
      <c r="F1120" s="23"/>
      <c r="G1120" s="23"/>
      <c r="H1120" s="23"/>
      <c r="I1120" s="40"/>
      <c r="J1120" s="70"/>
      <c r="K1120" s="23"/>
      <c r="L1120" s="70"/>
      <c r="M1120" s="70"/>
      <c r="N1120" s="23"/>
      <c r="O1120" s="23"/>
      <c r="P1120" s="23"/>
      <c r="Q1120" s="23"/>
      <c r="R1120" s="72"/>
      <c r="S1120" s="23"/>
      <c r="T1120" s="23"/>
      <c r="U1120" s="23"/>
      <c r="V1120" s="23"/>
      <c r="W1120" s="23"/>
      <c r="X1120" s="23"/>
      <c r="Y1120" s="23"/>
      <c r="Z1120" s="23"/>
      <c r="AA1120" s="23"/>
      <c r="AB1120" s="23"/>
      <c r="AC1120" s="23"/>
      <c r="AD1120" s="23"/>
      <c r="AE1120" s="23"/>
    </row>
    <row r="1121" spans="1:31" ht="12" customHeight="1">
      <c r="A1121" s="23"/>
      <c r="B1121" s="40"/>
      <c r="C1121" s="40"/>
      <c r="D1121" s="23"/>
      <c r="E1121" s="23"/>
      <c r="F1121" s="23"/>
      <c r="G1121" s="23"/>
      <c r="H1121" s="40"/>
      <c r="I1121" s="40"/>
      <c r="J1121" s="70"/>
      <c r="K1121" s="23"/>
      <c r="L1121" s="70"/>
      <c r="M1121" s="70"/>
      <c r="N1121" s="23"/>
      <c r="O1121" s="23"/>
      <c r="P1121" s="23"/>
      <c r="Q1121" s="23"/>
      <c r="R1121" s="72"/>
      <c r="S1121" s="23"/>
      <c r="T1121" s="23"/>
      <c r="U1121" s="23"/>
      <c r="V1121" s="23"/>
      <c r="W1121" s="23"/>
      <c r="X1121" s="23"/>
      <c r="Y1121" s="23"/>
      <c r="Z1121" s="23"/>
      <c r="AA1121" s="23"/>
      <c r="AB1121" s="23"/>
      <c r="AC1121" s="23"/>
      <c r="AD1121" s="23"/>
      <c r="AE1121" s="23"/>
    </row>
    <row r="1122" spans="1:31">
      <c r="A1122" s="23"/>
      <c r="B1122" s="40"/>
      <c r="C1122" s="40"/>
      <c r="D1122" s="23"/>
      <c r="E1122" s="23"/>
      <c r="F1122" s="23"/>
      <c r="G1122" s="23"/>
      <c r="H1122" s="40"/>
      <c r="I1122" s="40"/>
      <c r="J1122" s="70"/>
      <c r="K1122" s="23"/>
      <c r="L1122" s="70"/>
      <c r="M1122" s="70"/>
      <c r="N1122" s="23"/>
      <c r="O1122" s="23"/>
      <c r="P1122" s="23"/>
      <c r="Q1122" s="23"/>
      <c r="R1122" s="72"/>
      <c r="S1122" s="23"/>
      <c r="T1122" s="23"/>
      <c r="U1122" s="23"/>
      <c r="V1122" s="23"/>
      <c r="W1122" s="23"/>
      <c r="X1122" s="23"/>
      <c r="Y1122" s="23"/>
      <c r="Z1122" s="23"/>
      <c r="AA1122" s="23"/>
      <c r="AB1122" s="23"/>
      <c r="AC1122" s="23"/>
      <c r="AD1122" s="23"/>
      <c r="AE1122" s="23"/>
    </row>
    <row r="1123" spans="1:31">
      <c r="A1123" s="23"/>
      <c r="B1123" s="40"/>
      <c r="C1123" s="40"/>
      <c r="D1123" s="23"/>
      <c r="E1123" s="23"/>
      <c r="F1123" s="23"/>
      <c r="G1123" s="23"/>
      <c r="H1123" s="40"/>
      <c r="I1123" s="40"/>
      <c r="J1123" s="70"/>
      <c r="K1123" s="23"/>
      <c r="L1123" s="70"/>
      <c r="M1123" s="70"/>
      <c r="N1123" s="23"/>
      <c r="O1123" s="23"/>
      <c r="P1123" s="23"/>
      <c r="Q1123" s="23"/>
      <c r="R1123" s="72"/>
      <c r="S1123" s="23"/>
      <c r="T1123" s="23"/>
      <c r="U1123" s="23"/>
      <c r="V1123" s="23"/>
      <c r="W1123" s="23"/>
      <c r="X1123" s="23"/>
      <c r="Y1123" s="23"/>
      <c r="Z1123" s="23"/>
      <c r="AA1123" s="23"/>
      <c r="AB1123" s="23"/>
      <c r="AC1123" s="23"/>
      <c r="AD1123" s="23"/>
      <c r="AE1123" s="23"/>
    </row>
    <row r="1124" spans="1:31" ht="12" customHeight="1">
      <c r="A1124" s="23"/>
      <c r="B1124" s="40"/>
      <c r="C1124" s="40"/>
      <c r="D1124" s="23"/>
      <c r="E1124" s="23"/>
      <c r="F1124" s="23"/>
      <c r="G1124" s="23"/>
      <c r="H1124" s="40"/>
      <c r="I1124" s="40"/>
      <c r="J1124" s="70"/>
      <c r="K1124" s="23"/>
      <c r="L1124" s="70"/>
      <c r="M1124" s="70"/>
      <c r="N1124" s="23"/>
      <c r="O1124" s="23"/>
      <c r="P1124" s="23"/>
      <c r="Q1124" s="23"/>
      <c r="R1124" s="72"/>
      <c r="S1124" s="23"/>
      <c r="T1124" s="23"/>
      <c r="U1124" s="23"/>
      <c r="V1124" s="23"/>
      <c r="W1124" s="23"/>
      <c r="X1124" s="23"/>
      <c r="Y1124" s="23"/>
      <c r="Z1124" s="23"/>
      <c r="AA1124" s="23"/>
      <c r="AB1124" s="23"/>
      <c r="AC1124" s="23"/>
      <c r="AD1124" s="23"/>
      <c r="AE1124" s="23"/>
    </row>
    <row r="1125" spans="1:31">
      <c r="A1125" s="23"/>
      <c r="B1125" s="40"/>
      <c r="C1125" s="40"/>
      <c r="D1125" s="23"/>
      <c r="E1125" s="23"/>
      <c r="F1125" s="23"/>
      <c r="G1125" s="23"/>
      <c r="H1125" s="40"/>
      <c r="I1125" s="40"/>
      <c r="J1125" s="70"/>
      <c r="K1125" s="23"/>
      <c r="L1125" s="70"/>
      <c r="M1125" s="70"/>
      <c r="N1125" s="23"/>
      <c r="O1125" s="23"/>
      <c r="P1125" s="23"/>
      <c r="Q1125" s="23"/>
      <c r="R1125" s="72"/>
      <c r="S1125" s="23"/>
      <c r="T1125" s="23"/>
      <c r="U1125" s="23"/>
      <c r="V1125" s="23"/>
      <c r="W1125" s="23"/>
      <c r="X1125" s="23"/>
      <c r="Y1125" s="23"/>
      <c r="Z1125" s="23"/>
      <c r="AA1125" s="23"/>
      <c r="AB1125" s="23"/>
      <c r="AC1125" s="23"/>
      <c r="AD1125" s="23"/>
      <c r="AE1125" s="23"/>
    </row>
    <row r="1126" spans="1:31">
      <c r="A1126" s="23"/>
      <c r="B1126" s="40"/>
      <c r="C1126" s="40"/>
      <c r="D1126" s="23"/>
      <c r="E1126" s="23"/>
      <c r="F1126" s="23"/>
      <c r="G1126" s="23"/>
      <c r="H1126" s="40"/>
      <c r="I1126" s="40"/>
      <c r="J1126" s="70"/>
      <c r="K1126" s="23"/>
      <c r="L1126" s="70"/>
      <c r="M1126" s="70"/>
      <c r="N1126" s="23"/>
      <c r="O1126" s="23"/>
      <c r="P1126" s="23"/>
      <c r="Q1126" s="23"/>
      <c r="R1126" s="72"/>
      <c r="S1126" s="23"/>
      <c r="T1126" s="23"/>
      <c r="U1126" s="23"/>
      <c r="V1126" s="23"/>
      <c r="W1126" s="23"/>
      <c r="X1126" s="23"/>
      <c r="Y1126" s="23"/>
      <c r="Z1126" s="23"/>
      <c r="AA1126" s="23"/>
      <c r="AB1126" s="23"/>
      <c r="AC1126" s="23"/>
      <c r="AD1126" s="23"/>
      <c r="AE1126" s="23"/>
    </row>
    <row r="1127" spans="1:31">
      <c r="A1127" s="23"/>
      <c r="B1127" s="40"/>
      <c r="C1127" s="40"/>
      <c r="D1127" s="23"/>
      <c r="E1127" s="23"/>
      <c r="F1127" s="23"/>
      <c r="G1127" s="23"/>
      <c r="H1127" s="40"/>
      <c r="I1127" s="40"/>
      <c r="J1127" s="70"/>
      <c r="K1127" s="23"/>
      <c r="L1127" s="70"/>
      <c r="M1127" s="70"/>
      <c r="N1127" s="23"/>
      <c r="O1127" s="23"/>
      <c r="P1127" s="23"/>
      <c r="Q1127" s="23"/>
      <c r="R1127" s="72"/>
      <c r="S1127" s="23"/>
      <c r="T1127" s="23"/>
      <c r="U1127" s="23"/>
      <c r="V1127" s="23"/>
      <c r="W1127" s="23"/>
      <c r="X1127" s="23"/>
      <c r="Y1127" s="23"/>
      <c r="Z1127" s="23"/>
      <c r="AA1127" s="23"/>
      <c r="AB1127" s="23"/>
      <c r="AC1127" s="23"/>
      <c r="AD1127" s="23"/>
      <c r="AE1127" s="23"/>
    </row>
    <row r="1128" spans="1:31">
      <c r="A1128" s="23"/>
      <c r="B1128" s="40"/>
      <c r="C1128" s="40"/>
      <c r="D1128" s="23"/>
      <c r="E1128" s="23"/>
      <c r="F1128" s="23"/>
      <c r="G1128" s="23"/>
      <c r="H1128" s="23"/>
      <c r="I1128" s="40"/>
      <c r="J1128" s="70"/>
      <c r="K1128" s="23"/>
      <c r="L1128" s="70"/>
      <c r="M1128" s="70"/>
      <c r="N1128" s="23"/>
      <c r="O1128" s="23"/>
      <c r="P1128" s="23"/>
      <c r="Q1128" s="23"/>
      <c r="R1128" s="72"/>
      <c r="S1128" s="23"/>
      <c r="T1128" s="23"/>
      <c r="U1128" s="23"/>
      <c r="V1128" s="23"/>
      <c r="W1128" s="23"/>
      <c r="X1128" s="23"/>
      <c r="Y1128" s="23"/>
      <c r="Z1128" s="23"/>
      <c r="AA1128" s="23"/>
      <c r="AB1128" s="23"/>
      <c r="AC1128" s="23"/>
      <c r="AD1128" s="23"/>
      <c r="AE1128" s="23"/>
    </row>
    <row r="1129" spans="1:31" ht="12" customHeight="1">
      <c r="A1129" s="23"/>
      <c r="B1129" s="40"/>
      <c r="C1129" s="40"/>
      <c r="D1129" s="23"/>
      <c r="E1129" s="23"/>
      <c r="F1129" s="23"/>
      <c r="G1129" s="23"/>
      <c r="H1129" s="40"/>
      <c r="I1129" s="40"/>
      <c r="J1129" s="70"/>
      <c r="K1129" s="23"/>
      <c r="L1129" s="70"/>
      <c r="M1129" s="70"/>
      <c r="N1129" s="23"/>
      <c r="O1129" s="23"/>
      <c r="P1129" s="23"/>
      <c r="Q1129" s="23"/>
      <c r="R1129" s="72"/>
      <c r="S1129" s="23"/>
      <c r="T1129" s="23"/>
      <c r="U1129" s="23"/>
      <c r="V1129" s="23"/>
      <c r="W1129" s="23"/>
      <c r="X1129" s="23"/>
      <c r="Y1129" s="23"/>
      <c r="Z1129" s="23"/>
      <c r="AA1129" s="23"/>
      <c r="AB1129" s="23"/>
      <c r="AC1129" s="23"/>
      <c r="AD1129" s="23"/>
      <c r="AE1129" s="23"/>
    </row>
    <row r="1130" spans="1:31">
      <c r="A1130" s="23"/>
      <c r="B1130" s="40"/>
      <c r="C1130" s="40"/>
      <c r="D1130" s="23"/>
      <c r="E1130" s="23"/>
      <c r="F1130" s="23"/>
      <c r="G1130" s="23"/>
      <c r="H1130" s="40"/>
      <c r="I1130" s="40"/>
      <c r="J1130" s="70"/>
      <c r="K1130" s="23"/>
      <c r="L1130" s="70"/>
      <c r="M1130" s="70"/>
      <c r="N1130" s="23"/>
      <c r="O1130" s="23"/>
      <c r="P1130" s="23"/>
      <c r="Q1130" s="23"/>
      <c r="R1130" s="72"/>
      <c r="S1130" s="23"/>
      <c r="T1130" s="23"/>
      <c r="U1130" s="23"/>
      <c r="V1130" s="23"/>
      <c r="W1130" s="23"/>
      <c r="X1130" s="23"/>
      <c r="Y1130" s="23"/>
      <c r="Z1130" s="23"/>
      <c r="AA1130" s="23"/>
      <c r="AB1130" s="23"/>
      <c r="AC1130" s="23"/>
      <c r="AD1130" s="23"/>
      <c r="AE1130" s="23"/>
    </row>
    <row r="1131" spans="1:31">
      <c r="A1131" s="23"/>
      <c r="B1131" s="40"/>
      <c r="C1131" s="40"/>
      <c r="D1131" s="23"/>
      <c r="E1131" s="23"/>
      <c r="F1131" s="23"/>
      <c r="G1131" s="23"/>
      <c r="H1131" s="40"/>
      <c r="I1131" s="40"/>
      <c r="J1131" s="70"/>
      <c r="K1131" s="23"/>
      <c r="L1131" s="70"/>
      <c r="M1131" s="70"/>
      <c r="N1131" s="23"/>
      <c r="O1131" s="23"/>
      <c r="P1131" s="23"/>
      <c r="Q1131" s="23"/>
      <c r="R1131" s="72"/>
      <c r="S1131" s="23"/>
      <c r="T1131" s="23"/>
      <c r="U1131" s="23"/>
      <c r="V1131" s="23"/>
      <c r="W1131" s="23"/>
      <c r="X1131" s="23"/>
      <c r="Y1131" s="23"/>
      <c r="Z1131" s="23"/>
      <c r="AA1131" s="23"/>
      <c r="AB1131" s="23"/>
      <c r="AC1131" s="23"/>
      <c r="AD1131" s="23"/>
      <c r="AE1131" s="23"/>
    </row>
    <row r="1132" spans="1:31">
      <c r="A1132" s="23"/>
      <c r="B1132" s="40"/>
      <c r="C1132" s="40"/>
      <c r="D1132" s="23"/>
      <c r="E1132" s="23"/>
      <c r="F1132" s="23"/>
      <c r="G1132" s="23"/>
      <c r="H1132" s="40"/>
      <c r="I1132" s="40"/>
      <c r="J1132" s="70"/>
      <c r="K1132" s="23"/>
      <c r="L1132" s="70"/>
      <c r="M1132" s="70"/>
      <c r="N1132" s="23"/>
      <c r="O1132" s="23"/>
      <c r="P1132" s="23"/>
      <c r="Q1132" s="23"/>
      <c r="R1132" s="72"/>
      <c r="S1132" s="23"/>
      <c r="T1132" s="23"/>
      <c r="U1132" s="23"/>
      <c r="V1132" s="23"/>
      <c r="W1132" s="23"/>
      <c r="X1132" s="23"/>
      <c r="Y1132" s="23"/>
      <c r="Z1132" s="23"/>
      <c r="AA1132" s="23"/>
      <c r="AB1132" s="23"/>
      <c r="AC1132" s="23"/>
      <c r="AD1132" s="23"/>
      <c r="AE1132" s="23"/>
    </row>
    <row r="1133" spans="1:31">
      <c r="A1133" s="23"/>
      <c r="B1133" s="40"/>
      <c r="C1133" s="40"/>
      <c r="D1133" s="23"/>
      <c r="E1133" s="23"/>
      <c r="F1133" s="23"/>
      <c r="G1133" s="23"/>
      <c r="H1133" s="40"/>
      <c r="I1133" s="40"/>
      <c r="J1133" s="70"/>
      <c r="K1133" s="23"/>
      <c r="L1133" s="70"/>
      <c r="M1133" s="70"/>
      <c r="N1133" s="23"/>
      <c r="O1133" s="23"/>
      <c r="P1133" s="23"/>
      <c r="Q1133" s="23"/>
      <c r="R1133" s="72"/>
      <c r="S1133" s="23"/>
      <c r="T1133" s="23"/>
      <c r="U1133" s="23"/>
      <c r="V1133" s="23"/>
      <c r="W1133" s="23"/>
      <c r="X1133" s="23"/>
      <c r="Y1133" s="23"/>
      <c r="Z1133" s="23"/>
      <c r="AA1133" s="23"/>
      <c r="AB1133" s="23"/>
      <c r="AC1133" s="23"/>
      <c r="AD1133" s="23"/>
      <c r="AE1133" s="23"/>
    </row>
    <row r="1134" spans="1:31">
      <c r="A1134" s="23"/>
      <c r="B1134" s="40"/>
      <c r="C1134" s="40"/>
      <c r="D1134" s="23"/>
      <c r="E1134" s="23"/>
      <c r="F1134" s="23"/>
      <c r="G1134" s="23"/>
      <c r="H1134" s="40"/>
      <c r="I1134" s="40"/>
      <c r="J1134" s="70"/>
      <c r="K1134" s="23"/>
      <c r="L1134" s="70"/>
      <c r="M1134" s="70"/>
      <c r="N1134" s="23"/>
      <c r="O1134" s="23"/>
      <c r="P1134" s="23"/>
      <c r="Q1134" s="23"/>
      <c r="R1134" s="72"/>
      <c r="S1134" s="23"/>
      <c r="T1134" s="23"/>
      <c r="U1134" s="23"/>
      <c r="V1134" s="23"/>
      <c r="W1134" s="23"/>
      <c r="X1134" s="23"/>
      <c r="Y1134" s="23"/>
      <c r="Z1134" s="23"/>
      <c r="AA1134" s="23"/>
      <c r="AB1134" s="23"/>
      <c r="AC1134" s="23"/>
      <c r="AD1134" s="23"/>
      <c r="AE1134" s="23"/>
    </row>
    <row r="1135" spans="1:31">
      <c r="A1135" s="23"/>
      <c r="B1135" s="40"/>
      <c r="C1135" s="40"/>
      <c r="D1135" s="23"/>
      <c r="E1135" s="23"/>
      <c r="F1135" s="23"/>
      <c r="G1135" s="23"/>
      <c r="H1135" s="23"/>
      <c r="I1135" s="40"/>
      <c r="J1135" s="70"/>
      <c r="K1135" s="23"/>
      <c r="L1135" s="70"/>
      <c r="M1135" s="70"/>
      <c r="N1135" s="23"/>
      <c r="O1135" s="23"/>
      <c r="P1135" s="23"/>
      <c r="Q1135" s="23"/>
      <c r="R1135" s="72"/>
      <c r="S1135" s="23"/>
      <c r="T1135" s="23"/>
      <c r="U1135" s="23"/>
      <c r="V1135" s="23"/>
      <c r="W1135" s="23"/>
      <c r="X1135" s="23"/>
      <c r="Y1135" s="23"/>
      <c r="Z1135" s="23"/>
      <c r="AA1135" s="23"/>
      <c r="AB1135" s="23"/>
      <c r="AC1135" s="23"/>
      <c r="AD1135" s="23"/>
      <c r="AE1135" s="23"/>
    </row>
    <row r="1136" spans="1:31">
      <c r="A1136" s="23"/>
      <c r="B1136" s="40"/>
      <c r="C1136" s="40"/>
      <c r="D1136" s="23"/>
      <c r="E1136" s="23"/>
      <c r="F1136" s="23"/>
      <c r="G1136" s="23"/>
      <c r="H1136" s="23"/>
      <c r="I1136" s="40"/>
      <c r="J1136" s="70"/>
      <c r="K1136" s="23"/>
      <c r="L1136" s="70"/>
      <c r="M1136" s="70"/>
      <c r="N1136" s="23"/>
      <c r="O1136" s="23"/>
      <c r="P1136" s="23"/>
      <c r="Q1136" s="23"/>
      <c r="R1136" s="72"/>
      <c r="S1136" s="23"/>
      <c r="T1136" s="23"/>
      <c r="U1136" s="23"/>
      <c r="V1136" s="23"/>
      <c r="W1136" s="23"/>
      <c r="X1136" s="23"/>
      <c r="Y1136" s="23"/>
      <c r="Z1136" s="23"/>
      <c r="AA1136" s="23"/>
      <c r="AB1136" s="23"/>
      <c r="AC1136" s="23"/>
      <c r="AD1136" s="23"/>
      <c r="AE1136" s="23"/>
    </row>
    <row r="1137" spans="1:31">
      <c r="A1137" s="23"/>
      <c r="B1137" s="40"/>
      <c r="C1137" s="40"/>
      <c r="D1137" s="23"/>
      <c r="E1137" s="23"/>
      <c r="F1137" s="23"/>
      <c r="G1137" s="23"/>
      <c r="H1137" s="23"/>
      <c r="I1137" s="40"/>
      <c r="J1137" s="70"/>
      <c r="K1137" s="23"/>
      <c r="L1137" s="70"/>
      <c r="M1137" s="70"/>
      <c r="N1137" s="23"/>
      <c r="O1137" s="23"/>
      <c r="P1137" s="23"/>
      <c r="Q1137" s="23"/>
      <c r="R1137" s="72"/>
      <c r="S1137" s="23"/>
      <c r="T1137" s="23"/>
      <c r="U1137" s="23"/>
      <c r="V1137" s="23"/>
      <c r="W1137" s="23"/>
      <c r="X1137" s="23"/>
      <c r="Y1137" s="23"/>
      <c r="Z1137" s="23"/>
      <c r="AA1137" s="23"/>
      <c r="AB1137" s="23"/>
      <c r="AC1137" s="23"/>
      <c r="AD1137" s="23"/>
      <c r="AE1137" s="23"/>
    </row>
    <row r="1138" spans="1:31">
      <c r="A1138" s="23"/>
      <c r="B1138" s="40"/>
      <c r="C1138" s="40"/>
      <c r="D1138" s="23"/>
      <c r="E1138" s="23"/>
      <c r="F1138" s="23"/>
      <c r="G1138" s="23"/>
      <c r="H1138" s="23"/>
      <c r="I1138" s="40"/>
      <c r="J1138" s="70"/>
      <c r="K1138" s="23"/>
      <c r="L1138" s="70"/>
      <c r="M1138" s="70"/>
      <c r="N1138" s="23"/>
      <c r="O1138" s="23"/>
      <c r="P1138" s="23"/>
      <c r="Q1138" s="23"/>
      <c r="R1138" s="72"/>
      <c r="S1138" s="23"/>
      <c r="T1138" s="23"/>
      <c r="U1138" s="23"/>
      <c r="V1138" s="23"/>
      <c r="W1138" s="23"/>
      <c r="X1138" s="23"/>
      <c r="Y1138" s="23"/>
      <c r="Z1138" s="23"/>
      <c r="AA1138" s="23"/>
      <c r="AB1138" s="23"/>
      <c r="AC1138" s="23"/>
      <c r="AD1138" s="23"/>
      <c r="AE1138" s="23"/>
    </row>
    <row r="1139" spans="1:31">
      <c r="A1139" s="23"/>
      <c r="B1139" s="40"/>
      <c r="C1139" s="40"/>
      <c r="D1139" s="23"/>
      <c r="E1139" s="23"/>
      <c r="F1139" s="23"/>
      <c r="G1139" s="23"/>
      <c r="H1139" s="23"/>
      <c r="I1139" s="40"/>
      <c r="J1139" s="70"/>
      <c r="K1139" s="23"/>
      <c r="L1139" s="70"/>
      <c r="M1139" s="70"/>
      <c r="N1139" s="23"/>
      <c r="O1139" s="23"/>
      <c r="P1139" s="23"/>
      <c r="Q1139" s="23"/>
      <c r="R1139" s="72"/>
      <c r="S1139" s="23"/>
      <c r="T1139" s="23"/>
      <c r="U1139" s="23"/>
      <c r="V1139" s="23"/>
      <c r="W1139" s="23"/>
      <c r="X1139" s="23"/>
      <c r="Y1139" s="23"/>
      <c r="Z1139" s="23"/>
      <c r="AA1139" s="23"/>
      <c r="AB1139" s="23"/>
      <c r="AC1139" s="23"/>
      <c r="AD1139" s="23"/>
      <c r="AE1139" s="23"/>
    </row>
    <row r="1140" spans="1:31" ht="12" customHeight="1">
      <c r="A1140" s="23"/>
      <c r="B1140" s="40"/>
      <c r="C1140" s="40"/>
      <c r="D1140" s="23"/>
      <c r="E1140" s="23"/>
      <c r="F1140" s="23"/>
      <c r="G1140" s="23"/>
      <c r="H1140" s="23"/>
      <c r="I1140" s="40"/>
      <c r="J1140" s="70"/>
      <c r="K1140" s="23"/>
      <c r="L1140" s="70"/>
      <c r="M1140" s="70"/>
      <c r="N1140" s="23"/>
      <c r="O1140" s="23"/>
      <c r="P1140" s="23"/>
      <c r="Q1140" s="23"/>
      <c r="R1140" s="72"/>
      <c r="S1140" s="23"/>
      <c r="T1140" s="23"/>
      <c r="U1140" s="23"/>
      <c r="V1140" s="23"/>
      <c r="W1140" s="23"/>
      <c r="X1140" s="23"/>
      <c r="Y1140" s="23"/>
      <c r="Z1140" s="23"/>
      <c r="AA1140" s="23"/>
      <c r="AB1140" s="23"/>
      <c r="AC1140" s="23"/>
      <c r="AD1140" s="23"/>
      <c r="AE1140" s="23"/>
    </row>
    <row r="1141" spans="1:31">
      <c r="A1141" s="23"/>
      <c r="B1141" s="40"/>
      <c r="C1141" s="40"/>
      <c r="D1141" s="23"/>
      <c r="E1141" s="23"/>
      <c r="F1141" s="23"/>
      <c r="G1141" s="23"/>
      <c r="H1141" s="23"/>
      <c r="I1141" s="40"/>
      <c r="J1141" s="70"/>
      <c r="K1141" s="23"/>
      <c r="L1141" s="70"/>
      <c r="M1141" s="70"/>
      <c r="N1141" s="23"/>
      <c r="O1141" s="23"/>
      <c r="P1141" s="23"/>
      <c r="Q1141" s="23"/>
      <c r="R1141" s="72"/>
      <c r="S1141" s="23"/>
      <c r="T1141" s="23"/>
      <c r="U1141" s="23"/>
      <c r="V1141" s="23"/>
      <c r="W1141" s="23"/>
      <c r="X1141" s="23"/>
      <c r="Y1141" s="23"/>
      <c r="Z1141" s="23"/>
      <c r="AA1141" s="23"/>
      <c r="AB1141" s="23"/>
      <c r="AC1141" s="23"/>
      <c r="AD1141" s="23"/>
      <c r="AE1141" s="23"/>
    </row>
    <row r="1142" spans="1:31">
      <c r="A1142" s="23"/>
      <c r="B1142" s="40"/>
      <c r="C1142" s="40"/>
      <c r="D1142" s="23"/>
      <c r="E1142" s="23"/>
      <c r="F1142" s="23"/>
      <c r="G1142" s="23"/>
      <c r="H1142" s="23"/>
      <c r="I1142" s="40"/>
      <c r="J1142" s="70"/>
      <c r="K1142" s="23"/>
      <c r="L1142" s="70"/>
      <c r="M1142" s="70"/>
      <c r="N1142" s="23"/>
      <c r="O1142" s="23"/>
      <c r="P1142" s="23"/>
      <c r="Q1142" s="23"/>
      <c r="R1142" s="72"/>
      <c r="S1142" s="23"/>
      <c r="T1142" s="23"/>
      <c r="U1142" s="23"/>
      <c r="V1142" s="23"/>
      <c r="W1142" s="23"/>
      <c r="X1142" s="23"/>
      <c r="Y1142" s="23"/>
      <c r="Z1142" s="23"/>
      <c r="AA1142" s="23"/>
      <c r="AB1142" s="23"/>
      <c r="AC1142" s="23"/>
      <c r="AD1142" s="23"/>
      <c r="AE1142" s="23"/>
    </row>
    <row r="1143" spans="1:31" ht="12" customHeight="1">
      <c r="A1143" s="23"/>
      <c r="B1143" s="40"/>
      <c r="C1143" s="40"/>
      <c r="D1143" s="23"/>
      <c r="E1143" s="23"/>
      <c r="F1143" s="23"/>
      <c r="G1143" s="23"/>
      <c r="H1143" s="23"/>
      <c r="I1143" s="40"/>
      <c r="J1143" s="70"/>
      <c r="K1143" s="23"/>
      <c r="L1143" s="70"/>
      <c r="M1143" s="70"/>
      <c r="N1143" s="23"/>
      <c r="O1143" s="23"/>
      <c r="P1143" s="23"/>
      <c r="Q1143" s="23"/>
      <c r="R1143" s="72"/>
      <c r="S1143" s="23"/>
      <c r="T1143" s="23"/>
      <c r="U1143" s="23"/>
      <c r="V1143" s="23"/>
      <c r="W1143" s="23"/>
      <c r="X1143" s="23"/>
      <c r="Y1143" s="23"/>
      <c r="Z1143" s="23"/>
      <c r="AA1143" s="23"/>
      <c r="AB1143" s="23"/>
      <c r="AC1143" s="23"/>
      <c r="AD1143" s="23"/>
      <c r="AE1143" s="23"/>
    </row>
    <row r="1144" spans="1:31">
      <c r="A1144" s="23"/>
      <c r="B1144" s="40"/>
      <c r="C1144" s="40"/>
      <c r="D1144" s="23"/>
      <c r="E1144" s="23"/>
      <c r="F1144" s="23"/>
      <c r="G1144" s="23"/>
      <c r="H1144" s="23"/>
      <c r="I1144" s="40"/>
      <c r="J1144" s="70"/>
      <c r="K1144" s="23"/>
      <c r="L1144" s="70"/>
      <c r="M1144" s="70"/>
      <c r="N1144" s="23"/>
      <c r="O1144" s="23"/>
      <c r="P1144" s="23"/>
      <c r="Q1144" s="23"/>
      <c r="R1144" s="72"/>
      <c r="S1144" s="23"/>
      <c r="T1144" s="23"/>
      <c r="U1144" s="23"/>
      <c r="V1144" s="23"/>
      <c r="W1144" s="23"/>
      <c r="X1144" s="23"/>
      <c r="Y1144" s="23"/>
      <c r="Z1144" s="23"/>
      <c r="AA1144" s="23"/>
      <c r="AB1144" s="23"/>
      <c r="AC1144" s="23"/>
      <c r="AD1144" s="23"/>
      <c r="AE1144" s="23"/>
    </row>
    <row r="1145" spans="1:31">
      <c r="A1145" s="23"/>
      <c r="B1145" s="40"/>
      <c r="C1145" s="40"/>
      <c r="D1145" s="23"/>
      <c r="E1145" s="23"/>
      <c r="F1145" s="23"/>
      <c r="G1145" s="23"/>
      <c r="H1145" s="23"/>
      <c r="I1145" s="40"/>
      <c r="J1145" s="70"/>
      <c r="K1145" s="23"/>
      <c r="L1145" s="70"/>
      <c r="M1145" s="70"/>
      <c r="N1145" s="23"/>
      <c r="O1145" s="23"/>
      <c r="P1145" s="23"/>
      <c r="Q1145" s="23"/>
      <c r="R1145" s="72"/>
      <c r="S1145" s="23"/>
      <c r="T1145" s="23"/>
      <c r="U1145" s="23"/>
      <c r="V1145" s="23"/>
      <c r="W1145" s="23"/>
      <c r="X1145" s="23"/>
      <c r="Y1145" s="23"/>
      <c r="Z1145" s="23"/>
      <c r="AA1145" s="23"/>
      <c r="AB1145" s="23"/>
      <c r="AC1145" s="23"/>
      <c r="AD1145" s="23"/>
      <c r="AE1145" s="23"/>
    </row>
    <row r="1146" spans="1:31">
      <c r="A1146" s="23"/>
      <c r="B1146" s="40"/>
      <c r="C1146" s="40"/>
      <c r="D1146" s="23"/>
      <c r="E1146" s="23"/>
      <c r="F1146" s="23"/>
      <c r="G1146" s="23"/>
      <c r="H1146" s="23"/>
      <c r="I1146" s="40"/>
      <c r="J1146" s="70"/>
      <c r="K1146" s="23"/>
      <c r="L1146" s="70"/>
      <c r="M1146" s="70"/>
      <c r="N1146" s="23"/>
      <c r="O1146" s="23"/>
      <c r="P1146" s="23"/>
      <c r="Q1146" s="23"/>
      <c r="R1146" s="72"/>
      <c r="S1146" s="23"/>
      <c r="T1146" s="23"/>
      <c r="U1146" s="23"/>
      <c r="V1146" s="23"/>
      <c r="W1146" s="23"/>
      <c r="X1146" s="23"/>
      <c r="Y1146" s="23"/>
      <c r="Z1146" s="23"/>
      <c r="AA1146" s="23"/>
      <c r="AB1146" s="23"/>
      <c r="AC1146" s="23"/>
      <c r="AD1146" s="23"/>
      <c r="AE1146" s="23"/>
    </row>
    <row r="1147" spans="1:31">
      <c r="A1147" s="23"/>
      <c r="B1147" s="40"/>
      <c r="C1147" s="40"/>
      <c r="D1147" s="23"/>
      <c r="E1147" s="23"/>
      <c r="F1147" s="23"/>
      <c r="G1147" s="23"/>
      <c r="H1147" s="23"/>
      <c r="I1147" s="40"/>
      <c r="J1147" s="70"/>
      <c r="K1147" s="23"/>
      <c r="L1147" s="70"/>
      <c r="M1147" s="70"/>
      <c r="N1147" s="23"/>
      <c r="O1147" s="23"/>
      <c r="P1147" s="23"/>
      <c r="Q1147" s="23"/>
      <c r="R1147" s="72"/>
      <c r="S1147" s="23"/>
      <c r="T1147" s="23"/>
      <c r="U1147" s="23"/>
      <c r="V1147" s="23"/>
      <c r="W1147" s="23"/>
      <c r="X1147" s="23"/>
      <c r="Y1147" s="23"/>
      <c r="Z1147" s="23"/>
      <c r="AA1147" s="23"/>
      <c r="AB1147" s="23"/>
      <c r="AC1147" s="23"/>
      <c r="AD1147" s="23"/>
      <c r="AE1147" s="23"/>
    </row>
    <row r="1148" spans="1:31" ht="12" customHeight="1">
      <c r="A1148" s="23"/>
      <c r="B1148" s="40"/>
      <c r="C1148" s="40"/>
      <c r="D1148" s="23"/>
      <c r="E1148" s="23"/>
      <c r="F1148" s="23"/>
      <c r="G1148" s="23"/>
      <c r="H1148" s="23"/>
      <c r="I1148" s="40"/>
      <c r="J1148" s="70"/>
      <c r="K1148" s="23"/>
      <c r="L1148" s="70"/>
      <c r="M1148" s="70"/>
      <c r="N1148" s="23"/>
      <c r="O1148" s="23"/>
      <c r="P1148" s="23"/>
      <c r="Q1148" s="23"/>
      <c r="R1148" s="72"/>
      <c r="S1148" s="23"/>
      <c r="T1148" s="23"/>
      <c r="U1148" s="23"/>
      <c r="V1148" s="23"/>
      <c r="W1148" s="23"/>
      <c r="X1148" s="23"/>
      <c r="Y1148" s="23"/>
      <c r="Z1148" s="23"/>
      <c r="AA1148" s="23"/>
      <c r="AB1148" s="23"/>
      <c r="AC1148" s="23"/>
      <c r="AD1148" s="23"/>
      <c r="AE1148" s="23"/>
    </row>
    <row r="1149" spans="1:31">
      <c r="A1149" s="23"/>
      <c r="B1149" s="40"/>
      <c r="C1149" s="40"/>
      <c r="D1149" s="23"/>
      <c r="E1149" s="23"/>
      <c r="F1149" s="23"/>
      <c r="G1149" s="23"/>
      <c r="H1149" s="23"/>
      <c r="I1149" s="40"/>
      <c r="J1149" s="70"/>
      <c r="K1149" s="23"/>
      <c r="L1149" s="70"/>
      <c r="M1149" s="70"/>
      <c r="N1149" s="23"/>
      <c r="O1149" s="23"/>
      <c r="P1149" s="23"/>
      <c r="Q1149" s="23"/>
      <c r="R1149" s="72"/>
      <c r="S1149" s="23"/>
      <c r="T1149" s="23"/>
      <c r="U1149" s="23"/>
      <c r="V1149" s="23"/>
      <c r="W1149" s="23"/>
      <c r="X1149" s="23"/>
      <c r="Y1149" s="23"/>
      <c r="Z1149" s="23"/>
      <c r="AA1149" s="23"/>
      <c r="AB1149" s="23"/>
      <c r="AC1149" s="23"/>
      <c r="AD1149" s="23"/>
      <c r="AE1149" s="23"/>
    </row>
    <row r="1150" spans="1:31">
      <c r="A1150" s="23"/>
      <c r="B1150" s="40"/>
      <c r="C1150" s="40"/>
      <c r="D1150" s="23"/>
      <c r="E1150" s="23"/>
      <c r="F1150" s="23"/>
      <c r="G1150" s="23"/>
      <c r="H1150" s="23"/>
      <c r="I1150" s="40"/>
      <c r="J1150" s="70"/>
      <c r="K1150" s="23"/>
      <c r="L1150" s="70"/>
      <c r="M1150" s="70"/>
      <c r="N1150" s="23"/>
      <c r="O1150" s="23"/>
      <c r="P1150" s="23"/>
      <c r="Q1150" s="23"/>
      <c r="R1150" s="72"/>
      <c r="S1150" s="23"/>
      <c r="T1150" s="23"/>
      <c r="U1150" s="23"/>
      <c r="V1150" s="23"/>
      <c r="W1150" s="23"/>
      <c r="X1150" s="23"/>
      <c r="Y1150" s="23"/>
      <c r="Z1150" s="23"/>
      <c r="AA1150" s="23"/>
      <c r="AB1150" s="23"/>
      <c r="AC1150" s="23"/>
      <c r="AD1150" s="23"/>
      <c r="AE1150" s="23"/>
    </row>
    <row r="1151" spans="1:31">
      <c r="A1151" s="23"/>
      <c r="B1151" s="40"/>
      <c r="C1151" s="40"/>
      <c r="D1151" s="23"/>
      <c r="E1151" s="23"/>
      <c r="F1151" s="23"/>
      <c r="G1151" s="23"/>
      <c r="H1151" s="23"/>
      <c r="I1151" s="40"/>
      <c r="J1151" s="70"/>
      <c r="K1151" s="23"/>
      <c r="L1151" s="70"/>
      <c r="M1151" s="70"/>
      <c r="N1151" s="23"/>
      <c r="O1151" s="23"/>
      <c r="P1151" s="23"/>
      <c r="Q1151" s="23"/>
      <c r="R1151" s="72"/>
      <c r="S1151" s="23"/>
      <c r="T1151" s="23"/>
      <c r="U1151" s="23"/>
      <c r="V1151" s="23"/>
      <c r="W1151" s="23"/>
      <c r="X1151" s="23"/>
      <c r="Y1151" s="23"/>
      <c r="Z1151" s="23"/>
      <c r="AA1151" s="23"/>
      <c r="AB1151" s="23"/>
      <c r="AC1151" s="23"/>
      <c r="AD1151" s="23"/>
      <c r="AE1151" s="23"/>
    </row>
    <row r="1152" spans="1:31">
      <c r="A1152" s="23"/>
      <c r="B1152" s="40"/>
      <c r="C1152" s="40"/>
      <c r="D1152" s="23"/>
      <c r="E1152" s="23"/>
      <c r="F1152" s="23"/>
      <c r="G1152" s="23"/>
      <c r="H1152" s="23"/>
      <c r="I1152" s="40"/>
      <c r="J1152" s="70"/>
      <c r="K1152" s="23"/>
      <c r="L1152" s="70"/>
      <c r="M1152" s="70"/>
      <c r="N1152" s="23"/>
      <c r="O1152" s="23"/>
      <c r="P1152" s="23"/>
      <c r="Q1152" s="23"/>
      <c r="R1152" s="72"/>
      <c r="S1152" s="23"/>
      <c r="T1152" s="23"/>
      <c r="U1152" s="23"/>
      <c r="V1152" s="23"/>
      <c r="W1152" s="23"/>
      <c r="X1152" s="23"/>
      <c r="Y1152" s="23"/>
      <c r="Z1152" s="23"/>
      <c r="AA1152" s="23"/>
      <c r="AB1152" s="23"/>
      <c r="AC1152" s="23"/>
      <c r="AD1152" s="23"/>
      <c r="AE1152" s="23"/>
    </row>
    <row r="1153" spans="1:31">
      <c r="A1153" s="23"/>
      <c r="B1153" s="40"/>
      <c r="C1153" s="40"/>
      <c r="D1153" s="23"/>
      <c r="E1153" s="23"/>
      <c r="F1153" s="23"/>
      <c r="G1153" s="23"/>
      <c r="H1153" s="23"/>
      <c r="I1153" s="40"/>
      <c r="J1153" s="70"/>
      <c r="K1153" s="23"/>
      <c r="L1153" s="70"/>
      <c r="M1153" s="70"/>
      <c r="N1153" s="23"/>
      <c r="O1153" s="23"/>
      <c r="P1153" s="23"/>
      <c r="Q1153" s="23"/>
      <c r="R1153" s="72"/>
      <c r="S1153" s="23"/>
      <c r="T1153" s="23"/>
      <c r="U1153" s="23"/>
      <c r="V1153" s="23"/>
      <c r="W1153" s="23"/>
      <c r="X1153" s="23"/>
      <c r="Y1153" s="23"/>
      <c r="Z1153" s="23"/>
      <c r="AA1153" s="23"/>
      <c r="AB1153" s="23"/>
      <c r="AC1153" s="23"/>
      <c r="AD1153" s="23"/>
      <c r="AE1153" s="23"/>
    </row>
    <row r="1154" spans="1:31">
      <c r="A1154" s="23"/>
      <c r="B1154" s="40"/>
      <c r="C1154" s="40"/>
      <c r="D1154" s="23"/>
      <c r="E1154" s="23"/>
      <c r="F1154" s="23"/>
      <c r="G1154" s="23"/>
      <c r="H1154" s="23"/>
      <c r="I1154" s="40"/>
      <c r="J1154" s="70"/>
      <c r="K1154" s="23"/>
      <c r="L1154" s="70"/>
      <c r="M1154" s="70"/>
      <c r="N1154" s="23"/>
      <c r="O1154" s="23"/>
      <c r="P1154" s="23"/>
      <c r="Q1154" s="23"/>
      <c r="R1154" s="72"/>
      <c r="S1154" s="23"/>
      <c r="T1154" s="23"/>
      <c r="U1154" s="23"/>
      <c r="V1154" s="23"/>
      <c r="W1154" s="23"/>
      <c r="X1154" s="23"/>
      <c r="Y1154" s="23"/>
      <c r="Z1154" s="23"/>
      <c r="AA1154" s="23"/>
      <c r="AB1154" s="23"/>
      <c r="AC1154" s="23"/>
      <c r="AD1154" s="23"/>
      <c r="AE1154" s="23"/>
    </row>
    <row r="1155" spans="1:31">
      <c r="A1155" s="23"/>
      <c r="B1155" s="40"/>
      <c r="C1155" s="40"/>
      <c r="D1155" s="23"/>
      <c r="E1155" s="23"/>
      <c r="F1155" s="23"/>
      <c r="G1155" s="23"/>
      <c r="H1155" s="23"/>
      <c r="I1155" s="40"/>
      <c r="J1155" s="70"/>
      <c r="K1155" s="23"/>
      <c r="L1155" s="70"/>
      <c r="M1155" s="70"/>
      <c r="N1155" s="23"/>
      <c r="O1155" s="23"/>
      <c r="P1155" s="23"/>
      <c r="Q1155" s="23"/>
      <c r="R1155" s="72"/>
      <c r="S1155" s="23"/>
      <c r="T1155" s="23"/>
      <c r="U1155" s="23"/>
      <c r="V1155" s="23"/>
      <c r="W1155" s="23"/>
      <c r="X1155" s="23"/>
      <c r="Y1155" s="23"/>
      <c r="Z1155" s="23"/>
      <c r="AA1155" s="23"/>
      <c r="AB1155" s="23"/>
      <c r="AC1155" s="23"/>
      <c r="AD1155" s="23"/>
      <c r="AE1155" s="23"/>
    </row>
    <row r="1156" spans="1:31">
      <c r="A1156" s="23"/>
      <c r="B1156" s="40"/>
      <c r="C1156" s="40"/>
      <c r="D1156" s="23"/>
      <c r="E1156" s="23"/>
      <c r="F1156" s="23"/>
      <c r="G1156" s="23"/>
      <c r="H1156" s="23"/>
      <c r="I1156" s="40"/>
      <c r="J1156" s="70"/>
      <c r="K1156" s="23"/>
      <c r="L1156" s="70"/>
      <c r="M1156" s="70"/>
      <c r="N1156" s="23"/>
      <c r="O1156" s="23"/>
      <c r="P1156" s="23"/>
      <c r="Q1156" s="23"/>
      <c r="R1156" s="72"/>
      <c r="S1156" s="23"/>
      <c r="T1156" s="23"/>
      <c r="U1156" s="23"/>
      <c r="V1156" s="23"/>
      <c r="W1156" s="23"/>
      <c r="X1156" s="23"/>
      <c r="Y1156" s="23"/>
      <c r="Z1156" s="23"/>
      <c r="AA1156" s="23"/>
      <c r="AB1156" s="23"/>
      <c r="AC1156" s="23"/>
      <c r="AD1156" s="23"/>
      <c r="AE1156" s="23"/>
    </row>
    <row r="1157" spans="1:31">
      <c r="A1157" s="23"/>
      <c r="B1157" s="40"/>
      <c r="C1157" s="40"/>
      <c r="D1157" s="23"/>
      <c r="E1157" s="23"/>
      <c r="F1157" s="23"/>
      <c r="G1157" s="23"/>
      <c r="H1157" s="23"/>
      <c r="I1157" s="40"/>
      <c r="J1157" s="70"/>
      <c r="K1157" s="23"/>
      <c r="L1157" s="70"/>
      <c r="M1157" s="70"/>
      <c r="N1157" s="23"/>
      <c r="O1157" s="23"/>
      <c r="P1157" s="23"/>
      <c r="Q1157" s="23"/>
      <c r="R1157" s="72"/>
      <c r="S1157" s="23"/>
      <c r="T1157" s="23"/>
      <c r="U1157" s="23"/>
      <c r="V1157" s="23"/>
      <c r="W1157" s="23"/>
      <c r="X1157" s="23"/>
      <c r="Y1157" s="23"/>
      <c r="Z1157" s="23"/>
      <c r="AA1157" s="23"/>
      <c r="AB1157" s="23"/>
      <c r="AC1157" s="23"/>
      <c r="AD1157" s="23"/>
      <c r="AE1157" s="23"/>
    </row>
    <row r="1158" spans="1:31">
      <c r="A1158" s="23"/>
      <c r="B1158" s="40"/>
      <c r="C1158" s="40"/>
      <c r="D1158" s="23"/>
      <c r="E1158" s="23"/>
      <c r="F1158" s="23"/>
      <c r="G1158" s="23"/>
      <c r="H1158" s="23"/>
      <c r="I1158" s="40"/>
      <c r="J1158" s="70"/>
      <c r="K1158" s="23"/>
      <c r="L1158" s="70"/>
      <c r="M1158" s="70"/>
      <c r="N1158" s="23"/>
      <c r="O1158" s="23"/>
      <c r="P1158" s="23"/>
      <c r="Q1158" s="23"/>
      <c r="R1158" s="72"/>
      <c r="S1158" s="23"/>
      <c r="T1158" s="23"/>
      <c r="U1158" s="23"/>
      <c r="V1158" s="23"/>
      <c r="W1158" s="23"/>
      <c r="X1158" s="23"/>
      <c r="Y1158" s="23"/>
      <c r="Z1158" s="23"/>
      <c r="AA1158" s="23"/>
      <c r="AB1158" s="23"/>
      <c r="AC1158" s="23"/>
      <c r="AD1158" s="23"/>
      <c r="AE1158" s="23"/>
    </row>
    <row r="1159" spans="1:31">
      <c r="A1159" s="23"/>
      <c r="B1159" s="40"/>
      <c r="C1159" s="40"/>
      <c r="D1159" s="23"/>
      <c r="E1159" s="23"/>
      <c r="F1159" s="23"/>
      <c r="G1159" s="23"/>
      <c r="H1159" s="23"/>
      <c r="I1159" s="40"/>
      <c r="J1159" s="70"/>
      <c r="K1159" s="23"/>
      <c r="L1159" s="70"/>
      <c r="M1159" s="70"/>
      <c r="N1159" s="23"/>
      <c r="O1159" s="23"/>
      <c r="P1159" s="23"/>
      <c r="Q1159" s="23"/>
      <c r="R1159" s="72"/>
      <c r="S1159" s="23"/>
      <c r="T1159" s="23"/>
      <c r="U1159" s="23"/>
      <c r="V1159" s="23"/>
      <c r="W1159" s="23"/>
      <c r="X1159" s="23"/>
      <c r="Y1159" s="23"/>
      <c r="Z1159" s="23"/>
      <c r="AA1159" s="23"/>
      <c r="AB1159" s="23"/>
      <c r="AC1159" s="23"/>
      <c r="AD1159" s="23"/>
      <c r="AE1159" s="23"/>
    </row>
    <row r="1160" spans="1:31">
      <c r="A1160" s="23"/>
      <c r="B1160" s="40"/>
      <c r="C1160" s="40"/>
      <c r="D1160" s="23"/>
      <c r="E1160" s="23"/>
      <c r="F1160" s="23"/>
      <c r="G1160" s="23"/>
      <c r="H1160" s="23"/>
      <c r="I1160" s="40"/>
      <c r="J1160" s="70"/>
      <c r="K1160" s="23"/>
      <c r="L1160" s="70"/>
      <c r="M1160" s="70"/>
      <c r="N1160" s="23"/>
      <c r="O1160" s="23"/>
      <c r="P1160" s="23"/>
      <c r="Q1160" s="23"/>
      <c r="R1160" s="72"/>
      <c r="S1160" s="23"/>
      <c r="T1160" s="23"/>
      <c r="U1160" s="23"/>
      <c r="V1160" s="23"/>
      <c r="W1160" s="23"/>
      <c r="X1160" s="23"/>
      <c r="Y1160" s="23"/>
      <c r="Z1160" s="23"/>
      <c r="AA1160" s="23"/>
      <c r="AB1160" s="23"/>
      <c r="AC1160" s="23"/>
      <c r="AD1160" s="23"/>
      <c r="AE1160" s="23"/>
    </row>
    <row r="1161" spans="1:31">
      <c r="A1161" s="23"/>
      <c r="B1161" s="40"/>
      <c r="C1161" s="40"/>
      <c r="D1161" s="23"/>
      <c r="E1161" s="23"/>
      <c r="F1161" s="23"/>
      <c r="G1161" s="23"/>
      <c r="H1161" s="23"/>
      <c r="I1161" s="40"/>
      <c r="J1161" s="70"/>
      <c r="K1161" s="23"/>
      <c r="L1161" s="70"/>
      <c r="M1161" s="70"/>
      <c r="N1161" s="23"/>
      <c r="O1161" s="23"/>
      <c r="P1161" s="23"/>
      <c r="Q1161" s="23"/>
      <c r="R1161" s="72"/>
      <c r="S1161" s="23"/>
      <c r="T1161" s="23"/>
      <c r="U1161" s="23"/>
      <c r="V1161" s="23"/>
      <c r="W1161" s="23"/>
      <c r="X1161" s="23"/>
      <c r="Y1161" s="23"/>
      <c r="Z1161" s="23"/>
      <c r="AA1161" s="23"/>
      <c r="AB1161" s="23"/>
      <c r="AC1161" s="23"/>
      <c r="AD1161" s="23"/>
      <c r="AE1161" s="23"/>
    </row>
    <row r="1162" spans="1:31">
      <c r="A1162" s="23"/>
      <c r="B1162" s="40"/>
      <c r="C1162" s="40"/>
      <c r="D1162" s="23"/>
      <c r="E1162" s="23"/>
      <c r="F1162" s="23"/>
      <c r="G1162" s="23"/>
      <c r="H1162" s="23"/>
      <c r="I1162" s="40"/>
      <c r="J1162" s="70"/>
      <c r="K1162" s="23"/>
      <c r="L1162" s="70"/>
      <c r="M1162" s="70"/>
      <c r="N1162" s="23"/>
      <c r="O1162" s="23"/>
      <c r="P1162" s="23"/>
      <c r="Q1162" s="23"/>
      <c r="R1162" s="72"/>
      <c r="S1162" s="23"/>
      <c r="T1162" s="23"/>
      <c r="U1162" s="23"/>
      <c r="V1162" s="23"/>
      <c r="W1162" s="23"/>
      <c r="X1162" s="23"/>
      <c r="Y1162" s="23"/>
      <c r="Z1162" s="23"/>
      <c r="AA1162" s="23"/>
      <c r="AB1162" s="23"/>
      <c r="AC1162" s="23"/>
      <c r="AD1162" s="23"/>
      <c r="AE1162" s="23"/>
    </row>
    <row r="1163" spans="1:31">
      <c r="A1163" s="23"/>
      <c r="B1163" s="40"/>
      <c r="C1163" s="40"/>
      <c r="D1163" s="23"/>
      <c r="E1163" s="23"/>
      <c r="F1163" s="23"/>
      <c r="G1163" s="23"/>
      <c r="H1163" s="23"/>
      <c r="I1163" s="40"/>
      <c r="J1163" s="70"/>
      <c r="K1163" s="23"/>
      <c r="L1163" s="70"/>
      <c r="M1163" s="70"/>
      <c r="N1163" s="23"/>
      <c r="O1163" s="23"/>
      <c r="P1163" s="23"/>
      <c r="Q1163" s="23"/>
      <c r="R1163" s="72"/>
      <c r="S1163" s="23"/>
      <c r="T1163" s="23"/>
      <c r="U1163" s="23"/>
      <c r="V1163" s="23"/>
      <c r="W1163" s="23"/>
      <c r="X1163" s="23"/>
      <c r="Y1163" s="23"/>
      <c r="Z1163" s="23"/>
      <c r="AA1163" s="23"/>
      <c r="AB1163" s="23"/>
      <c r="AC1163" s="23"/>
      <c r="AD1163" s="23"/>
      <c r="AE1163" s="23"/>
    </row>
    <row r="1164" spans="1:31" ht="24" customHeight="1">
      <c r="A1164" s="23"/>
      <c r="B1164" s="40"/>
      <c r="C1164" s="40"/>
      <c r="D1164" s="23"/>
      <c r="E1164" s="23"/>
      <c r="F1164" s="23"/>
      <c r="G1164" s="23"/>
      <c r="H1164" s="40"/>
      <c r="I1164" s="40"/>
      <c r="J1164" s="70"/>
      <c r="K1164" s="23"/>
      <c r="L1164" s="70"/>
      <c r="M1164" s="70"/>
      <c r="N1164" s="23"/>
      <c r="O1164" s="23"/>
      <c r="P1164" s="23"/>
      <c r="Q1164" s="23"/>
      <c r="R1164" s="72"/>
      <c r="S1164" s="23"/>
      <c r="T1164" s="23"/>
      <c r="U1164" s="23"/>
      <c r="V1164" s="23"/>
      <c r="W1164" s="23"/>
      <c r="X1164" s="23"/>
      <c r="Y1164" s="23"/>
      <c r="Z1164" s="23"/>
      <c r="AA1164" s="23"/>
      <c r="AB1164" s="23"/>
      <c r="AC1164" s="23"/>
      <c r="AD1164" s="23"/>
      <c r="AE1164" s="23"/>
    </row>
    <row r="1165" spans="1:31">
      <c r="A1165" s="23"/>
      <c r="B1165" s="40"/>
      <c r="C1165" s="40"/>
      <c r="D1165" s="23"/>
      <c r="E1165" s="23"/>
      <c r="F1165" s="23"/>
      <c r="G1165" s="23"/>
      <c r="H1165" s="40"/>
      <c r="I1165" s="40"/>
      <c r="J1165" s="70"/>
      <c r="K1165" s="23"/>
      <c r="L1165" s="70"/>
      <c r="M1165" s="70"/>
      <c r="N1165" s="23"/>
      <c r="O1165" s="23"/>
      <c r="P1165" s="23"/>
      <c r="Q1165" s="23"/>
      <c r="R1165" s="72"/>
      <c r="S1165" s="23"/>
      <c r="T1165" s="23"/>
      <c r="U1165" s="23"/>
      <c r="V1165" s="23"/>
      <c r="W1165" s="23"/>
      <c r="X1165" s="23"/>
      <c r="Y1165" s="23"/>
      <c r="Z1165" s="23"/>
      <c r="AA1165" s="23"/>
      <c r="AB1165" s="23"/>
      <c r="AC1165" s="23"/>
      <c r="AD1165" s="23"/>
      <c r="AE1165" s="23"/>
    </row>
    <row r="1166" spans="1:31">
      <c r="A1166" s="23"/>
      <c r="B1166" s="40"/>
      <c r="C1166" s="40"/>
      <c r="D1166" s="23"/>
      <c r="E1166" s="23"/>
      <c r="F1166" s="23"/>
      <c r="G1166" s="23"/>
      <c r="H1166" s="40"/>
      <c r="I1166" s="40"/>
      <c r="J1166" s="70"/>
      <c r="K1166" s="23"/>
      <c r="L1166" s="70"/>
      <c r="M1166" s="70"/>
      <c r="N1166" s="23"/>
      <c r="O1166" s="23"/>
      <c r="P1166" s="23"/>
      <c r="Q1166" s="23"/>
      <c r="R1166" s="72"/>
      <c r="S1166" s="23"/>
      <c r="T1166" s="23"/>
      <c r="U1166" s="23"/>
      <c r="V1166" s="23"/>
      <c r="W1166" s="23"/>
      <c r="X1166" s="23"/>
      <c r="Y1166" s="23"/>
      <c r="Z1166" s="23"/>
      <c r="AA1166" s="23"/>
      <c r="AB1166" s="23"/>
      <c r="AC1166" s="23"/>
      <c r="AD1166" s="23"/>
      <c r="AE1166" s="23"/>
    </row>
    <row r="1167" spans="1:31">
      <c r="A1167" s="23"/>
      <c r="B1167" s="40"/>
      <c r="C1167" s="40"/>
      <c r="D1167" s="23"/>
      <c r="E1167" s="23"/>
      <c r="F1167" s="23"/>
      <c r="G1167" s="23"/>
      <c r="H1167" s="40"/>
      <c r="I1167" s="40"/>
      <c r="J1167" s="70"/>
      <c r="K1167" s="23"/>
      <c r="L1167" s="70"/>
      <c r="M1167" s="70"/>
      <c r="N1167" s="23"/>
      <c r="O1167" s="23"/>
      <c r="P1167" s="23"/>
      <c r="Q1167" s="23"/>
      <c r="R1167" s="72"/>
      <c r="S1167" s="23"/>
      <c r="T1167" s="23"/>
      <c r="U1167" s="23"/>
      <c r="V1167" s="23"/>
      <c r="W1167" s="23"/>
      <c r="X1167" s="23"/>
      <c r="Y1167" s="23"/>
      <c r="Z1167" s="23"/>
      <c r="AA1167" s="23"/>
      <c r="AB1167" s="23"/>
      <c r="AC1167" s="23"/>
      <c r="AD1167" s="23"/>
      <c r="AE1167" s="23"/>
    </row>
    <row r="1168" spans="1:31">
      <c r="A1168" s="23"/>
      <c r="B1168" s="40"/>
      <c r="C1168" s="40"/>
      <c r="D1168" s="23"/>
      <c r="E1168" s="23"/>
      <c r="F1168" s="23"/>
      <c r="G1168" s="23"/>
      <c r="H1168" s="23"/>
      <c r="I1168" s="40"/>
      <c r="J1168" s="70"/>
      <c r="K1168" s="23"/>
      <c r="L1168" s="70"/>
      <c r="M1168" s="70"/>
      <c r="N1168" s="23"/>
      <c r="O1168" s="23"/>
      <c r="P1168" s="23"/>
      <c r="Q1168" s="23"/>
      <c r="R1168" s="72"/>
      <c r="S1168" s="23"/>
      <c r="T1168" s="23"/>
      <c r="U1168" s="23"/>
      <c r="V1168" s="23"/>
      <c r="W1168" s="23"/>
      <c r="X1168" s="23"/>
      <c r="Y1168" s="23"/>
      <c r="Z1168" s="23"/>
      <c r="AA1168" s="23"/>
      <c r="AB1168" s="23"/>
      <c r="AC1168" s="23"/>
      <c r="AD1168" s="23"/>
      <c r="AE1168" s="23"/>
    </row>
    <row r="1169" spans="1:31">
      <c r="A1169" s="23"/>
      <c r="B1169" s="40"/>
      <c r="C1169" s="40"/>
      <c r="D1169" s="23"/>
      <c r="E1169" s="23"/>
      <c r="F1169" s="23"/>
      <c r="G1169" s="23"/>
      <c r="H1169" s="23"/>
      <c r="I1169" s="40"/>
      <c r="J1169" s="70"/>
      <c r="K1169" s="23"/>
      <c r="L1169" s="70"/>
      <c r="M1169" s="70"/>
      <c r="N1169" s="23"/>
      <c r="O1169" s="23"/>
      <c r="P1169" s="23"/>
      <c r="Q1169" s="23"/>
      <c r="R1169" s="72"/>
      <c r="S1169" s="23"/>
      <c r="T1169" s="23"/>
      <c r="U1169" s="23"/>
      <c r="V1169" s="23"/>
      <c r="W1169" s="23"/>
      <c r="X1169" s="23"/>
      <c r="Y1169" s="23"/>
      <c r="Z1169" s="23"/>
      <c r="AA1169" s="23"/>
      <c r="AB1169" s="23"/>
      <c r="AC1169" s="23"/>
      <c r="AD1169" s="23"/>
      <c r="AE1169" s="23"/>
    </row>
    <row r="1170" spans="1:31" ht="24" customHeight="1">
      <c r="A1170" s="23"/>
      <c r="B1170" s="40"/>
      <c r="C1170" s="40"/>
      <c r="D1170" s="23"/>
      <c r="E1170" s="23"/>
      <c r="F1170" s="23"/>
      <c r="G1170" s="23"/>
      <c r="H1170" s="40"/>
      <c r="I1170" s="40"/>
      <c r="J1170" s="70"/>
      <c r="K1170" s="23"/>
      <c r="L1170" s="70"/>
      <c r="M1170" s="70"/>
      <c r="N1170" s="23"/>
      <c r="O1170" s="23"/>
      <c r="P1170" s="23"/>
      <c r="Q1170" s="23"/>
      <c r="R1170" s="72"/>
      <c r="S1170" s="23"/>
      <c r="T1170" s="23"/>
      <c r="U1170" s="23"/>
      <c r="V1170" s="23"/>
      <c r="W1170" s="23"/>
      <c r="X1170" s="23"/>
      <c r="Y1170" s="23"/>
      <c r="Z1170" s="23"/>
      <c r="AA1170" s="23"/>
      <c r="AB1170" s="23"/>
      <c r="AC1170" s="23"/>
      <c r="AD1170" s="23"/>
      <c r="AE1170" s="23"/>
    </row>
    <row r="1171" spans="1:31">
      <c r="A1171" s="23"/>
      <c r="B1171" s="40"/>
      <c r="C1171" s="40"/>
      <c r="D1171" s="23"/>
      <c r="E1171" s="23"/>
      <c r="F1171" s="23"/>
      <c r="G1171" s="23"/>
      <c r="H1171" s="40"/>
      <c r="I1171" s="40"/>
      <c r="J1171" s="70"/>
      <c r="K1171" s="23"/>
      <c r="L1171" s="70"/>
      <c r="M1171" s="70"/>
      <c r="N1171" s="23"/>
      <c r="O1171" s="23"/>
      <c r="P1171" s="23"/>
      <c r="Q1171" s="23"/>
      <c r="R1171" s="72"/>
      <c r="S1171" s="23"/>
      <c r="T1171" s="23"/>
      <c r="U1171" s="23"/>
      <c r="V1171" s="23"/>
      <c r="W1171" s="23"/>
      <c r="X1171" s="23"/>
      <c r="Y1171" s="23"/>
      <c r="Z1171" s="23"/>
      <c r="AA1171" s="23"/>
      <c r="AB1171" s="23"/>
      <c r="AC1171" s="23"/>
      <c r="AD1171" s="23"/>
      <c r="AE1171" s="23"/>
    </row>
    <row r="1172" spans="1:31">
      <c r="A1172" s="23"/>
      <c r="B1172" s="40"/>
      <c r="C1172" s="40"/>
      <c r="D1172" s="23"/>
      <c r="E1172" s="23"/>
      <c r="F1172" s="23"/>
      <c r="G1172" s="23"/>
      <c r="H1172" s="40"/>
      <c r="I1172" s="40"/>
      <c r="J1172" s="70"/>
      <c r="K1172" s="23"/>
      <c r="L1172" s="70"/>
      <c r="M1172" s="70"/>
      <c r="N1172" s="23"/>
      <c r="O1172" s="23"/>
      <c r="P1172" s="23"/>
      <c r="Q1172" s="23"/>
      <c r="R1172" s="72"/>
      <c r="S1172" s="23"/>
      <c r="T1172" s="23"/>
      <c r="U1172" s="23"/>
      <c r="V1172" s="23"/>
      <c r="W1172" s="23"/>
      <c r="X1172" s="23"/>
      <c r="Y1172" s="23"/>
      <c r="Z1172" s="23"/>
      <c r="AA1172" s="23"/>
      <c r="AB1172" s="23"/>
      <c r="AC1172" s="23"/>
      <c r="AD1172" s="23"/>
      <c r="AE1172" s="23"/>
    </row>
    <row r="1173" spans="1:31">
      <c r="A1173" s="23"/>
      <c r="B1173" s="40"/>
      <c r="C1173" s="40"/>
      <c r="D1173" s="23"/>
      <c r="E1173" s="23"/>
      <c r="F1173" s="23"/>
      <c r="G1173" s="23"/>
      <c r="H1173" s="40"/>
      <c r="I1173" s="40"/>
      <c r="J1173" s="70"/>
      <c r="K1173" s="23"/>
      <c r="L1173" s="70"/>
      <c r="M1173" s="70"/>
      <c r="N1173" s="23"/>
      <c r="O1173" s="23"/>
      <c r="P1173" s="23"/>
      <c r="Q1173" s="23"/>
      <c r="R1173" s="72"/>
      <c r="S1173" s="23"/>
      <c r="T1173" s="23"/>
      <c r="U1173" s="23"/>
      <c r="V1173" s="23"/>
      <c r="W1173" s="23"/>
      <c r="X1173" s="23"/>
      <c r="Y1173" s="23"/>
      <c r="Z1173" s="23"/>
      <c r="AA1173" s="23"/>
      <c r="AB1173" s="23"/>
      <c r="AC1173" s="23"/>
      <c r="AD1173" s="23"/>
      <c r="AE1173" s="23"/>
    </row>
    <row r="1174" spans="1:31">
      <c r="A1174" s="23"/>
      <c r="B1174" s="40"/>
      <c r="C1174" s="40"/>
      <c r="D1174" s="23"/>
      <c r="E1174" s="23"/>
      <c r="F1174" s="23"/>
      <c r="G1174" s="23"/>
      <c r="H1174" s="40"/>
      <c r="I1174" s="40"/>
      <c r="J1174" s="70"/>
      <c r="K1174" s="23"/>
      <c r="L1174" s="70"/>
      <c r="M1174" s="70"/>
      <c r="N1174" s="23"/>
      <c r="O1174" s="23"/>
      <c r="P1174" s="23"/>
      <c r="Q1174" s="23"/>
      <c r="R1174" s="72"/>
      <c r="S1174" s="23"/>
      <c r="T1174" s="23"/>
      <c r="U1174" s="23"/>
      <c r="V1174" s="23"/>
      <c r="W1174" s="23"/>
      <c r="X1174" s="23"/>
      <c r="Y1174" s="23"/>
      <c r="Z1174" s="23"/>
      <c r="AA1174" s="23"/>
      <c r="AB1174" s="23"/>
      <c r="AC1174" s="23"/>
      <c r="AD1174" s="23"/>
      <c r="AE1174" s="23"/>
    </row>
    <row r="1175" spans="1:31" ht="24" customHeight="1">
      <c r="A1175" s="23"/>
      <c r="B1175" s="40"/>
      <c r="C1175" s="40"/>
      <c r="D1175" s="23"/>
      <c r="E1175" s="23"/>
      <c r="F1175" s="23"/>
      <c r="G1175" s="23"/>
      <c r="H1175" s="40"/>
      <c r="I1175" s="40"/>
      <c r="J1175" s="70"/>
      <c r="K1175" s="23"/>
      <c r="L1175" s="70"/>
      <c r="M1175" s="70"/>
      <c r="N1175" s="23"/>
      <c r="O1175" s="23"/>
      <c r="P1175" s="23"/>
      <c r="Q1175" s="23"/>
      <c r="R1175" s="72"/>
      <c r="S1175" s="23"/>
      <c r="T1175" s="23"/>
      <c r="U1175" s="23"/>
      <c r="V1175" s="23"/>
      <c r="W1175" s="23"/>
      <c r="X1175" s="23"/>
      <c r="Y1175" s="23"/>
      <c r="Z1175" s="23"/>
      <c r="AA1175" s="23"/>
      <c r="AB1175" s="23"/>
      <c r="AC1175" s="23"/>
      <c r="AD1175" s="23"/>
      <c r="AE1175" s="23"/>
    </row>
    <row r="1176" spans="1:31">
      <c r="A1176" s="23"/>
      <c r="B1176" s="40"/>
      <c r="C1176" s="40"/>
      <c r="D1176" s="23"/>
      <c r="E1176" s="23"/>
      <c r="F1176" s="23"/>
      <c r="G1176" s="23"/>
      <c r="H1176" s="40"/>
      <c r="I1176" s="40"/>
      <c r="J1176" s="70"/>
      <c r="K1176" s="23"/>
      <c r="L1176" s="70"/>
      <c r="M1176" s="70"/>
      <c r="N1176" s="23"/>
      <c r="O1176" s="23"/>
      <c r="P1176" s="23"/>
      <c r="Q1176" s="23"/>
      <c r="R1176" s="72"/>
      <c r="S1176" s="23"/>
      <c r="T1176" s="23"/>
      <c r="U1176" s="23"/>
      <c r="V1176" s="23"/>
      <c r="W1176" s="23"/>
      <c r="X1176" s="23"/>
      <c r="Y1176" s="23"/>
      <c r="Z1176" s="23"/>
      <c r="AA1176" s="23"/>
      <c r="AB1176" s="23"/>
      <c r="AC1176" s="23"/>
      <c r="AD1176" s="23"/>
      <c r="AE1176" s="23"/>
    </row>
    <row r="1177" spans="1:31">
      <c r="A1177" s="23"/>
      <c r="B1177" s="40"/>
      <c r="C1177" s="40"/>
      <c r="D1177" s="23"/>
      <c r="E1177" s="23"/>
      <c r="F1177" s="23"/>
      <c r="G1177" s="23"/>
      <c r="H1177" s="23"/>
      <c r="I1177" s="40"/>
      <c r="J1177" s="70"/>
      <c r="K1177" s="23"/>
      <c r="L1177" s="70"/>
      <c r="M1177" s="70"/>
      <c r="N1177" s="23"/>
      <c r="O1177" s="23"/>
      <c r="P1177" s="23"/>
      <c r="Q1177" s="23"/>
      <c r="R1177" s="72"/>
      <c r="S1177" s="23"/>
      <c r="T1177" s="23"/>
      <c r="U1177" s="23"/>
      <c r="V1177" s="23"/>
      <c r="W1177" s="23"/>
      <c r="X1177" s="23"/>
      <c r="Y1177" s="23"/>
      <c r="Z1177" s="23"/>
      <c r="AA1177" s="23"/>
      <c r="AB1177" s="23"/>
      <c r="AC1177" s="23"/>
      <c r="AD1177" s="23"/>
      <c r="AE1177" s="23"/>
    </row>
    <row r="1178" spans="1:31">
      <c r="A1178" s="23"/>
      <c r="B1178" s="40"/>
      <c r="C1178" s="40"/>
      <c r="D1178" s="23"/>
      <c r="E1178" s="23"/>
      <c r="F1178" s="23"/>
      <c r="G1178" s="23"/>
      <c r="H1178" s="23"/>
      <c r="I1178" s="40"/>
      <c r="J1178" s="70"/>
      <c r="K1178" s="23"/>
      <c r="L1178" s="70"/>
      <c r="M1178" s="70"/>
      <c r="N1178" s="23"/>
      <c r="O1178" s="23"/>
      <c r="P1178" s="23"/>
      <c r="Q1178" s="23"/>
      <c r="R1178" s="72"/>
      <c r="S1178" s="23"/>
      <c r="T1178" s="23"/>
      <c r="U1178" s="23"/>
      <c r="V1178" s="23"/>
      <c r="W1178" s="23"/>
      <c r="X1178" s="23"/>
      <c r="Y1178" s="23"/>
      <c r="Z1178" s="23"/>
      <c r="AA1178" s="23"/>
      <c r="AB1178" s="23"/>
      <c r="AC1178" s="23"/>
      <c r="AD1178" s="23"/>
      <c r="AE1178" s="23"/>
    </row>
    <row r="1179" spans="1:31">
      <c r="A1179" s="23"/>
      <c r="B1179" s="40"/>
      <c r="C1179" s="40"/>
      <c r="D1179" s="23"/>
      <c r="E1179" s="23"/>
      <c r="F1179" s="23"/>
      <c r="G1179" s="23"/>
      <c r="H1179" s="23"/>
      <c r="I1179" s="40"/>
      <c r="J1179" s="70"/>
      <c r="K1179" s="23"/>
      <c r="L1179" s="70"/>
      <c r="M1179" s="70"/>
      <c r="N1179" s="23"/>
      <c r="O1179" s="23"/>
      <c r="P1179" s="23"/>
      <c r="Q1179" s="23"/>
      <c r="R1179" s="72"/>
      <c r="S1179" s="23"/>
      <c r="T1179" s="23"/>
      <c r="U1179" s="23"/>
      <c r="V1179" s="23"/>
      <c r="W1179" s="23"/>
      <c r="X1179" s="23"/>
      <c r="Y1179" s="23"/>
      <c r="Z1179" s="23"/>
      <c r="AA1179" s="23"/>
      <c r="AB1179" s="23"/>
      <c r="AC1179" s="23"/>
      <c r="AD1179" s="23"/>
      <c r="AE1179" s="23"/>
    </row>
    <row r="1180" spans="1:31">
      <c r="A1180" s="23"/>
      <c r="B1180" s="40"/>
      <c r="C1180" s="40"/>
      <c r="D1180" s="23"/>
      <c r="E1180" s="23"/>
      <c r="F1180" s="23"/>
      <c r="G1180" s="23"/>
      <c r="H1180" s="23"/>
      <c r="I1180" s="40"/>
      <c r="J1180" s="70"/>
      <c r="K1180" s="23"/>
      <c r="L1180" s="70"/>
      <c r="M1180" s="70"/>
      <c r="N1180" s="23"/>
      <c r="O1180" s="23"/>
      <c r="P1180" s="23"/>
      <c r="Q1180" s="23"/>
      <c r="R1180" s="72"/>
      <c r="S1180" s="23"/>
      <c r="T1180" s="23"/>
      <c r="U1180" s="23"/>
      <c r="V1180" s="23"/>
      <c r="W1180" s="23"/>
      <c r="X1180" s="23"/>
      <c r="Y1180" s="23"/>
      <c r="Z1180" s="23"/>
      <c r="AA1180" s="23"/>
      <c r="AB1180" s="23"/>
      <c r="AC1180" s="23"/>
      <c r="AD1180" s="23"/>
      <c r="AE1180" s="23"/>
    </row>
    <row r="1181" spans="1:31">
      <c r="A1181" s="23"/>
      <c r="B1181" s="40"/>
      <c r="C1181" s="40"/>
      <c r="D1181" s="23"/>
      <c r="E1181" s="23"/>
      <c r="F1181" s="23"/>
      <c r="G1181" s="23"/>
      <c r="H1181" s="23"/>
      <c r="I1181" s="40"/>
      <c r="J1181" s="70"/>
      <c r="K1181" s="23"/>
      <c r="L1181" s="70"/>
      <c r="M1181" s="70"/>
      <c r="N1181" s="23"/>
      <c r="O1181" s="23"/>
      <c r="P1181" s="23"/>
      <c r="Q1181" s="23"/>
      <c r="R1181" s="72"/>
      <c r="S1181" s="23"/>
      <c r="T1181" s="23"/>
      <c r="U1181" s="23"/>
      <c r="V1181" s="23"/>
      <c r="W1181" s="23"/>
      <c r="X1181" s="23"/>
      <c r="Y1181" s="23"/>
      <c r="Z1181" s="23"/>
      <c r="AA1181" s="23"/>
      <c r="AB1181" s="23"/>
      <c r="AC1181" s="23"/>
      <c r="AD1181" s="23"/>
      <c r="AE1181" s="23"/>
    </row>
    <row r="1182" spans="1:31" ht="24" customHeight="1">
      <c r="A1182" s="23"/>
      <c r="B1182" s="40"/>
      <c r="C1182" s="40"/>
      <c r="D1182" s="23"/>
      <c r="E1182" s="23"/>
      <c r="F1182" s="23"/>
      <c r="G1182" s="23"/>
      <c r="H1182" s="40"/>
      <c r="I1182" s="40"/>
      <c r="J1182" s="70"/>
      <c r="K1182" s="23"/>
      <c r="L1182" s="70"/>
      <c r="M1182" s="70"/>
      <c r="N1182" s="23"/>
      <c r="O1182" s="23"/>
      <c r="P1182" s="23"/>
      <c r="Q1182" s="23"/>
      <c r="R1182" s="72"/>
      <c r="S1182" s="23"/>
      <c r="T1182" s="23"/>
      <c r="U1182" s="23"/>
      <c r="V1182" s="23"/>
      <c r="W1182" s="23"/>
      <c r="X1182" s="23"/>
      <c r="Y1182" s="23"/>
      <c r="Z1182" s="23"/>
      <c r="AA1182" s="23"/>
      <c r="AB1182" s="23"/>
      <c r="AC1182" s="23"/>
      <c r="AD1182" s="23"/>
      <c r="AE1182" s="23"/>
    </row>
    <row r="1183" spans="1:31">
      <c r="A1183" s="23"/>
      <c r="B1183" s="40"/>
      <c r="C1183" s="40"/>
      <c r="D1183" s="23"/>
      <c r="E1183" s="23"/>
      <c r="F1183" s="23"/>
      <c r="G1183" s="23"/>
      <c r="H1183" s="40"/>
      <c r="I1183" s="40"/>
      <c r="J1183" s="70"/>
      <c r="K1183" s="23"/>
      <c r="L1183" s="70"/>
      <c r="M1183" s="70"/>
      <c r="N1183" s="23"/>
      <c r="O1183" s="23"/>
      <c r="P1183" s="23"/>
      <c r="Q1183" s="23"/>
      <c r="R1183" s="72"/>
      <c r="S1183" s="23"/>
      <c r="T1183" s="23"/>
      <c r="U1183" s="23"/>
      <c r="V1183" s="23"/>
      <c r="W1183" s="23"/>
      <c r="X1183" s="23"/>
      <c r="Y1183" s="23"/>
      <c r="Z1183" s="23"/>
      <c r="AA1183" s="23"/>
      <c r="AB1183" s="23"/>
      <c r="AC1183" s="23"/>
      <c r="AD1183" s="23"/>
      <c r="AE1183" s="23"/>
    </row>
    <row r="1184" spans="1:31">
      <c r="A1184" s="23"/>
      <c r="B1184" s="40"/>
      <c r="C1184" s="40"/>
      <c r="D1184" s="23"/>
      <c r="E1184" s="23"/>
      <c r="F1184" s="23"/>
      <c r="G1184" s="23"/>
      <c r="H1184" s="40"/>
      <c r="I1184" s="40"/>
      <c r="J1184" s="70"/>
      <c r="K1184" s="23"/>
      <c r="L1184" s="70"/>
      <c r="M1184" s="70"/>
      <c r="N1184" s="23"/>
      <c r="O1184" s="23"/>
      <c r="P1184" s="23"/>
      <c r="Q1184" s="23"/>
      <c r="R1184" s="72"/>
      <c r="S1184" s="23"/>
      <c r="T1184" s="23"/>
      <c r="U1184" s="23"/>
      <c r="V1184" s="23"/>
      <c r="W1184" s="23"/>
      <c r="X1184" s="23"/>
      <c r="Y1184" s="23"/>
      <c r="Z1184" s="23"/>
      <c r="AA1184" s="23"/>
      <c r="AB1184" s="23"/>
      <c r="AC1184" s="23"/>
      <c r="AD1184" s="23"/>
      <c r="AE1184" s="23"/>
    </row>
    <row r="1185" spans="1:31">
      <c r="A1185" s="23"/>
      <c r="B1185" s="40"/>
      <c r="C1185" s="40"/>
      <c r="D1185" s="23"/>
      <c r="E1185" s="23"/>
      <c r="F1185" s="23"/>
      <c r="G1185" s="23"/>
      <c r="H1185" s="40"/>
      <c r="I1185" s="40"/>
      <c r="J1185" s="70"/>
      <c r="K1185" s="23"/>
      <c r="L1185" s="70"/>
      <c r="M1185" s="70"/>
      <c r="N1185" s="23"/>
      <c r="O1185" s="23"/>
      <c r="P1185" s="23"/>
      <c r="Q1185" s="23"/>
      <c r="R1185" s="72"/>
      <c r="S1185" s="23"/>
      <c r="T1185" s="23"/>
      <c r="U1185" s="23"/>
      <c r="V1185" s="23"/>
      <c r="W1185" s="23"/>
      <c r="X1185" s="23"/>
      <c r="Y1185" s="23"/>
      <c r="Z1185" s="23"/>
      <c r="AA1185" s="23"/>
      <c r="AB1185" s="23"/>
      <c r="AC1185" s="23"/>
      <c r="AD1185" s="23"/>
      <c r="AE1185" s="23"/>
    </row>
    <row r="1186" spans="1:31">
      <c r="A1186" s="23"/>
      <c r="B1186" s="40"/>
      <c r="C1186" s="40"/>
      <c r="D1186" s="23"/>
      <c r="E1186" s="23"/>
      <c r="F1186" s="23"/>
      <c r="G1186" s="23"/>
      <c r="H1186" s="23"/>
      <c r="I1186" s="40"/>
      <c r="J1186" s="70"/>
      <c r="K1186" s="23"/>
      <c r="L1186" s="70"/>
      <c r="M1186" s="70"/>
      <c r="N1186" s="23"/>
      <c r="O1186" s="23"/>
      <c r="P1186" s="23"/>
      <c r="Q1186" s="23"/>
      <c r="R1186" s="72"/>
      <c r="S1186" s="23"/>
      <c r="T1186" s="23"/>
      <c r="U1186" s="23"/>
      <c r="V1186" s="23"/>
      <c r="W1186" s="23"/>
      <c r="X1186" s="23"/>
      <c r="Y1186" s="23"/>
      <c r="Z1186" s="23"/>
      <c r="AA1186" s="23"/>
      <c r="AB1186" s="23"/>
      <c r="AC1186" s="23"/>
      <c r="AD1186" s="23"/>
      <c r="AE1186" s="23"/>
    </row>
    <row r="1187" spans="1:31">
      <c r="A1187" s="23"/>
      <c r="B1187" s="40"/>
      <c r="C1187" s="40"/>
      <c r="D1187" s="23"/>
      <c r="E1187" s="23"/>
      <c r="F1187" s="23"/>
      <c r="G1187" s="23"/>
      <c r="H1187" s="23"/>
      <c r="I1187" s="40"/>
      <c r="J1187" s="70"/>
      <c r="K1187" s="23"/>
      <c r="L1187" s="70"/>
      <c r="M1187" s="70"/>
      <c r="N1187" s="23"/>
      <c r="O1187" s="23"/>
      <c r="P1187" s="23"/>
      <c r="Q1187" s="23"/>
      <c r="R1187" s="72"/>
      <c r="S1187" s="23"/>
      <c r="T1187" s="23"/>
      <c r="U1187" s="23"/>
      <c r="V1187" s="23"/>
      <c r="W1187" s="23"/>
      <c r="X1187" s="23"/>
      <c r="Y1187" s="23"/>
      <c r="Z1187" s="23"/>
      <c r="AA1187" s="23"/>
      <c r="AB1187" s="23"/>
      <c r="AC1187" s="23"/>
      <c r="AD1187" s="23"/>
      <c r="AE1187" s="23"/>
    </row>
    <row r="1188" spans="1:31" ht="24" customHeight="1">
      <c r="A1188" s="23"/>
      <c r="B1188" s="40"/>
      <c r="C1188" s="40"/>
      <c r="D1188" s="23"/>
      <c r="E1188" s="23"/>
      <c r="F1188" s="23"/>
      <c r="G1188" s="23"/>
      <c r="H1188" s="40"/>
      <c r="I1188" s="40"/>
      <c r="J1188" s="70"/>
      <c r="K1188" s="23"/>
      <c r="L1188" s="70"/>
      <c r="M1188" s="70"/>
      <c r="N1188" s="23"/>
      <c r="O1188" s="23"/>
      <c r="P1188" s="23"/>
      <c r="Q1188" s="23"/>
      <c r="R1188" s="72"/>
      <c r="S1188" s="23"/>
      <c r="T1188" s="23"/>
      <c r="U1188" s="23"/>
      <c r="V1188" s="23"/>
      <c r="W1188" s="23"/>
      <c r="X1188" s="23"/>
      <c r="Y1188" s="23"/>
      <c r="Z1188" s="23"/>
      <c r="AA1188" s="23"/>
      <c r="AB1188" s="23"/>
      <c r="AC1188" s="23"/>
      <c r="AD1188" s="23"/>
      <c r="AE1188" s="23"/>
    </row>
    <row r="1189" spans="1:31">
      <c r="A1189" s="23"/>
      <c r="B1189" s="40"/>
      <c r="C1189" s="40"/>
      <c r="D1189" s="23"/>
      <c r="E1189" s="23"/>
      <c r="F1189" s="23"/>
      <c r="G1189" s="23"/>
      <c r="H1189" s="40"/>
      <c r="I1189" s="40"/>
      <c r="J1189" s="70"/>
      <c r="K1189" s="23"/>
      <c r="L1189" s="70"/>
      <c r="M1189" s="70"/>
      <c r="N1189" s="23"/>
      <c r="O1189" s="23"/>
      <c r="P1189" s="23"/>
      <c r="Q1189" s="23"/>
      <c r="R1189" s="72"/>
      <c r="S1189" s="23"/>
      <c r="T1189" s="23"/>
      <c r="U1189" s="23"/>
      <c r="V1189" s="23"/>
      <c r="W1189" s="23"/>
      <c r="X1189" s="23"/>
      <c r="Y1189" s="23"/>
      <c r="Z1189" s="23"/>
      <c r="AA1189" s="23"/>
      <c r="AB1189" s="23"/>
      <c r="AC1189" s="23"/>
      <c r="AD1189" s="23"/>
      <c r="AE1189" s="23"/>
    </row>
    <row r="1190" spans="1:31">
      <c r="A1190" s="23"/>
      <c r="B1190" s="40"/>
      <c r="C1190" s="40"/>
      <c r="D1190" s="23"/>
      <c r="E1190" s="23"/>
      <c r="F1190" s="23"/>
      <c r="G1190" s="23"/>
      <c r="H1190" s="40"/>
      <c r="I1190" s="40"/>
      <c r="J1190" s="70"/>
      <c r="K1190" s="23"/>
      <c r="L1190" s="70"/>
      <c r="M1190" s="70"/>
      <c r="N1190" s="23"/>
      <c r="O1190" s="23"/>
      <c r="P1190" s="23"/>
      <c r="Q1190" s="23"/>
      <c r="R1190" s="72"/>
      <c r="S1190" s="23"/>
      <c r="T1190" s="23"/>
      <c r="U1190" s="23"/>
      <c r="V1190" s="23"/>
      <c r="W1190" s="23"/>
      <c r="X1190" s="23"/>
      <c r="Y1190" s="23"/>
      <c r="Z1190" s="23"/>
      <c r="AA1190" s="23"/>
      <c r="AB1190" s="23"/>
      <c r="AC1190" s="23"/>
      <c r="AD1190" s="23"/>
      <c r="AE1190" s="23"/>
    </row>
    <row r="1191" spans="1:31">
      <c r="A1191" s="23"/>
      <c r="B1191" s="40"/>
      <c r="C1191" s="40"/>
      <c r="D1191" s="23"/>
      <c r="E1191" s="23"/>
      <c r="F1191" s="23"/>
      <c r="G1191" s="23"/>
      <c r="H1191" s="40"/>
      <c r="I1191" s="40"/>
      <c r="J1191" s="70"/>
      <c r="K1191" s="23"/>
      <c r="L1191" s="70"/>
      <c r="M1191" s="70"/>
      <c r="N1191" s="23"/>
      <c r="O1191" s="23"/>
      <c r="P1191" s="23"/>
      <c r="Q1191" s="23"/>
      <c r="R1191" s="72"/>
      <c r="S1191" s="23"/>
      <c r="T1191" s="23"/>
      <c r="U1191" s="23"/>
      <c r="V1191" s="23"/>
      <c r="W1191" s="23"/>
      <c r="X1191" s="23"/>
      <c r="Y1191" s="23"/>
      <c r="Z1191" s="23"/>
      <c r="AA1191" s="23"/>
      <c r="AB1191" s="23"/>
      <c r="AC1191" s="23"/>
      <c r="AD1191" s="23"/>
      <c r="AE1191" s="23"/>
    </row>
    <row r="1192" spans="1:31">
      <c r="A1192" s="23"/>
      <c r="B1192" s="40"/>
      <c r="C1192" s="40"/>
      <c r="D1192" s="23"/>
      <c r="E1192" s="23"/>
      <c r="F1192" s="23"/>
      <c r="G1192" s="23"/>
      <c r="H1192" s="40"/>
      <c r="I1192" s="40"/>
      <c r="J1192" s="70"/>
      <c r="K1192" s="23"/>
      <c r="L1192" s="70"/>
      <c r="M1192" s="70"/>
      <c r="N1192" s="23"/>
      <c r="O1192" s="23"/>
      <c r="P1192" s="23"/>
      <c r="Q1192" s="23"/>
      <c r="R1192" s="72"/>
      <c r="S1192" s="23"/>
      <c r="T1192" s="23"/>
      <c r="U1192" s="23"/>
      <c r="V1192" s="23"/>
      <c r="W1192" s="23"/>
      <c r="X1192" s="23"/>
      <c r="Y1192" s="23"/>
      <c r="Z1192" s="23"/>
      <c r="AA1192" s="23"/>
      <c r="AB1192" s="23"/>
      <c r="AC1192" s="23"/>
      <c r="AD1192" s="23"/>
      <c r="AE1192" s="23"/>
    </row>
    <row r="1193" spans="1:31" ht="24" customHeight="1">
      <c r="A1193" s="23"/>
      <c r="B1193" s="40"/>
      <c r="C1193" s="40"/>
      <c r="D1193" s="23"/>
      <c r="E1193" s="23"/>
      <c r="F1193" s="23"/>
      <c r="G1193" s="23"/>
      <c r="H1193" s="40"/>
      <c r="I1193" s="40"/>
      <c r="J1193" s="70"/>
      <c r="K1193" s="23"/>
      <c r="L1193" s="70"/>
      <c r="M1193" s="70"/>
      <c r="N1193" s="23"/>
      <c r="O1193" s="23"/>
      <c r="P1193" s="23"/>
      <c r="Q1193" s="23"/>
      <c r="R1193" s="72"/>
      <c r="S1193" s="23"/>
      <c r="T1193" s="23"/>
      <c r="U1193" s="23"/>
      <c r="V1193" s="23"/>
      <c r="W1193" s="23"/>
      <c r="X1193" s="23"/>
      <c r="Y1193" s="23"/>
      <c r="Z1193" s="23"/>
      <c r="AA1193" s="23"/>
      <c r="AB1193" s="23"/>
      <c r="AC1193" s="23"/>
      <c r="AD1193" s="23"/>
      <c r="AE1193" s="23"/>
    </row>
    <row r="1194" spans="1:31">
      <c r="A1194" s="23"/>
      <c r="B1194" s="40"/>
      <c r="C1194" s="40"/>
      <c r="D1194" s="23"/>
      <c r="E1194" s="23"/>
      <c r="F1194" s="23"/>
      <c r="G1194" s="23"/>
      <c r="H1194" s="40"/>
      <c r="I1194" s="40"/>
      <c r="J1194" s="70"/>
      <c r="K1194" s="23"/>
      <c r="L1194" s="70"/>
      <c r="M1194" s="70"/>
      <c r="N1194" s="23"/>
      <c r="O1194" s="23"/>
      <c r="P1194" s="23"/>
      <c r="Q1194" s="23"/>
      <c r="R1194" s="72"/>
      <c r="S1194" s="23"/>
      <c r="T1194" s="23"/>
      <c r="U1194" s="23"/>
      <c r="V1194" s="23"/>
      <c r="W1194" s="23"/>
      <c r="X1194" s="23"/>
      <c r="Y1194" s="23"/>
      <c r="Z1194" s="23"/>
      <c r="AA1194" s="23"/>
      <c r="AB1194" s="23"/>
      <c r="AC1194" s="23"/>
      <c r="AD1194" s="23"/>
      <c r="AE1194" s="23"/>
    </row>
    <row r="1195" spans="1:31">
      <c r="A1195" s="23"/>
      <c r="B1195" s="40"/>
      <c r="C1195" s="40"/>
      <c r="D1195" s="23"/>
      <c r="E1195" s="23"/>
      <c r="F1195" s="23"/>
      <c r="G1195" s="23"/>
      <c r="H1195" s="23"/>
      <c r="I1195" s="40"/>
      <c r="J1195" s="70"/>
      <c r="K1195" s="23"/>
      <c r="L1195" s="70"/>
      <c r="M1195" s="70"/>
      <c r="N1195" s="23"/>
      <c r="O1195" s="23"/>
      <c r="P1195" s="23"/>
      <c r="Q1195" s="23"/>
      <c r="R1195" s="72"/>
      <c r="S1195" s="23"/>
      <c r="T1195" s="23"/>
      <c r="U1195" s="23"/>
      <c r="V1195" s="23"/>
      <c r="W1195" s="23"/>
      <c r="X1195" s="23"/>
      <c r="Y1195" s="23"/>
      <c r="Z1195" s="23"/>
      <c r="AA1195" s="23"/>
      <c r="AB1195" s="23"/>
      <c r="AC1195" s="23"/>
      <c r="AD1195" s="23"/>
      <c r="AE1195" s="23"/>
    </row>
    <row r="1196" spans="1:31">
      <c r="A1196" s="23"/>
      <c r="B1196" s="40"/>
      <c r="C1196" s="40"/>
      <c r="D1196" s="23"/>
      <c r="E1196" s="23"/>
      <c r="F1196" s="23"/>
      <c r="G1196" s="23"/>
      <c r="H1196" s="23"/>
      <c r="I1196" s="40"/>
      <c r="J1196" s="70"/>
      <c r="K1196" s="23"/>
      <c r="L1196" s="70"/>
      <c r="M1196" s="70"/>
      <c r="N1196" s="23"/>
      <c r="O1196" s="23"/>
      <c r="P1196" s="23"/>
      <c r="Q1196" s="23"/>
      <c r="R1196" s="72"/>
      <c r="S1196" s="23"/>
      <c r="T1196" s="23"/>
      <c r="U1196" s="23"/>
      <c r="V1196" s="23"/>
      <c r="W1196" s="23"/>
      <c r="X1196" s="23"/>
      <c r="Y1196" s="23"/>
      <c r="Z1196" s="23"/>
      <c r="AA1196" s="23"/>
      <c r="AB1196" s="23"/>
      <c r="AC1196" s="23"/>
      <c r="AD1196" s="23"/>
      <c r="AE1196" s="23"/>
    </row>
    <row r="1197" spans="1:31">
      <c r="A1197" s="23"/>
      <c r="B1197" s="40"/>
      <c r="C1197" s="40"/>
      <c r="D1197" s="23"/>
      <c r="E1197" s="23"/>
      <c r="F1197" s="23"/>
      <c r="G1197" s="23"/>
      <c r="H1197" s="23"/>
      <c r="I1197" s="40"/>
      <c r="J1197" s="70"/>
      <c r="K1197" s="23"/>
      <c r="L1197" s="70"/>
      <c r="M1197" s="70"/>
      <c r="N1197" s="23"/>
      <c r="O1197" s="23"/>
      <c r="P1197" s="23"/>
      <c r="Q1197" s="23"/>
      <c r="R1197" s="72"/>
      <c r="S1197" s="23"/>
      <c r="T1197" s="23"/>
      <c r="U1197" s="23"/>
      <c r="V1197" s="23"/>
      <c r="W1197" s="23"/>
      <c r="X1197" s="23"/>
      <c r="Y1197" s="23"/>
      <c r="Z1197" s="23"/>
      <c r="AA1197" s="23"/>
      <c r="AB1197" s="23"/>
      <c r="AC1197" s="23"/>
      <c r="AD1197" s="23"/>
      <c r="AE1197" s="23"/>
    </row>
    <row r="1198" spans="1:31">
      <c r="A1198" s="23"/>
      <c r="B1198" s="40"/>
      <c r="C1198" s="40"/>
      <c r="D1198" s="23"/>
      <c r="E1198" s="23"/>
      <c r="F1198" s="23"/>
      <c r="G1198" s="23"/>
      <c r="H1198" s="23"/>
      <c r="I1198" s="40"/>
      <c r="J1198" s="70"/>
      <c r="K1198" s="23"/>
      <c r="L1198" s="70"/>
      <c r="M1198" s="70"/>
      <c r="N1198" s="23"/>
      <c r="O1198" s="23"/>
      <c r="P1198" s="23"/>
      <c r="Q1198" s="23"/>
      <c r="R1198" s="72"/>
      <c r="S1198" s="23"/>
      <c r="T1198" s="23"/>
      <c r="U1198" s="23"/>
      <c r="V1198" s="23"/>
      <c r="W1198" s="23"/>
      <c r="X1198" s="23"/>
      <c r="Y1198" s="23"/>
      <c r="Z1198" s="23"/>
      <c r="AA1198" s="23"/>
      <c r="AB1198" s="23"/>
      <c r="AC1198" s="23"/>
      <c r="AD1198" s="23"/>
      <c r="AE1198" s="23"/>
    </row>
    <row r="1199" spans="1:31">
      <c r="A1199" s="23"/>
      <c r="B1199" s="40"/>
      <c r="C1199" s="40"/>
      <c r="D1199" s="23"/>
      <c r="E1199" s="23"/>
      <c r="F1199" s="23"/>
      <c r="G1199" s="23"/>
      <c r="H1199" s="23"/>
      <c r="I1199" s="40"/>
      <c r="J1199" s="70"/>
      <c r="K1199" s="23"/>
      <c r="L1199" s="70"/>
      <c r="M1199" s="70"/>
      <c r="N1199" s="23"/>
      <c r="O1199" s="23"/>
      <c r="P1199" s="23"/>
      <c r="Q1199" s="23"/>
      <c r="R1199" s="72"/>
      <c r="S1199" s="23"/>
      <c r="T1199" s="23"/>
      <c r="U1199" s="23"/>
      <c r="V1199" s="23"/>
      <c r="W1199" s="23"/>
      <c r="X1199" s="23"/>
      <c r="Y1199" s="23"/>
      <c r="Z1199" s="23"/>
      <c r="AA1199" s="23"/>
      <c r="AB1199" s="23"/>
      <c r="AC1199" s="23"/>
      <c r="AD1199" s="23"/>
      <c r="AE1199" s="23"/>
    </row>
    <row r="1200" spans="1:31" ht="24" customHeight="1">
      <c r="A1200" s="23"/>
      <c r="B1200" s="40"/>
      <c r="C1200" s="40"/>
      <c r="D1200" s="23"/>
      <c r="E1200" s="23"/>
      <c r="F1200" s="23"/>
      <c r="G1200" s="23"/>
      <c r="H1200" s="40"/>
      <c r="I1200" s="40"/>
      <c r="J1200" s="70"/>
      <c r="K1200" s="23"/>
      <c r="L1200" s="70"/>
      <c r="M1200" s="70"/>
      <c r="N1200" s="23"/>
      <c r="O1200" s="23"/>
      <c r="P1200" s="23"/>
      <c r="Q1200" s="23"/>
      <c r="R1200" s="72"/>
      <c r="S1200" s="23"/>
      <c r="T1200" s="23"/>
      <c r="U1200" s="23"/>
      <c r="V1200" s="23"/>
      <c r="W1200" s="23"/>
      <c r="X1200" s="23"/>
      <c r="Y1200" s="23"/>
      <c r="Z1200" s="23"/>
      <c r="AA1200" s="23"/>
      <c r="AB1200" s="23"/>
      <c r="AC1200" s="23"/>
      <c r="AD1200" s="23"/>
      <c r="AE1200" s="23"/>
    </row>
    <row r="1201" spans="1:31">
      <c r="A1201" s="23"/>
      <c r="B1201" s="40"/>
      <c r="C1201" s="40"/>
      <c r="D1201" s="23"/>
      <c r="E1201" s="23"/>
      <c r="F1201" s="23"/>
      <c r="G1201" s="23"/>
      <c r="H1201" s="40"/>
      <c r="I1201" s="40"/>
      <c r="J1201" s="70"/>
      <c r="K1201" s="23"/>
      <c r="L1201" s="70"/>
      <c r="M1201" s="70"/>
      <c r="N1201" s="23"/>
      <c r="O1201" s="23"/>
      <c r="P1201" s="23"/>
      <c r="Q1201" s="23"/>
      <c r="R1201" s="72"/>
      <c r="S1201" s="23"/>
      <c r="T1201" s="23"/>
      <c r="U1201" s="23"/>
      <c r="V1201" s="23"/>
      <c r="W1201" s="23"/>
      <c r="X1201" s="23"/>
      <c r="Y1201" s="23"/>
      <c r="Z1201" s="23"/>
      <c r="AA1201" s="23"/>
      <c r="AB1201" s="23"/>
      <c r="AC1201" s="23"/>
      <c r="AD1201" s="23"/>
      <c r="AE1201" s="23"/>
    </row>
    <row r="1202" spans="1:31">
      <c r="A1202" s="23"/>
      <c r="B1202" s="40"/>
      <c r="C1202" s="40"/>
      <c r="D1202" s="23"/>
      <c r="E1202" s="23"/>
      <c r="F1202" s="23"/>
      <c r="G1202" s="23"/>
      <c r="H1202" s="40"/>
      <c r="I1202" s="40"/>
      <c r="J1202" s="70"/>
      <c r="K1202" s="23"/>
      <c r="L1202" s="70"/>
      <c r="M1202" s="70"/>
      <c r="N1202" s="23"/>
      <c r="O1202" s="23"/>
      <c r="P1202" s="23"/>
      <c r="Q1202" s="23"/>
      <c r="R1202" s="72"/>
      <c r="S1202" s="23"/>
      <c r="T1202" s="23"/>
      <c r="U1202" s="23"/>
      <c r="V1202" s="23"/>
      <c r="W1202" s="23"/>
      <c r="X1202" s="23"/>
      <c r="Y1202" s="23"/>
      <c r="Z1202" s="23"/>
      <c r="AA1202" s="23"/>
      <c r="AB1202" s="23"/>
      <c r="AC1202" s="23"/>
      <c r="AD1202" s="23"/>
      <c r="AE1202" s="23"/>
    </row>
    <row r="1203" spans="1:31">
      <c r="A1203" s="23"/>
      <c r="B1203" s="40"/>
      <c r="C1203" s="40"/>
      <c r="D1203" s="23"/>
      <c r="E1203" s="23"/>
      <c r="F1203" s="23"/>
      <c r="G1203" s="23"/>
      <c r="H1203" s="40"/>
      <c r="I1203" s="40"/>
      <c r="J1203" s="70"/>
      <c r="K1203" s="23"/>
      <c r="L1203" s="70"/>
      <c r="M1203" s="70"/>
      <c r="N1203" s="23"/>
      <c r="O1203" s="23"/>
      <c r="P1203" s="23"/>
      <c r="Q1203" s="23"/>
      <c r="R1203" s="72"/>
      <c r="S1203" s="23"/>
      <c r="T1203" s="23"/>
      <c r="U1203" s="23"/>
      <c r="V1203" s="23"/>
      <c r="W1203" s="23"/>
      <c r="X1203" s="23"/>
      <c r="Y1203" s="23"/>
      <c r="Z1203" s="23"/>
      <c r="AA1203" s="23"/>
      <c r="AB1203" s="23"/>
      <c r="AC1203" s="23"/>
      <c r="AD1203" s="23"/>
      <c r="AE1203" s="23"/>
    </row>
    <row r="1204" spans="1:31">
      <c r="A1204" s="23"/>
      <c r="B1204" s="40"/>
      <c r="C1204" s="40"/>
      <c r="D1204" s="23"/>
      <c r="E1204" s="23"/>
      <c r="F1204" s="23"/>
      <c r="G1204" s="23"/>
      <c r="H1204" s="23"/>
      <c r="I1204" s="40"/>
      <c r="J1204" s="70"/>
      <c r="K1204" s="23"/>
      <c r="L1204" s="70"/>
      <c r="M1204" s="70"/>
      <c r="N1204" s="23"/>
      <c r="O1204" s="23"/>
      <c r="P1204" s="23"/>
      <c r="Q1204" s="23"/>
      <c r="R1204" s="72"/>
      <c r="S1204" s="23"/>
      <c r="T1204" s="23"/>
      <c r="U1204" s="23"/>
      <c r="V1204" s="23"/>
      <c r="W1204" s="23"/>
      <c r="X1204" s="23"/>
      <c r="Y1204" s="23"/>
      <c r="Z1204" s="23"/>
      <c r="AA1204" s="23"/>
      <c r="AB1204" s="23"/>
      <c r="AC1204" s="23"/>
      <c r="AD1204" s="23"/>
      <c r="AE1204" s="23"/>
    </row>
    <row r="1205" spans="1:31">
      <c r="A1205" s="23"/>
      <c r="B1205" s="40"/>
      <c r="C1205" s="40"/>
      <c r="D1205" s="23"/>
      <c r="E1205" s="23"/>
      <c r="F1205" s="23"/>
      <c r="G1205" s="23"/>
      <c r="H1205" s="23"/>
      <c r="I1205" s="40"/>
      <c r="J1205" s="70"/>
      <c r="K1205" s="23"/>
      <c r="L1205" s="70"/>
      <c r="M1205" s="70"/>
      <c r="N1205" s="23"/>
      <c r="O1205" s="23"/>
      <c r="P1205" s="23"/>
      <c r="Q1205" s="23"/>
      <c r="R1205" s="72"/>
      <c r="S1205" s="23"/>
      <c r="T1205" s="23"/>
      <c r="U1205" s="23"/>
      <c r="V1205" s="23"/>
      <c r="W1205" s="23"/>
      <c r="X1205" s="23"/>
      <c r="Y1205" s="23"/>
      <c r="Z1205" s="23"/>
      <c r="AA1205" s="23"/>
      <c r="AB1205" s="23"/>
      <c r="AC1205" s="23"/>
      <c r="AD1205" s="23"/>
      <c r="AE1205" s="23"/>
    </row>
    <row r="1206" spans="1:31" ht="24" customHeight="1">
      <c r="A1206" s="23"/>
      <c r="B1206" s="40"/>
      <c r="C1206" s="40"/>
      <c r="D1206" s="23"/>
      <c r="E1206" s="23"/>
      <c r="F1206" s="23"/>
      <c r="G1206" s="23"/>
      <c r="H1206" s="40"/>
      <c r="I1206" s="40"/>
      <c r="J1206" s="70"/>
      <c r="K1206" s="23"/>
      <c r="L1206" s="70"/>
      <c r="M1206" s="70"/>
      <c r="N1206" s="23"/>
      <c r="O1206" s="23"/>
      <c r="P1206" s="23"/>
      <c r="Q1206" s="23"/>
      <c r="R1206" s="72"/>
      <c r="S1206" s="23"/>
      <c r="T1206" s="23"/>
      <c r="U1206" s="23"/>
      <c r="V1206" s="23"/>
      <c r="W1206" s="23"/>
      <c r="X1206" s="23"/>
      <c r="Y1206" s="23"/>
      <c r="Z1206" s="23"/>
      <c r="AA1206" s="23"/>
      <c r="AB1206" s="23"/>
      <c r="AC1206" s="23"/>
      <c r="AD1206" s="23"/>
      <c r="AE1206" s="23"/>
    </row>
    <row r="1207" spans="1:31">
      <c r="A1207" s="23"/>
      <c r="B1207" s="40"/>
      <c r="C1207" s="40"/>
      <c r="D1207" s="23"/>
      <c r="E1207" s="23"/>
      <c r="F1207" s="23"/>
      <c r="G1207" s="23"/>
      <c r="H1207" s="40"/>
      <c r="I1207" s="40"/>
      <c r="J1207" s="70"/>
      <c r="K1207" s="23"/>
      <c r="L1207" s="70"/>
      <c r="M1207" s="70"/>
      <c r="N1207" s="23"/>
      <c r="O1207" s="23"/>
      <c r="P1207" s="23"/>
      <c r="Q1207" s="23"/>
      <c r="R1207" s="72"/>
      <c r="S1207" s="23"/>
      <c r="T1207" s="23"/>
      <c r="U1207" s="23"/>
      <c r="V1207" s="23"/>
      <c r="W1207" s="23"/>
      <c r="X1207" s="23"/>
      <c r="Y1207" s="23"/>
      <c r="Z1207" s="23"/>
      <c r="AA1207" s="23"/>
      <c r="AB1207" s="23"/>
      <c r="AC1207" s="23"/>
      <c r="AD1207" s="23"/>
      <c r="AE1207" s="23"/>
    </row>
    <row r="1208" spans="1:31">
      <c r="A1208" s="23"/>
      <c r="B1208" s="40"/>
      <c r="C1208" s="40"/>
      <c r="D1208" s="23"/>
      <c r="E1208" s="23"/>
      <c r="F1208" s="23"/>
      <c r="G1208" s="23"/>
      <c r="H1208" s="40"/>
      <c r="I1208" s="40"/>
      <c r="J1208" s="70"/>
      <c r="K1208" s="23"/>
      <c r="L1208" s="70"/>
      <c r="M1208" s="70"/>
      <c r="N1208" s="23"/>
      <c r="O1208" s="23"/>
      <c r="P1208" s="23"/>
      <c r="Q1208" s="23"/>
      <c r="R1208" s="72"/>
      <c r="S1208" s="23"/>
      <c r="T1208" s="23"/>
      <c r="U1208" s="23"/>
      <c r="V1208" s="23"/>
      <c r="W1208" s="23"/>
      <c r="X1208" s="23"/>
      <c r="Y1208" s="23"/>
      <c r="Z1208" s="23"/>
      <c r="AA1208" s="23"/>
      <c r="AB1208" s="23"/>
      <c r="AC1208" s="23"/>
      <c r="AD1208" s="23"/>
      <c r="AE1208" s="23"/>
    </row>
    <row r="1209" spans="1:31">
      <c r="A1209" s="23"/>
      <c r="B1209" s="40"/>
      <c r="C1209" s="40"/>
      <c r="D1209" s="23"/>
      <c r="E1209" s="23"/>
      <c r="F1209" s="23"/>
      <c r="G1209" s="23"/>
      <c r="H1209" s="40"/>
      <c r="I1209" s="40"/>
      <c r="J1209" s="70"/>
      <c r="K1209" s="23"/>
      <c r="L1209" s="70"/>
      <c r="M1209" s="70"/>
      <c r="N1209" s="23"/>
      <c r="O1209" s="23"/>
      <c r="P1209" s="23"/>
      <c r="Q1209" s="23"/>
      <c r="R1209" s="72"/>
      <c r="S1209" s="23"/>
      <c r="T1209" s="23"/>
      <c r="U1209" s="23"/>
      <c r="V1209" s="23"/>
      <c r="W1209" s="23"/>
      <c r="X1209" s="23"/>
      <c r="Y1209" s="23"/>
      <c r="Z1209" s="23"/>
      <c r="AA1209" s="23"/>
      <c r="AB1209" s="23"/>
      <c r="AC1209" s="23"/>
      <c r="AD1209" s="23"/>
      <c r="AE1209" s="23"/>
    </row>
    <row r="1210" spans="1:31">
      <c r="A1210" s="23"/>
      <c r="B1210" s="40"/>
      <c r="C1210" s="40"/>
      <c r="D1210" s="23"/>
      <c r="E1210" s="23"/>
      <c r="F1210" s="23"/>
      <c r="G1210" s="23"/>
      <c r="H1210" s="40"/>
      <c r="I1210" s="40"/>
      <c r="J1210" s="70"/>
      <c r="K1210" s="23"/>
      <c r="L1210" s="70"/>
      <c r="M1210" s="70"/>
      <c r="N1210" s="23"/>
      <c r="O1210" s="23"/>
      <c r="P1210" s="23"/>
      <c r="Q1210" s="23"/>
      <c r="R1210" s="72"/>
      <c r="S1210" s="23"/>
      <c r="T1210" s="23"/>
      <c r="U1210" s="23"/>
      <c r="V1210" s="23"/>
      <c r="W1210" s="23"/>
      <c r="X1210" s="23"/>
      <c r="Y1210" s="23"/>
      <c r="Z1210" s="23"/>
      <c r="AA1210" s="23"/>
      <c r="AB1210" s="23"/>
      <c r="AC1210" s="23"/>
      <c r="AD1210" s="23"/>
      <c r="AE1210" s="23"/>
    </row>
    <row r="1211" spans="1:31" ht="24" customHeight="1">
      <c r="A1211" s="23"/>
      <c r="B1211" s="40"/>
      <c r="C1211" s="40"/>
      <c r="D1211" s="23"/>
      <c r="E1211" s="23"/>
      <c r="F1211" s="23"/>
      <c r="G1211" s="23"/>
      <c r="H1211" s="40"/>
      <c r="I1211" s="40"/>
      <c r="J1211" s="70"/>
      <c r="K1211" s="23"/>
      <c r="L1211" s="70"/>
      <c r="M1211" s="70"/>
      <c r="N1211" s="23"/>
      <c r="O1211" s="23"/>
      <c r="P1211" s="23"/>
      <c r="Q1211" s="23"/>
      <c r="R1211" s="72"/>
      <c r="S1211" s="23"/>
      <c r="T1211" s="23"/>
      <c r="U1211" s="23"/>
      <c r="V1211" s="23"/>
      <c r="W1211" s="23"/>
      <c r="X1211" s="23"/>
      <c r="Y1211" s="23"/>
      <c r="Z1211" s="23"/>
      <c r="AA1211" s="23"/>
      <c r="AB1211" s="23"/>
      <c r="AC1211" s="23"/>
      <c r="AD1211" s="23"/>
      <c r="AE1211" s="23"/>
    </row>
    <row r="1212" spans="1:31">
      <c r="A1212" s="23"/>
      <c r="B1212" s="40"/>
      <c r="C1212" s="40"/>
      <c r="D1212" s="23"/>
      <c r="E1212" s="23"/>
      <c r="F1212" s="23"/>
      <c r="G1212" s="23"/>
      <c r="H1212" s="40"/>
      <c r="I1212" s="40"/>
      <c r="J1212" s="70"/>
      <c r="K1212" s="23"/>
      <c r="L1212" s="70"/>
      <c r="M1212" s="70"/>
      <c r="N1212" s="23"/>
      <c r="O1212" s="23"/>
      <c r="P1212" s="23"/>
      <c r="Q1212" s="23"/>
      <c r="R1212" s="72"/>
      <c r="S1212" s="23"/>
      <c r="T1212" s="23"/>
      <c r="U1212" s="23"/>
      <c r="V1212" s="23"/>
      <c r="W1212" s="23"/>
      <c r="X1212" s="23"/>
      <c r="Y1212" s="23"/>
      <c r="Z1212" s="23"/>
      <c r="AA1212" s="23"/>
      <c r="AB1212" s="23"/>
      <c r="AC1212" s="23"/>
      <c r="AD1212" s="23"/>
      <c r="AE1212" s="23"/>
    </row>
    <row r="1213" spans="1:31">
      <c r="A1213" s="23"/>
      <c r="B1213" s="40"/>
      <c r="C1213" s="40"/>
      <c r="D1213" s="23"/>
      <c r="E1213" s="23"/>
      <c r="F1213" s="23"/>
      <c r="G1213" s="23"/>
      <c r="H1213" s="23"/>
      <c r="I1213" s="40"/>
      <c r="J1213" s="70"/>
      <c r="K1213" s="23"/>
      <c r="L1213" s="70"/>
      <c r="M1213" s="70"/>
      <c r="N1213" s="23"/>
      <c r="O1213" s="23"/>
      <c r="P1213" s="23"/>
      <c r="Q1213" s="23"/>
      <c r="R1213" s="72"/>
      <c r="S1213" s="23"/>
      <c r="T1213" s="23"/>
      <c r="U1213" s="23"/>
      <c r="V1213" s="23"/>
      <c r="W1213" s="23"/>
      <c r="X1213" s="23"/>
      <c r="Y1213" s="23"/>
      <c r="Z1213" s="23"/>
      <c r="AA1213" s="23"/>
      <c r="AB1213" s="23"/>
      <c r="AC1213" s="23"/>
      <c r="AD1213" s="23"/>
      <c r="AE1213" s="23"/>
    </row>
    <row r="1214" spans="1:31">
      <c r="A1214" s="23"/>
      <c r="B1214" s="40"/>
      <c r="C1214" s="40"/>
      <c r="D1214" s="23"/>
      <c r="E1214" s="23"/>
      <c r="F1214" s="23"/>
      <c r="G1214" s="23"/>
      <c r="H1214" s="23"/>
      <c r="I1214" s="40"/>
      <c r="J1214" s="70"/>
      <c r="K1214" s="23"/>
      <c r="L1214" s="70"/>
      <c r="M1214" s="70"/>
      <c r="N1214" s="23"/>
      <c r="O1214" s="23"/>
      <c r="P1214" s="23"/>
      <c r="Q1214" s="23"/>
      <c r="R1214" s="72"/>
      <c r="S1214" s="23"/>
      <c r="T1214" s="23"/>
      <c r="U1214" s="23"/>
      <c r="V1214" s="23"/>
      <c r="W1214" s="23"/>
      <c r="X1214" s="23"/>
      <c r="Y1214" s="23"/>
      <c r="Z1214" s="23"/>
      <c r="AA1214" s="23"/>
      <c r="AB1214" s="23"/>
      <c r="AC1214" s="23"/>
      <c r="AD1214" s="23"/>
      <c r="AE1214" s="23"/>
    </row>
    <row r="1215" spans="1:31">
      <c r="A1215" s="23"/>
      <c r="B1215" s="40"/>
      <c r="C1215" s="40"/>
      <c r="D1215" s="23"/>
      <c r="E1215" s="23"/>
      <c r="F1215" s="23"/>
      <c r="G1215" s="23"/>
      <c r="H1215" s="23"/>
      <c r="I1215" s="40"/>
      <c r="J1215" s="70"/>
      <c r="K1215" s="23"/>
      <c r="L1215" s="70"/>
      <c r="M1215" s="70"/>
      <c r="N1215" s="23"/>
      <c r="O1215" s="23"/>
      <c r="P1215" s="23"/>
      <c r="Q1215" s="23"/>
      <c r="R1215" s="72"/>
      <c r="S1215" s="23"/>
      <c r="T1215" s="23"/>
      <c r="U1215" s="23"/>
      <c r="V1215" s="23"/>
      <c r="W1215" s="23"/>
      <c r="X1215" s="23"/>
      <c r="Y1215" s="23"/>
      <c r="Z1215" s="23"/>
      <c r="AA1215" s="23"/>
      <c r="AB1215" s="23"/>
      <c r="AC1215" s="23"/>
      <c r="AD1215" s="23"/>
      <c r="AE1215" s="23"/>
    </row>
    <row r="1216" spans="1:31">
      <c r="A1216" s="23"/>
      <c r="B1216" s="40"/>
      <c r="C1216" s="40"/>
      <c r="D1216" s="23"/>
      <c r="E1216" s="23"/>
      <c r="F1216" s="23"/>
      <c r="G1216" s="23"/>
      <c r="H1216" s="23"/>
      <c r="I1216" s="40"/>
      <c r="J1216" s="70"/>
      <c r="K1216" s="23"/>
      <c r="L1216" s="70"/>
      <c r="M1216" s="70"/>
      <c r="N1216" s="23"/>
      <c r="O1216" s="23"/>
      <c r="P1216" s="23"/>
      <c r="Q1216" s="23"/>
      <c r="R1216" s="72"/>
      <c r="S1216" s="23"/>
      <c r="T1216" s="23"/>
      <c r="U1216" s="23"/>
      <c r="V1216" s="23"/>
      <c r="W1216" s="23"/>
      <c r="X1216" s="23"/>
      <c r="Y1216" s="23"/>
      <c r="Z1216" s="23"/>
      <c r="AA1216" s="23"/>
      <c r="AB1216" s="23"/>
      <c r="AC1216" s="23"/>
      <c r="AD1216" s="23"/>
      <c r="AE1216" s="23"/>
    </row>
    <row r="1217" spans="1:31">
      <c r="A1217" s="23"/>
      <c r="B1217" s="40"/>
      <c r="C1217" s="40"/>
      <c r="D1217" s="23"/>
      <c r="E1217" s="23"/>
      <c r="F1217" s="23"/>
      <c r="G1217" s="23"/>
      <c r="H1217" s="23"/>
      <c r="I1217" s="40"/>
      <c r="J1217" s="70"/>
      <c r="K1217" s="23"/>
      <c r="L1217" s="70"/>
      <c r="M1217" s="70"/>
      <c r="N1217" s="23"/>
      <c r="O1217" s="23"/>
      <c r="P1217" s="23"/>
      <c r="Q1217" s="23"/>
      <c r="R1217" s="72"/>
      <c r="S1217" s="23"/>
      <c r="T1217" s="23"/>
      <c r="U1217" s="23"/>
      <c r="V1217" s="23"/>
      <c r="W1217" s="23"/>
      <c r="X1217" s="23"/>
      <c r="Y1217" s="23"/>
      <c r="Z1217" s="23"/>
      <c r="AA1217" s="23"/>
      <c r="AB1217" s="23"/>
      <c r="AC1217" s="23"/>
      <c r="AD1217" s="23"/>
      <c r="AE1217" s="23"/>
    </row>
    <row r="1218" spans="1:31">
      <c r="A1218" s="23"/>
      <c r="B1218" s="40"/>
      <c r="C1218" s="40"/>
      <c r="D1218" s="23"/>
      <c r="E1218" s="23"/>
      <c r="F1218" s="23"/>
      <c r="G1218" s="23"/>
      <c r="H1218" s="23"/>
      <c r="I1218" s="40"/>
      <c r="J1218" s="70"/>
      <c r="K1218" s="23"/>
      <c r="L1218" s="70"/>
      <c r="M1218" s="70"/>
      <c r="N1218" s="23"/>
      <c r="O1218" s="23"/>
      <c r="P1218" s="23"/>
      <c r="Q1218" s="23"/>
      <c r="R1218" s="72"/>
      <c r="S1218" s="23"/>
      <c r="T1218" s="23"/>
      <c r="U1218" s="23"/>
      <c r="V1218" s="23"/>
      <c r="W1218" s="23"/>
      <c r="X1218" s="23"/>
      <c r="Y1218" s="23"/>
      <c r="Z1218" s="23"/>
      <c r="AA1218" s="23"/>
      <c r="AB1218" s="23"/>
      <c r="AC1218" s="23"/>
      <c r="AD1218" s="23"/>
      <c r="AE1218" s="23"/>
    </row>
    <row r="1219" spans="1:31">
      <c r="A1219" s="23"/>
      <c r="B1219" s="40"/>
      <c r="C1219" s="40"/>
      <c r="D1219" s="23"/>
      <c r="E1219" s="23"/>
      <c r="F1219" s="23"/>
      <c r="G1219" s="23"/>
      <c r="H1219" s="23"/>
      <c r="I1219" s="40"/>
      <c r="J1219" s="70"/>
      <c r="K1219" s="23"/>
      <c r="L1219" s="70"/>
      <c r="M1219" s="70"/>
      <c r="N1219" s="23"/>
      <c r="O1219" s="23"/>
      <c r="P1219" s="23"/>
      <c r="Q1219" s="23"/>
      <c r="R1219" s="72"/>
      <c r="S1219" s="23"/>
      <c r="T1219" s="23"/>
      <c r="U1219" s="23"/>
      <c r="V1219" s="23"/>
      <c r="W1219" s="23"/>
      <c r="X1219" s="23"/>
      <c r="Y1219" s="23"/>
      <c r="Z1219" s="23"/>
      <c r="AA1219" s="23"/>
      <c r="AB1219" s="23"/>
      <c r="AC1219" s="23"/>
      <c r="AD1219" s="23"/>
      <c r="AE1219" s="23"/>
    </row>
    <row r="1220" spans="1:31" ht="24" customHeight="1">
      <c r="A1220" s="23"/>
      <c r="B1220" s="40"/>
      <c r="C1220" s="40"/>
      <c r="D1220" s="23"/>
      <c r="E1220" s="23"/>
      <c r="F1220" s="23"/>
      <c r="G1220" s="23"/>
      <c r="H1220" s="40"/>
      <c r="I1220" s="40"/>
      <c r="J1220" s="70"/>
      <c r="K1220" s="23"/>
      <c r="L1220" s="70"/>
      <c r="M1220" s="70"/>
      <c r="N1220" s="23"/>
      <c r="O1220" s="23"/>
      <c r="P1220" s="23"/>
      <c r="Q1220" s="23"/>
      <c r="R1220" s="72"/>
      <c r="S1220" s="23"/>
      <c r="T1220" s="23"/>
      <c r="U1220" s="23"/>
      <c r="V1220" s="23"/>
      <c r="W1220" s="23"/>
      <c r="X1220" s="23"/>
      <c r="Y1220" s="23"/>
      <c r="Z1220" s="23"/>
      <c r="AA1220" s="23"/>
      <c r="AB1220" s="23"/>
      <c r="AC1220" s="23"/>
      <c r="AD1220" s="23"/>
      <c r="AE1220" s="23"/>
    </row>
    <row r="1221" spans="1:31">
      <c r="A1221" s="23"/>
      <c r="B1221" s="40"/>
      <c r="C1221" s="40"/>
      <c r="D1221" s="23"/>
      <c r="E1221" s="23"/>
      <c r="F1221" s="23"/>
      <c r="G1221" s="23"/>
      <c r="H1221" s="40"/>
      <c r="I1221" s="40"/>
      <c r="J1221" s="70"/>
      <c r="K1221" s="23"/>
      <c r="L1221" s="70"/>
      <c r="M1221" s="70"/>
      <c r="N1221" s="23"/>
      <c r="O1221" s="23"/>
      <c r="P1221" s="23"/>
      <c r="Q1221" s="23"/>
      <c r="R1221" s="72"/>
      <c r="S1221" s="23"/>
      <c r="T1221" s="23"/>
      <c r="U1221" s="23"/>
      <c r="V1221" s="23"/>
      <c r="W1221" s="23"/>
      <c r="X1221" s="23"/>
      <c r="Y1221" s="23"/>
      <c r="Z1221" s="23"/>
      <c r="AA1221" s="23"/>
      <c r="AB1221" s="23"/>
      <c r="AC1221" s="23"/>
      <c r="AD1221" s="23"/>
      <c r="AE1221" s="23"/>
    </row>
    <row r="1222" spans="1:31">
      <c r="A1222" s="23"/>
      <c r="B1222" s="40"/>
      <c r="C1222" s="40"/>
      <c r="D1222" s="23"/>
      <c r="E1222" s="23"/>
      <c r="F1222" s="23"/>
      <c r="G1222" s="23"/>
      <c r="H1222" s="40"/>
      <c r="I1222" s="40"/>
      <c r="J1222" s="70"/>
      <c r="K1222" s="23"/>
      <c r="L1222" s="70"/>
      <c r="M1222" s="70"/>
      <c r="N1222" s="23"/>
      <c r="O1222" s="23"/>
      <c r="P1222" s="23"/>
      <c r="Q1222" s="23"/>
      <c r="R1222" s="72"/>
      <c r="S1222" s="23"/>
      <c r="T1222" s="23"/>
      <c r="U1222" s="23"/>
      <c r="V1222" s="23"/>
      <c r="W1222" s="23"/>
      <c r="X1222" s="23"/>
      <c r="Y1222" s="23"/>
      <c r="Z1222" s="23"/>
      <c r="AA1222" s="23"/>
      <c r="AB1222" s="23"/>
      <c r="AC1222" s="23"/>
      <c r="AD1222" s="23"/>
      <c r="AE1222" s="23"/>
    </row>
    <row r="1223" spans="1:31">
      <c r="A1223" s="23"/>
      <c r="B1223" s="40"/>
      <c r="C1223" s="40"/>
      <c r="D1223" s="23"/>
      <c r="E1223" s="23"/>
      <c r="F1223" s="23"/>
      <c r="G1223" s="23"/>
      <c r="H1223" s="40"/>
      <c r="I1223" s="40"/>
      <c r="J1223" s="70"/>
      <c r="K1223" s="23"/>
      <c r="L1223" s="70"/>
      <c r="M1223" s="70"/>
      <c r="N1223" s="23"/>
      <c r="O1223" s="23"/>
      <c r="P1223" s="23"/>
      <c r="Q1223" s="23"/>
      <c r="R1223" s="72"/>
      <c r="S1223" s="23"/>
      <c r="T1223" s="23"/>
      <c r="U1223" s="23"/>
      <c r="V1223" s="23"/>
      <c r="W1223" s="23"/>
      <c r="X1223" s="23"/>
      <c r="Y1223" s="23"/>
      <c r="Z1223" s="23"/>
      <c r="AA1223" s="23"/>
      <c r="AB1223" s="23"/>
      <c r="AC1223" s="23"/>
      <c r="AD1223" s="23"/>
      <c r="AE1223" s="23"/>
    </row>
    <row r="1224" spans="1:31">
      <c r="A1224" s="23"/>
      <c r="B1224" s="40"/>
      <c r="C1224" s="40"/>
      <c r="D1224" s="23"/>
      <c r="E1224" s="23"/>
      <c r="F1224" s="23"/>
      <c r="G1224" s="23"/>
      <c r="H1224" s="40"/>
      <c r="I1224" s="40"/>
      <c r="J1224" s="70"/>
      <c r="K1224" s="23"/>
      <c r="L1224" s="70"/>
      <c r="M1224" s="70"/>
      <c r="N1224" s="23"/>
      <c r="O1224" s="23"/>
      <c r="P1224" s="23"/>
      <c r="Q1224" s="23"/>
      <c r="R1224" s="72"/>
      <c r="S1224" s="23"/>
      <c r="T1224" s="23"/>
      <c r="U1224" s="23"/>
      <c r="V1224" s="23"/>
      <c r="W1224" s="23"/>
      <c r="X1224" s="23"/>
      <c r="Y1224" s="23"/>
      <c r="Z1224" s="23"/>
      <c r="AA1224" s="23"/>
      <c r="AB1224" s="23"/>
      <c r="AC1224" s="23"/>
      <c r="AD1224" s="23"/>
      <c r="AE1224" s="23"/>
    </row>
    <row r="1225" spans="1:31">
      <c r="A1225" s="23"/>
      <c r="B1225" s="40"/>
      <c r="C1225" s="40"/>
      <c r="D1225" s="23"/>
      <c r="E1225" s="23"/>
      <c r="F1225" s="23"/>
      <c r="G1225" s="23"/>
      <c r="H1225" s="40"/>
      <c r="I1225" s="40"/>
      <c r="J1225" s="70"/>
      <c r="K1225" s="23"/>
      <c r="L1225" s="70"/>
      <c r="M1225" s="70"/>
      <c r="N1225" s="23"/>
      <c r="O1225" s="23"/>
      <c r="P1225" s="23"/>
      <c r="Q1225" s="23"/>
      <c r="R1225" s="72"/>
      <c r="S1225" s="23"/>
      <c r="T1225" s="23"/>
      <c r="U1225" s="23"/>
      <c r="V1225" s="23"/>
      <c r="W1225" s="23"/>
      <c r="X1225" s="23"/>
      <c r="Y1225" s="23"/>
      <c r="Z1225" s="23"/>
      <c r="AA1225" s="23"/>
      <c r="AB1225" s="23"/>
      <c r="AC1225" s="23"/>
      <c r="AD1225" s="23"/>
      <c r="AE1225" s="23"/>
    </row>
    <row r="1226" spans="1:31">
      <c r="A1226" s="23"/>
      <c r="B1226" s="40"/>
      <c r="C1226" s="40"/>
      <c r="D1226" s="23"/>
      <c r="E1226" s="23"/>
      <c r="F1226" s="23"/>
      <c r="G1226" s="23"/>
      <c r="H1226" s="23"/>
      <c r="I1226" s="40"/>
      <c r="J1226" s="70"/>
      <c r="K1226" s="23"/>
      <c r="L1226" s="70"/>
      <c r="M1226" s="70"/>
      <c r="N1226" s="23"/>
      <c r="O1226" s="23"/>
      <c r="P1226" s="23"/>
      <c r="Q1226" s="23"/>
      <c r="R1226" s="72"/>
      <c r="S1226" s="23"/>
      <c r="T1226" s="23"/>
      <c r="U1226" s="23"/>
      <c r="V1226" s="23"/>
      <c r="W1226" s="23"/>
      <c r="X1226" s="23"/>
      <c r="Y1226" s="23"/>
      <c r="Z1226" s="23"/>
      <c r="AA1226" s="23"/>
      <c r="AB1226" s="23"/>
      <c r="AC1226" s="23"/>
      <c r="AD1226" s="23"/>
      <c r="AE1226" s="23"/>
    </row>
    <row r="1227" spans="1:31">
      <c r="A1227" s="23"/>
      <c r="B1227" s="40"/>
      <c r="C1227" s="40"/>
      <c r="D1227" s="23"/>
      <c r="E1227" s="23"/>
      <c r="F1227" s="23"/>
      <c r="G1227" s="23"/>
      <c r="H1227" s="23"/>
      <c r="I1227" s="40"/>
      <c r="J1227" s="70"/>
      <c r="K1227" s="23"/>
      <c r="L1227" s="70"/>
      <c r="M1227" s="70"/>
      <c r="N1227" s="23"/>
      <c r="O1227" s="23"/>
      <c r="P1227" s="23"/>
      <c r="Q1227" s="23"/>
      <c r="R1227" s="72"/>
      <c r="S1227" s="23"/>
      <c r="T1227" s="23"/>
      <c r="U1227" s="23"/>
      <c r="V1227" s="23"/>
      <c r="W1227" s="23"/>
      <c r="X1227" s="23"/>
      <c r="Y1227" s="23"/>
      <c r="Z1227" s="23"/>
      <c r="AA1227" s="23"/>
      <c r="AB1227" s="23"/>
      <c r="AC1227" s="23"/>
      <c r="AD1227" s="23"/>
      <c r="AE1227" s="23"/>
    </row>
    <row r="1228" spans="1:31">
      <c r="A1228" s="23"/>
      <c r="B1228" s="40"/>
      <c r="C1228" s="40"/>
      <c r="D1228" s="23"/>
      <c r="E1228" s="23"/>
      <c r="F1228" s="23"/>
      <c r="G1228" s="23"/>
      <c r="H1228" s="23"/>
      <c r="I1228" s="40"/>
      <c r="J1228" s="70"/>
      <c r="K1228" s="23"/>
      <c r="L1228" s="70"/>
      <c r="M1228" s="70"/>
      <c r="N1228" s="23"/>
      <c r="O1228" s="23"/>
      <c r="P1228" s="23"/>
      <c r="Q1228" s="23"/>
      <c r="R1228" s="72"/>
      <c r="S1228" s="23"/>
      <c r="T1228" s="23"/>
      <c r="U1228" s="23"/>
      <c r="V1228" s="23"/>
      <c r="W1228" s="23"/>
      <c r="X1228" s="23"/>
      <c r="Y1228" s="23"/>
      <c r="Z1228" s="23"/>
      <c r="AA1228" s="23"/>
      <c r="AB1228" s="23"/>
      <c r="AC1228" s="23"/>
      <c r="AD1228" s="23"/>
      <c r="AE1228" s="23"/>
    </row>
    <row r="1229" spans="1:31">
      <c r="A1229" s="23"/>
      <c r="B1229" s="40"/>
      <c r="C1229" s="40"/>
      <c r="D1229" s="23"/>
      <c r="E1229" s="23"/>
      <c r="F1229" s="23"/>
      <c r="G1229" s="23"/>
      <c r="H1229" s="23"/>
      <c r="I1229" s="40"/>
      <c r="J1229" s="70"/>
      <c r="K1229" s="23"/>
      <c r="L1229" s="70"/>
      <c r="M1229" s="70"/>
      <c r="N1229" s="23"/>
      <c r="O1229" s="23"/>
      <c r="P1229" s="23"/>
      <c r="Q1229" s="23"/>
      <c r="R1229" s="72"/>
      <c r="S1229" s="23"/>
      <c r="T1229" s="23"/>
      <c r="U1229" s="23"/>
      <c r="V1229" s="23"/>
      <c r="W1229" s="23"/>
      <c r="X1229" s="23"/>
      <c r="Y1229" s="23"/>
      <c r="Z1229" s="23"/>
      <c r="AA1229" s="23"/>
      <c r="AB1229" s="23"/>
      <c r="AC1229" s="23"/>
      <c r="AD1229" s="23"/>
      <c r="AE1229" s="23"/>
    </row>
    <row r="1230" spans="1:31">
      <c r="A1230" s="23"/>
      <c r="B1230" s="40"/>
      <c r="C1230" s="40"/>
      <c r="D1230" s="23"/>
      <c r="E1230" s="23"/>
      <c r="F1230" s="23"/>
      <c r="G1230" s="23"/>
      <c r="H1230" s="23"/>
      <c r="I1230" s="40"/>
      <c r="J1230" s="70"/>
      <c r="K1230" s="23"/>
      <c r="L1230" s="70"/>
      <c r="M1230" s="70"/>
      <c r="N1230" s="23"/>
      <c r="O1230" s="23"/>
      <c r="P1230" s="23"/>
      <c r="Q1230" s="23"/>
      <c r="R1230" s="72"/>
      <c r="S1230" s="23"/>
      <c r="T1230" s="23"/>
      <c r="U1230" s="23"/>
      <c r="V1230" s="23"/>
      <c r="W1230" s="23"/>
      <c r="X1230" s="23"/>
      <c r="Y1230" s="23"/>
      <c r="Z1230" s="23"/>
      <c r="AA1230" s="23"/>
      <c r="AB1230" s="23"/>
      <c r="AC1230" s="23"/>
      <c r="AD1230" s="23"/>
      <c r="AE1230" s="23"/>
    </row>
    <row r="1231" spans="1:31">
      <c r="A1231" s="23"/>
      <c r="B1231" s="40"/>
      <c r="C1231" s="40"/>
      <c r="D1231" s="23"/>
      <c r="E1231" s="23"/>
      <c r="F1231" s="23"/>
      <c r="G1231" s="23"/>
      <c r="H1231" s="23"/>
      <c r="I1231" s="40"/>
      <c r="J1231" s="70"/>
      <c r="K1231" s="23"/>
      <c r="L1231" s="70"/>
      <c r="M1231" s="70"/>
      <c r="N1231" s="23"/>
      <c r="O1231" s="23"/>
      <c r="P1231" s="23"/>
      <c r="Q1231" s="23"/>
      <c r="R1231" s="72"/>
      <c r="S1231" s="23"/>
      <c r="T1231" s="23"/>
      <c r="U1231" s="23"/>
      <c r="V1231" s="23"/>
      <c r="W1231" s="23"/>
      <c r="X1231" s="23"/>
      <c r="Y1231" s="23"/>
      <c r="Z1231" s="23"/>
      <c r="AA1231" s="23"/>
      <c r="AB1231" s="23"/>
      <c r="AC1231" s="23"/>
      <c r="AD1231" s="23"/>
      <c r="AE1231" s="23"/>
    </row>
    <row r="1232" spans="1:31">
      <c r="A1232" s="23"/>
      <c r="B1232" s="40"/>
      <c r="C1232" s="40"/>
      <c r="D1232" s="23"/>
      <c r="E1232" s="23"/>
      <c r="F1232" s="23"/>
      <c r="G1232" s="23"/>
      <c r="H1232" s="23"/>
      <c r="I1232" s="40"/>
      <c r="J1232" s="70"/>
      <c r="K1232" s="23"/>
      <c r="L1232" s="70"/>
      <c r="M1232" s="70"/>
      <c r="N1232" s="23"/>
      <c r="O1232" s="23"/>
      <c r="P1232" s="23"/>
      <c r="Q1232" s="23"/>
      <c r="R1232" s="72"/>
      <c r="S1232" s="23"/>
      <c r="T1232" s="23"/>
      <c r="U1232" s="23"/>
      <c r="V1232" s="23"/>
      <c r="W1232" s="23"/>
      <c r="X1232" s="23"/>
      <c r="Y1232" s="23"/>
      <c r="Z1232" s="23"/>
      <c r="AA1232" s="23"/>
      <c r="AB1232" s="23"/>
      <c r="AC1232" s="23"/>
      <c r="AD1232" s="23"/>
      <c r="AE1232" s="23"/>
    </row>
    <row r="1233" spans="1:31">
      <c r="A1233" s="23"/>
      <c r="B1233" s="40"/>
      <c r="C1233" s="40"/>
      <c r="D1233" s="23"/>
      <c r="E1233" s="23"/>
      <c r="F1233" s="23"/>
      <c r="G1233" s="23"/>
      <c r="H1233" s="23"/>
      <c r="I1233" s="40"/>
      <c r="J1233" s="70"/>
      <c r="K1233" s="23"/>
      <c r="L1233" s="70"/>
      <c r="M1233" s="70"/>
      <c r="N1233" s="23"/>
      <c r="O1233" s="23"/>
      <c r="P1233" s="23"/>
      <c r="Q1233" s="23"/>
      <c r="R1233" s="72"/>
      <c r="S1233" s="23"/>
      <c r="T1233" s="23"/>
      <c r="U1233" s="23"/>
      <c r="V1233" s="23"/>
      <c r="W1233" s="23"/>
      <c r="X1233" s="23"/>
      <c r="Y1233" s="23"/>
      <c r="Z1233" s="23"/>
      <c r="AA1233" s="23"/>
      <c r="AB1233" s="23"/>
      <c r="AC1233" s="23"/>
      <c r="AD1233" s="23"/>
      <c r="AE1233" s="23"/>
    </row>
    <row r="1234" spans="1:31" ht="24" customHeight="1">
      <c r="A1234" s="23"/>
      <c r="B1234" s="40"/>
      <c r="C1234" s="40"/>
      <c r="D1234" s="23"/>
      <c r="E1234" s="23"/>
      <c r="F1234" s="23"/>
      <c r="G1234" s="23"/>
      <c r="H1234" s="40"/>
      <c r="I1234" s="40"/>
      <c r="J1234" s="70"/>
      <c r="K1234" s="23"/>
      <c r="L1234" s="70"/>
      <c r="M1234" s="70"/>
      <c r="N1234" s="23"/>
      <c r="O1234" s="23"/>
      <c r="P1234" s="23"/>
      <c r="Q1234" s="23"/>
      <c r="R1234" s="72"/>
      <c r="S1234" s="23"/>
      <c r="T1234" s="23"/>
      <c r="U1234" s="23"/>
      <c r="V1234" s="23"/>
      <c r="W1234" s="23"/>
      <c r="X1234" s="23"/>
      <c r="Y1234" s="23"/>
      <c r="Z1234" s="23"/>
      <c r="AA1234" s="23"/>
      <c r="AB1234" s="23"/>
      <c r="AC1234" s="23"/>
      <c r="AD1234" s="23"/>
      <c r="AE1234" s="23"/>
    </row>
    <row r="1235" spans="1:31">
      <c r="A1235" s="23"/>
      <c r="B1235" s="40"/>
      <c r="C1235" s="40"/>
      <c r="D1235" s="23"/>
      <c r="E1235" s="23"/>
      <c r="F1235" s="23"/>
      <c r="G1235" s="23"/>
      <c r="H1235" s="40"/>
      <c r="I1235" s="40"/>
      <c r="J1235" s="70"/>
      <c r="K1235" s="23"/>
      <c r="L1235" s="70"/>
      <c r="M1235" s="70"/>
      <c r="N1235" s="23"/>
      <c r="O1235" s="23"/>
      <c r="P1235" s="23"/>
      <c r="Q1235" s="23"/>
      <c r="R1235" s="72"/>
      <c r="S1235" s="23"/>
      <c r="T1235" s="23"/>
      <c r="U1235" s="23"/>
      <c r="V1235" s="23"/>
      <c r="W1235" s="23"/>
      <c r="X1235" s="23"/>
      <c r="Y1235" s="23"/>
      <c r="Z1235" s="23"/>
      <c r="AA1235" s="23"/>
      <c r="AB1235" s="23"/>
      <c r="AC1235" s="23"/>
      <c r="AD1235" s="23"/>
      <c r="AE1235" s="23"/>
    </row>
    <row r="1236" spans="1:31">
      <c r="A1236" s="23"/>
      <c r="B1236" s="40"/>
      <c r="C1236" s="40"/>
      <c r="D1236" s="23"/>
      <c r="E1236" s="23"/>
      <c r="F1236" s="23"/>
      <c r="G1236" s="23"/>
      <c r="H1236" s="40"/>
      <c r="I1236" s="40"/>
      <c r="J1236" s="70"/>
      <c r="K1236" s="23"/>
      <c r="L1236" s="70"/>
      <c r="M1236" s="70"/>
      <c r="N1236" s="23"/>
      <c r="O1236" s="23"/>
      <c r="P1236" s="23"/>
      <c r="Q1236" s="23"/>
      <c r="R1236" s="72"/>
      <c r="S1236" s="23"/>
      <c r="T1236" s="23"/>
      <c r="U1236" s="23"/>
      <c r="V1236" s="23"/>
      <c r="W1236" s="23"/>
      <c r="X1236" s="23"/>
      <c r="Y1236" s="23"/>
      <c r="Z1236" s="23"/>
      <c r="AA1236" s="23"/>
      <c r="AB1236" s="23"/>
      <c r="AC1236" s="23"/>
      <c r="AD1236" s="23"/>
      <c r="AE1236" s="23"/>
    </row>
    <row r="1237" spans="1:31">
      <c r="A1237" s="23"/>
      <c r="B1237" s="40"/>
      <c r="C1237" s="40"/>
      <c r="D1237" s="23"/>
      <c r="E1237" s="23"/>
      <c r="F1237" s="23"/>
      <c r="G1237" s="23"/>
      <c r="H1237" s="40"/>
      <c r="I1237" s="40"/>
      <c r="J1237" s="70"/>
      <c r="K1237" s="23"/>
      <c r="L1237" s="70"/>
      <c r="M1237" s="70"/>
      <c r="N1237" s="23"/>
      <c r="O1237" s="23"/>
      <c r="P1237" s="23"/>
      <c r="Q1237" s="23"/>
      <c r="R1237" s="72"/>
      <c r="S1237" s="23"/>
      <c r="T1237" s="23"/>
      <c r="U1237" s="23"/>
      <c r="V1237" s="23"/>
      <c r="W1237" s="23"/>
      <c r="X1237" s="23"/>
      <c r="Y1237" s="23"/>
      <c r="Z1237" s="23"/>
      <c r="AA1237" s="23"/>
      <c r="AB1237" s="23"/>
      <c r="AC1237" s="23"/>
      <c r="AD1237" s="23"/>
      <c r="AE1237" s="23"/>
    </row>
    <row r="1238" spans="1:31">
      <c r="A1238" s="23"/>
      <c r="B1238" s="40"/>
      <c r="C1238" s="40"/>
      <c r="D1238" s="23"/>
      <c r="E1238" s="23"/>
      <c r="F1238" s="23"/>
      <c r="G1238" s="23"/>
      <c r="H1238" s="40"/>
      <c r="I1238" s="40"/>
      <c r="J1238" s="70"/>
      <c r="K1238" s="23"/>
      <c r="L1238" s="70"/>
      <c r="M1238" s="70"/>
      <c r="N1238" s="23"/>
      <c r="O1238" s="23"/>
      <c r="P1238" s="23"/>
      <c r="Q1238" s="23"/>
      <c r="R1238" s="72"/>
      <c r="S1238" s="23"/>
      <c r="T1238" s="23"/>
      <c r="U1238" s="23"/>
      <c r="V1238" s="23"/>
      <c r="W1238" s="23"/>
      <c r="X1238" s="23"/>
      <c r="Y1238" s="23"/>
      <c r="Z1238" s="23"/>
      <c r="AA1238" s="23"/>
      <c r="AB1238" s="23"/>
      <c r="AC1238" s="23"/>
      <c r="AD1238" s="23"/>
      <c r="AE1238" s="23"/>
    </row>
    <row r="1239" spans="1:31">
      <c r="A1239" s="23"/>
      <c r="B1239" s="40"/>
      <c r="C1239" s="40"/>
      <c r="D1239" s="23"/>
      <c r="E1239" s="23"/>
      <c r="F1239" s="23"/>
      <c r="G1239" s="23"/>
      <c r="H1239" s="40"/>
      <c r="I1239" s="40"/>
      <c r="J1239" s="70"/>
      <c r="K1239" s="23"/>
      <c r="L1239" s="70"/>
      <c r="M1239" s="70"/>
      <c r="N1239" s="23"/>
      <c r="O1239" s="23"/>
      <c r="P1239" s="23"/>
      <c r="Q1239" s="23"/>
      <c r="R1239" s="72"/>
      <c r="S1239" s="23"/>
      <c r="T1239" s="23"/>
      <c r="U1239" s="23"/>
      <c r="V1239" s="23"/>
      <c r="W1239" s="23"/>
      <c r="X1239" s="23"/>
      <c r="Y1239" s="23"/>
      <c r="Z1239" s="23"/>
      <c r="AA1239" s="23"/>
      <c r="AB1239" s="23"/>
      <c r="AC1239" s="23"/>
      <c r="AD1239" s="23"/>
      <c r="AE1239" s="23"/>
    </row>
    <row r="1240" spans="1:31">
      <c r="A1240" s="23"/>
      <c r="B1240" s="40"/>
      <c r="C1240" s="40"/>
      <c r="D1240" s="23"/>
      <c r="E1240" s="23"/>
      <c r="F1240" s="23"/>
      <c r="G1240" s="23"/>
      <c r="H1240" s="23"/>
      <c r="I1240" s="40"/>
      <c r="J1240" s="70"/>
      <c r="K1240" s="23"/>
      <c r="L1240" s="70"/>
      <c r="M1240" s="70"/>
      <c r="N1240" s="23"/>
      <c r="O1240" s="23"/>
      <c r="P1240" s="23"/>
      <c r="Q1240" s="23"/>
      <c r="R1240" s="72"/>
      <c r="S1240" s="23"/>
      <c r="T1240" s="23"/>
      <c r="U1240" s="23"/>
      <c r="V1240" s="23"/>
      <c r="W1240" s="23"/>
      <c r="X1240" s="23"/>
      <c r="Y1240" s="23"/>
      <c r="Z1240" s="23"/>
      <c r="AA1240" s="23"/>
      <c r="AB1240" s="23"/>
      <c r="AC1240" s="23"/>
      <c r="AD1240" s="23"/>
      <c r="AE1240" s="23"/>
    </row>
    <row r="1241" spans="1:31">
      <c r="A1241" s="23"/>
      <c r="B1241" s="40"/>
      <c r="C1241" s="40"/>
      <c r="D1241" s="23"/>
      <c r="E1241" s="23"/>
      <c r="F1241" s="23"/>
      <c r="G1241" s="23"/>
      <c r="H1241" s="23"/>
      <c r="I1241" s="40"/>
      <c r="J1241" s="70"/>
      <c r="K1241" s="23"/>
      <c r="L1241" s="70"/>
      <c r="M1241" s="70"/>
      <c r="N1241" s="23"/>
      <c r="O1241" s="23"/>
      <c r="P1241" s="23"/>
      <c r="Q1241" s="23"/>
      <c r="R1241" s="72"/>
      <c r="S1241" s="23"/>
      <c r="T1241" s="23"/>
      <c r="U1241" s="23"/>
      <c r="V1241" s="23"/>
      <c r="W1241" s="23"/>
      <c r="X1241" s="23"/>
      <c r="Y1241" s="23"/>
      <c r="Z1241" s="23"/>
      <c r="AA1241" s="23"/>
      <c r="AB1241" s="23"/>
      <c r="AC1241" s="23"/>
      <c r="AD1241" s="23"/>
      <c r="AE1241" s="23"/>
    </row>
    <row r="1242" spans="1:31">
      <c r="A1242" s="23"/>
      <c r="B1242" s="40"/>
      <c r="C1242" s="40"/>
      <c r="D1242" s="23"/>
      <c r="E1242" s="23"/>
      <c r="F1242" s="23"/>
      <c r="G1242" s="23"/>
      <c r="H1242" s="23"/>
      <c r="I1242" s="40"/>
      <c r="J1242" s="70"/>
      <c r="K1242" s="23"/>
      <c r="L1242" s="70"/>
      <c r="M1242" s="70"/>
      <c r="N1242" s="23"/>
      <c r="O1242" s="23"/>
      <c r="P1242" s="23"/>
      <c r="Q1242" s="23"/>
      <c r="R1242" s="72"/>
      <c r="S1242" s="23"/>
      <c r="T1242" s="23"/>
      <c r="U1242" s="23"/>
      <c r="V1242" s="23"/>
      <c r="W1242" s="23"/>
      <c r="X1242" s="23"/>
      <c r="Y1242" s="23"/>
      <c r="Z1242" s="23"/>
      <c r="AA1242" s="23"/>
      <c r="AB1242" s="23"/>
      <c r="AC1242" s="23"/>
      <c r="AD1242" s="23"/>
      <c r="AE1242" s="23"/>
    </row>
    <row r="1243" spans="1:31">
      <c r="A1243" s="23"/>
      <c r="B1243" s="40"/>
      <c r="C1243" s="40"/>
      <c r="D1243" s="23"/>
      <c r="E1243" s="23"/>
      <c r="F1243" s="23"/>
      <c r="G1243" s="23"/>
      <c r="H1243" s="23"/>
      <c r="I1243" s="40"/>
      <c r="J1243" s="70"/>
      <c r="K1243" s="23"/>
      <c r="L1243" s="70"/>
      <c r="M1243" s="70"/>
      <c r="N1243" s="23"/>
      <c r="O1243" s="23"/>
      <c r="P1243" s="23"/>
      <c r="Q1243" s="23"/>
      <c r="R1243" s="72"/>
      <c r="S1243" s="23"/>
      <c r="T1243" s="23"/>
      <c r="U1243" s="23"/>
      <c r="V1243" s="23"/>
      <c r="W1243" s="23"/>
      <c r="X1243" s="23"/>
      <c r="Y1243" s="23"/>
      <c r="Z1243" s="23"/>
      <c r="AA1243" s="23"/>
      <c r="AB1243" s="23"/>
      <c r="AC1243" s="23"/>
      <c r="AD1243" s="23"/>
      <c r="AE1243" s="23"/>
    </row>
    <row r="1244" spans="1:31">
      <c r="A1244" s="23"/>
      <c r="B1244" s="40"/>
      <c r="C1244" s="40"/>
      <c r="D1244" s="23"/>
      <c r="E1244" s="23"/>
      <c r="F1244" s="23"/>
      <c r="G1244" s="23"/>
      <c r="H1244" s="23"/>
      <c r="I1244" s="40"/>
      <c r="J1244" s="70"/>
      <c r="K1244" s="23"/>
      <c r="L1244" s="70"/>
      <c r="M1244" s="70"/>
      <c r="N1244" s="23"/>
      <c r="O1244" s="23"/>
      <c r="P1244" s="23"/>
      <c r="Q1244" s="23"/>
      <c r="R1244" s="72"/>
      <c r="S1244" s="23"/>
      <c r="T1244" s="23"/>
      <c r="U1244" s="23"/>
      <c r="V1244" s="23"/>
      <c r="W1244" s="23"/>
      <c r="X1244" s="23"/>
      <c r="Y1244" s="23"/>
      <c r="Z1244" s="23"/>
      <c r="AA1244" s="23"/>
      <c r="AB1244" s="23"/>
      <c r="AC1244" s="23"/>
      <c r="AD1244" s="23"/>
      <c r="AE1244" s="23"/>
    </row>
    <row r="1245" spans="1:31">
      <c r="A1245" s="23"/>
      <c r="B1245" s="40"/>
      <c r="C1245" s="40"/>
      <c r="D1245" s="23"/>
      <c r="E1245" s="23"/>
      <c r="F1245" s="23"/>
      <c r="G1245" s="23"/>
      <c r="H1245" s="23"/>
      <c r="I1245" s="40"/>
      <c r="J1245" s="70"/>
      <c r="K1245" s="23"/>
      <c r="L1245" s="70"/>
      <c r="M1245" s="70"/>
      <c r="N1245" s="23"/>
      <c r="O1245" s="23"/>
      <c r="P1245" s="23"/>
      <c r="Q1245" s="23"/>
      <c r="R1245" s="72"/>
      <c r="S1245" s="23"/>
      <c r="T1245" s="23"/>
      <c r="U1245" s="23"/>
      <c r="V1245" s="23"/>
      <c r="W1245" s="23"/>
      <c r="X1245" s="23"/>
      <c r="Y1245" s="23"/>
      <c r="Z1245" s="23"/>
      <c r="AA1245" s="23"/>
      <c r="AB1245" s="23"/>
      <c r="AC1245" s="23"/>
      <c r="AD1245" s="23"/>
      <c r="AE1245" s="23"/>
    </row>
    <row r="1246" spans="1:31">
      <c r="A1246" s="23"/>
      <c r="B1246" s="40"/>
      <c r="C1246" s="40"/>
      <c r="D1246" s="23"/>
      <c r="E1246" s="23"/>
      <c r="F1246" s="23"/>
      <c r="G1246" s="23"/>
      <c r="H1246" s="23"/>
      <c r="I1246" s="40"/>
      <c r="J1246" s="70"/>
      <c r="K1246" s="23"/>
      <c r="L1246" s="70"/>
      <c r="M1246" s="70"/>
      <c r="N1246" s="23"/>
      <c r="O1246" s="23"/>
      <c r="P1246" s="23"/>
      <c r="Q1246" s="23"/>
      <c r="R1246" s="72"/>
      <c r="S1246" s="23"/>
      <c r="T1246" s="23"/>
      <c r="U1246" s="23"/>
      <c r="V1246" s="23"/>
      <c r="W1246" s="23"/>
      <c r="X1246" s="23"/>
      <c r="Y1246" s="23"/>
      <c r="Z1246" s="23"/>
      <c r="AA1246" s="23"/>
      <c r="AB1246" s="23"/>
      <c r="AC1246" s="23"/>
      <c r="AD1246" s="23"/>
      <c r="AE1246" s="23"/>
    </row>
    <row r="1247" spans="1:31">
      <c r="A1247" s="23"/>
      <c r="B1247" s="40"/>
      <c r="C1247" s="40"/>
      <c r="D1247" s="23"/>
      <c r="E1247" s="23"/>
      <c r="F1247" s="23"/>
      <c r="G1247" s="23"/>
      <c r="H1247" s="23"/>
      <c r="I1247" s="40"/>
      <c r="J1247" s="70"/>
      <c r="K1247" s="23"/>
      <c r="L1247" s="70"/>
      <c r="M1247" s="70"/>
      <c r="N1247" s="23"/>
      <c r="O1247" s="23"/>
      <c r="P1247" s="23"/>
      <c r="Q1247" s="23"/>
      <c r="R1247" s="72"/>
      <c r="S1247" s="23"/>
      <c r="T1247" s="23"/>
      <c r="U1247" s="23"/>
      <c r="V1247" s="23"/>
      <c r="W1247" s="23"/>
      <c r="X1247" s="23"/>
      <c r="Y1247" s="23"/>
      <c r="Z1247" s="23"/>
      <c r="AA1247" s="23"/>
      <c r="AB1247" s="23"/>
      <c r="AC1247" s="23"/>
      <c r="AD1247" s="23"/>
      <c r="AE1247" s="23"/>
    </row>
    <row r="1248" spans="1:31" ht="24" customHeight="1">
      <c r="A1248" s="23"/>
      <c r="B1248" s="40"/>
      <c r="C1248" s="40"/>
      <c r="D1248" s="23"/>
      <c r="E1248" s="23"/>
      <c r="F1248" s="23"/>
      <c r="G1248" s="23"/>
      <c r="H1248" s="40"/>
      <c r="I1248" s="40"/>
      <c r="J1248" s="70"/>
      <c r="K1248" s="23"/>
      <c r="L1248" s="70"/>
      <c r="M1248" s="70"/>
      <c r="N1248" s="23"/>
      <c r="O1248" s="23"/>
      <c r="P1248" s="23"/>
      <c r="Q1248" s="23"/>
      <c r="R1248" s="72"/>
      <c r="S1248" s="23"/>
      <c r="T1248" s="23"/>
      <c r="U1248" s="23"/>
      <c r="V1248" s="23"/>
      <c r="W1248" s="23"/>
      <c r="X1248" s="23"/>
      <c r="Y1248" s="23"/>
      <c r="Z1248" s="23"/>
      <c r="AA1248" s="23"/>
      <c r="AB1248" s="23"/>
      <c r="AC1248" s="23"/>
      <c r="AD1248" s="23"/>
      <c r="AE1248" s="23"/>
    </row>
    <row r="1249" spans="1:31">
      <c r="A1249" s="23"/>
      <c r="B1249" s="40"/>
      <c r="C1249" s="40"/>
      <c r="D1249" s="23"/>
      <c r="E1249" s="23"/>
      <c r="F1249" s="23"/>
      <c r="G1249" s="23"/>
      <c r="H1249" s="40"/>
      <c r="I1249" s="40"/>
      <c r="J1249" s="70"/>
      <c r="K1249" s="23"/>
      <c r="L1249" s="70"/>
      <c r="M1249" s="70"/>
      <c r="N1249" s="23"/>
      <c r="O1249" s="23"/>
      <c r="P1249" s="23"/>
      <c r="Q1249" s="23"/>
      <c r="R1249" s="72"/>
      <c r="S1249" s="23"/>
      <c r="T1249" s="23"/>
      <c r="U1249" s="23"/>
      <c r="V1249" s="23"/>
      <c r="W1249" s="23"/>
      <c r="X1249" s="23"/>
      <c r="Y1249" s="23"/>
      <c r="Z1249" s="23"/>
      <c r="AA1249" s="23"/>
      <c r="AB1249" s="23"/>
      <c r="AC1249" s="23"/>
      <c r="AD1249" s="23"/>
      <c r="AE1249" s="23"/>
    </row>
    <row r="1250" spans="1:31">
      <c r="A1250" s="23"/>
      <c r="B1250" s="40"/>
      <c r="C1250" s="40"/>
      <c r="D1250" s="23"/>
      <c r="E1250" s="23"/>
      <c r="F1250" s="23"/>
      <c r="G1250" s="23"/>
      <c r="H1250" s="40"/>
      <c r="I1250" s="40"/>
      <c r="J1250" s="70"/>
      <c r="K1250" s="23"/>
      <c r="L1250" s="70"/>
      <c r="M1250" s="70"/>
      <c r="N1250" s="23"/>
      <c r="O1250" s="23"/>
      <c r="P1250" s="23"/>
      <c r="Q1250" s="23"/>
      <c r="R1250" s="72"/>
      <c r="S1250" s="23"/>
      <c r="T1250" s="23"/>
      <c r="U1250" s="23"/>
      <c r="V1250" s="23"/>
      <c r="W1250" s="23"/>
      <c r="X1250" s="23"/>
      <c r="Y1250" s="23"/>
      <c r="Z1250" s="23"/>
      <c r="AA1250" s="23"/>
      <c r="AB1250" s="23"/>
      <c r="AC1250" s="23"/>
      <c r="AD1250" s="23"/>
      <c r="AE1250" s="23"/>
    </row>
    <row r="1251" spans="1:31">
      <c r="A1251" s="23"/>
      <c r="B1251" s="40"/>
      <c r="C1251" s="40"/>
      <c r="D1251" s="23"/>
      <c r="E1251" s="23"/>
      <c r="F1251" s="23"/>
      <c r="G1251" s="23"/>
      <c r="H1251" s="40"/>
      <c r="I1251" s="40"/>
      <c r="J1251" s="70"/>
      <c r="K1251" s="23"/>
      <c r="L1251" s="70"/>
      <c r="M1251" s="70"/>
      <c r="N1251" s="23"/>
      <c r="O1251" s="23"/>
      <c r="P1251" s="23"/>
      <c r="Q1251" s="23"/>
      <c r="R1251" s="72"/>
      <c r="S1251" s="23"/>
      <c r="T1251" s="23"/>
      <c r="U1251" s="23"/>
      <c r="V1251" s="23"/>
      <c r="W1251" s="23"/>
      <c r="X1251" s="23"/>
      <c r="Y1251" s="23"/>
      <c r="Z1251" s="23"/>
      <c r="AA1251" s="23"/>
      <c r="AB1251" s="23"/>
      <c r="AC1251" s="23"/>
      <c r="AD1251" s="23"/>
      <c r="AE1251" s="23"/>
    </row>
    <row r="1252" spans="1:31">
      <c r="A1252" s="23"/>
      <c r="B1252" s="40"/>
      <c r="C1252" s="40"/>
      <c r="D1252" s="23"/>
      <c r="E1252" s="23"/>
      <c r="F1252" s="23"/>
      <c r="G1252" s="23"/>
      <c r="H1252" s="40"/>
      <c r="I1252" s="40"/>
      <c r="J1252" s="70"/>
      <c r="K1252" s="23"/>
      <c r="L1252" s="70"/>
      <c r="M1252" s="70"/>
      <c r="N1252" s="23"/>
      <c r="O1252" s="23"/>
      <c r="P1252" s="23"/>
      <c r="Q1252" s="23"/>
      <c r="R1252" s="72"/>
      <c r="S1252" s="23"/>
      <c r="T1252" s="23"/>
      <c r="U1252" s="23"/>
      <c r="V1252" s="23"/>
      <c r="W1252" s="23"/>
      <c r="X1252" s="23"/>
      <c r="Y1252" s="23"/>
      <c r="Z1252" s="23"/>
      <c r="AA1252" s="23"/>
      <c r="AB1252" s="23"/>
      <c r="AC1252" s="23"/>
      <c r="AD1252" s="23"/>
      <c r="AE1252" s="23"/>
    </row>
    <row r="1253" spans="1:31">
      <c r="A1253" s="23"/>
      <c r="B1253" s="40"/>
      <c r="C1253" s="40"/>
      <c r="D1253" s="23"/>
      <c r="E1253" s="23"/>
      <c r="F1253" s="23"/>
      <c r="G1253" s="23"/>
      <c r="H1253" s="40"/>
      <c r="I1253" s="40"/>
      <c r="J1253" s="70"/>
      <c r="K1253" s="23"/>
      <c r="L1253" s="70"/>
      <c r="M1253" s="70"/>
      <c r="N1253" s="23"/>
      <c r="O1253" s="23"/>
      <c r="P1253" s="23"/>
      <c r="Q1253" s="23"/>
      <c r="R1253" s="72"/>
      <c r="S1253" s="23"/>
      <c r="T1253" s="23"/>
      <c r="U1253" s="23"/>
      <c r="V1253" s="23"/>
      <c r="W1253" s="23"/>
      <c r="X1253" s="23"/>
      <c r="Y1253" s="23"/>
      <c r="Z1253" s="23"/>
      <c r="AA1253" s="23"/>
      <c r="AB1253" s="23"/>
      <c r="AC1253" s="23"/>
      <c r="AD1253" s="23"/>
      <c r="AE1253" s="23"/>
    </row>
    <row r="1254" spans="1:31">
      <c r="A1254" s="23"/>
      <c r="B1254" s="40"/>
      <c r="C1254" s="40"/>
      <c r="D1254" s="23"/>
      <c r="E1254" s="23"/>
      <c r="F1254" s="23"/>
      <c r="G1254" s="23"/>
      <c r="H1254" s="23"/>
      <c r="I1254" s="40"/>
      <c r="J1254" s="70"/>
      <c r="K1254" s="23"/>
      <c r="L1254" s="70"/>
      <c r="M1254" s="70"/>
      <c r="N1254" s="23"/>
      <c r="O1254" s="23"/>
      <c r="P1254" s="23"/>
      <c r="Q1254" s="23"/>
      <c r="R1254" s="72"/>
      <c r="S1254" s="23"/>
      <c r="T1254" s="23"/>
      <c r="U1254" s="23"/>
      <c r="V1254" s="23"/>
      <c r="W1254" s="23"/>
      <c r="X1254" s="23"/>
      <c r="Y1254" s="23"/>
      <c r="Z1254" s="23"/>
      <c r="AA1254" s="23"/>
      <c r="AB1254" s="23"/>
      <c r="AC1254" s="23"/>
      <c r="AD1254" s="23"/>
      <c r="AE1254" s="23"/>
    </row>
    <row r="1255" spans="1:31">
      <c r="A1255" s="23"/>
      <c r="B1255" s="40"/>
      <c r="C1255" s="40"/>
      <c r="D1255" s="23"/>
      <c r="E1255" s="23"/>
      <c r="F1255" s="23"/>
      <c r="G1255" s="23"/>
      <c r="H1255" s="23"/>
      <c r="I1255" s="40"/>
      <c r="J1255" s="70"/>
      <c r="K1255" s="23"/>
      <c r="L1255" s="70"/>
      <c r="M1255" s="70"/>
      <c r="N1255" s="23"/>
      <c r="O1255" s="23"/>
      <c r="P1255" s="23"/>
      <c r="Q1255" s="23"/>
      <c r="R1255" s="72"/>
      <c r="S1255" s="23"/>
      <c r="T1255" s="23"/>
      <c r="U1255" s="23"/>
      <c r="V1255" s="23"/>
      <c r="W1255" s="23"/>
      <c r="X1255" s="23"/>
      <c r="Y1255" s="23"/>
      <c r="Z1255" s="23"/>
      <c r="AA1255" s="23"/>
      <c r="AB1255" s="23"/>
      <c r="AC1255" s="23"/>
      <c r="AD1255" s="23"/>
      <c r="AE1255" s="23"/>
    </row>
    <row r="1256" spans="1:31">
      <c r="A1256" s="23"/>
      <c r="B1256" s="40"/>
      <c r="C1256" s="40"/>
      <c r="D1256" s="23"/>
      <c r="E1256" s="23"/>
      <c r="F1256" s="23"/>
      <c r="G1256" s="23"/>
      <c r="H1256" s="23"/>
      <c r="I1256" s="40"/>
      <c r="J1256" s="70"/>
      <c r="K1256" s="23"/>
      <c r="L1256" s="70"/>
      <c r="M1256" s="70"/>
      <c r="N1256" s="23"/>
      <c r="O1256" s="23"/>
      <c r="P1256" s="23"/>
      <c r="Q1256" s="23"/>
      <c r="R1256" s="72"/>
      <c r="S1256" s="23"/>
      <c r="T1256" s="23"/>
      <c r="U1256" s="23"/>
      <c r="V1256" s="23"/>
      <c r="W1256" s="23"/>
      <c r="X1256" s="23"/>
      <c r="Y1256" s="23"/>
      <c r="Z1256" s="23"/>
      <c r="AA1256" s="23"/>
      <c r="AB1256" s="23"/>
      <c r="AC1256" s="23"/>
      <c r="AD1256" s="23"/>
      <c r="AE1256" s="23"/>
    </row>
    <row r="1257" spans="1:31">
      <c r="A1257" s="23"/>
      <c r="B1257" s="40"/>
      <c r="C1257" s="40"/>
      <c r="D1257" s="23"/>
      <c r="E1257" s="23"/>
      <c r="F1257" s="23"/>
      <c r="G1257" s="23"/>
      <c r="H1257" s="23"/>
      <c r="I1257" s="40"/>
      <c r="J1257" s="70"/>
      <c r="K1257" s="23"/>
      <c r="L1257" s="70"/>
      <c r="M1257" s="70"/>
      <c r="N1257" s="23"/>
      <c r="O1257" s="23"/>
      <c r="P1257" s="23"/>
      <c r="Q1257" s="23"/>
      <c r="R1257" s="72"/>
      <c r="S1257" s="23"/>
      <c r="T1257" s="23"/>
      <c r="U1257" s="23"/>
      <c r="V1257" s="23"/>
      <c r="W1257" s="23"/>
      <c r="X1257" s="23"/>
      <c r="Y1257" s="23"/>
      <c r="Z1257" s="23"/>
      <c r="AA1257" s="23"/>
      <c r="AB1257" s="23"/>
      <c r="AC1257" s="23"/>
      <c r="AD1257" s="23"/>
      <c r="AE1257" s="23"/>
    </row>
    <row r="1258" spans="1:31">
      <c r="A1258" s="23"/>
      <c r="B1258" s="40"/>
      <c r="C1258" s="40"/>
      <c r="D1258" s="23"/>
      <c r="E1258" s="23"/>
      <c r="F1258" s="23"/>
      <c r="G1258" s="23"/>
      <c r="H1258" s="23"/>
      <c r="I1258" s="40"/>
      <c r="J1258" s="70"/>
      <c r="K1258" s="23"/>
      <c r="L1258" s="70"/>
      <c r="M1258" s="70"/>
      <c r="N1258" s="23"/>
      <c r="O1258" s="23"/>
      <c r="P1258" s="23"/>
      <c r="Q1258" s="23"/>
      <c r="R1258" s="72"/>
      <c r="S1258" s="23"/>
      <c r="T1258" s="23"/>
      <c r="U1258" s="23"/>
      <c r="V1258" s="23"/>
      <c r="W1258" s="23"/>
      <c r="X1258" s="23"/>
      <c r="Y1258" s="23"/>
      <c r="Z1258" s="23"/>
      <c r="AA1258" s="23"/>
      <c r="AB1258" s="23"/>
      <c r="AC1258" s="23"/>
      <c r="AD1258" s="23"/>
      <c r="AE1258" s="23"/>
    </row>
    <row r="1259" spans="1:31">
      <c r="A1259" s="23"/>
      <c r="B1259" s="40"/>
      <c r="C1259" s="40"/>
      <c r="D1259" s="23"/>
      <c r="E1259" s="23"/>
      <c r="F1259" s="23"/>
      <c r="G1259" s="23"/>
      <c r="H1259" s="23"/>
      <c r="I1259" s="40"/>
      <c r="J1259" s="70"/>
      <c r="K1259" s="23"/>
      <c r="L1259" s="70"/>
      <c r="M1259" s="70"/>
      <c r="N1259" s="23"/>
      <c r="O1259" s="23"/>
      <c r="P1259" s="23"/>
      <c r="Q1259" s="23"/>
      <c r="R1259" s="72"/>
      <c r="S1259" s="23"/>
      <c r="T1259" s="23"/>
      <c r="U1259" s="23"/>
      <c r="V1259" s="23"/>
      <c r="W1259" s="23"/>
      <c r="X1259" s="23"/>
      <c r="Y1259" s="23"/>
      <c r="Z1259" s="23"/>
      <c r="AA1259" s="23"/>
      <c r="AB1259" s="23"/>
      <c r="AC1259" s="23"/>
      <c r="AD1259" s="23"/>
      <c r="AE1259" s="23"/>
    </row>
    <row r="1260" spans="1:31">
      <c r="A1260" s="23"/>
      <c r="B1260" s="40"/>
      <c r="C1260" s="40"/>
      <c r="D1260" s="23"/>
      <c r="E1260" s="23"/>
      <c r="F1260" s="23"/>
      <c r="G1260" s="23"/>
      <c r="H1260" s="23"/>
      <c r="I1260" s="40"/>
      <c r="J1260" s="70"/>
      <c r="K1260" s="23"/>
      <c r="L1260" s="70"/>
      <c r="M1260" s="70"/>
      <c r="N1260" s="23"/>
      <c r="O1260" s="23"/>
      <c r="P1260" s="23"/>
      <c r="Q1260" s="23"/>
      <c r="R1260" s="72"/>
      <c r="S1260" s="23"/>
      <c r="T1260" s="23"/>
      <c r="U1260" s="23"/>
      <c r="V1260" s="23"/>
      <c r="W1260" s="23"/>
      <c r="X1260" s="23"/>
      <c r="Y1260" s="23"/>
      <c r="Z1260" s="23"/>
      <c r="AA1260" s="23"/>
      <c r="AB1260" s="23"/>
      <c r="AC1260" s="23"/>
      <c r="AD1260" s="23"/>
      <c r="AE1260" s="23"/>
    </row>
    <row r="1261" spans="1:31">
      <c r="A1261" s="23"/>
      <c r="B1261" s="40"/>
      <c r="C1261" s="40"/>
      <c r="D1261" s="23"/>
      <c r="E1261" s="23"/>
      <c r="F1261" s="23"/>
      <c r="G1261" s="23"/>
      <c r="H1261" s="23"/>
      <c r="I1261" s="40"/>
      <c r="J1261" s="70"/>
      <c r="K1261" s="23"/>
      <c r="L1261" s="70"/>
      <c r="M1261" s="70"/>
      <c r="N1261" s="23"/>
      <c r="O1261" s="23"/>
      <c r="P1261" s="23"/>
      <c r="Q1261" s="23"/>
      <c r="R1261" s="72"/>
      <c r="S1261" s="23"/>
      <c r="T1261" s="23"/>
      <c r="U1261" s="23"/>
      <c r="V1261" s="23"/>
      <c r="W1261" s="23"/>
      <c r="X1261" s="23"/>
      <c r="Y1261" s="23"/>
      <c r="Z1261" s="23"/>
      <c r="AA1261" s="23"/>
      <c r="AB1261" s="23"/>
      <c r="AC1261" s="23"/>
      <c r="AD1261" s="23"/>
      <c r="AE1261" s="23"/>
    </row>
    <row r="1262" spans="1:31">
      <c r="A1262" s="23"/>
      <c r="B1262" s="40"/>
      <c r="C1262" s="40"/>
      <c r="D1262" s="23"/>
      <c r="E1262" s="23"/>
      <c r="F1262" s="23"/>
      <c r="G1262" s="23"/>
      <c r="H1262" s="23"/>
      <c r="I1262" s="40"/>
      <c r="J1262" s="70"/>
      <c r="K1262" s="23"/>
      <c r="L1262" s="70"/>
      <c r="M1262" s="70"/>
      <c r="N1262" s="23"/>
      <c r="O1262" s="23"/>
      <c r="P1262" s="23"/>
      <c r="Q1262" s="23"/>
      <c r="R1262" s="72"/>
      <c r="S1262" s="23"/>
      <c r="T1262" s="23"/>
      <c r="U1262" s="23"/>
      <c r="V1262" s="23"/>
      <c r="W1262" s="23"/>
      <c r="X1262" s="23"/>
      <c r="Y1262" s="23"/>
      <c r="Z1262" s="23"/>
      <c r="AA1262" s="23"/>
      <c r="AB1262" s="23"/>
      <c r="AC1262" s="23"/>
      <c r="AD1262" s="23"/>
      <c r="AE1262" s="23"/>
    </row>
    <row r="1263" spans="1:31">
      <c r="A1263" s="23"/>
      <c r="B1263" s="40"/>
      <c r="C1263" s="40"/>
      <c r="D1263" s="23"/>
      <c r="E1263" s="23"/>
      <c r="F1263" s="23"/>
      <c r="G1263" s="23"/>
      <c r="H1263" s="23"/>
      <c r="I1263" s="40"/>
      <c r="J1263" s="70"/>
      <c r="K1263" s="23"/>
      <c r="L1263" s="70"/>
      <c r="M1263" s="70"/>
      <c r="N1263" s="23"/>
      <c r="O1263" s="23"/>
      <c r="P1263" s="23"/>
      <c r="Q1263" s="23"/>
      <c r="R1263" s="72"/>
      <c r="S1263" s="23"/>
      <c r="T1263" s="23"/>
      <c r="U1263" s="23"/>
      <c r="V1263" s="23"/>
      <c r="W1263" s="23"/>
      <c r="X1263" s="23"/>
      <c r="Y1263" s="23"/>
      <c r="Z1263" s="23"/>
      <c r="AA1263" s="23"/>
      <c r="AB1263" s="23"/>
      <c r="AC1263" s="23"/>
      <c r="AD1263" s="23"/>
      <c r="AE1263" s="23"/>
    </row>
    <row r="1264" spans="1:31" ht="24" customHeight="1">
      <c r="A1264" s="23"/>
      <c r="B1264" s="40"/>
      <c r="C1264" s="40"/>
      <c r="D1264" s="23"/>
      <c r="E1264" s="23"/>
      <c r="F1264" s="23"/>
      <c r="G1264" s="23"/>
      <c r="H1264" s="40"/>
      <c r="I1264" s="40"/>
      <c r="J1264" s="70"/>
      <c r="K1264" s="23"/>
      <c r="L1264" s="70"/>
      <c r="M1264" s="70"/>
      <c r="N1264" s="23"/>
      <c r="O1264" s="23"/>
      <c r="P1264" s="23"/>
      <c r="Q1264" s="23"/>
      <c r="R1264" s="72"/>
      <c r="S1264" s="23"/>
      <c r="T1264" s="23"/>
      <c r="U1264" s="23"/>
      <c r="V1264" s="23"/>
      <c r="W1264" s="23"/>
      <c r="X1264" s="23"/>
      <c r="Y1264" s="23"/>
      <c r="Z1264" s="23"/>
      <c r="AA1264" s="23"/>
      <c r="AB1264" s="23"/>
      <c r="AC1264" s="23"/>
      <c r="AD1264" s="23"/>
      <c r="AE1264" s="23"/>
    </row>
    <row r="1265" spans="1:31">
      <c r="A1265" s="23"/>
      <c r="B1265" s="40"/>
      <c r="C1265" s="40"/>
      <c r="D1265" s="23"/>
      <c r="E1265" s="23"/>
      <c r="F1265" s="23"/>
      <c r="G1265" s="23"/>
      <c r="H1265" s="40"/>
      <c r="I1265" s="40"/>
      <c r="J1265" s="70"/>
      <c r="K1265" s="23"/>
      <c r="L1265" s="70"/>
      <c r="M1265" s="70"/>
      <c r="N1265" s="23"/>
      <c r="O1265" s="23"/>
      <c r="P1265" s="23"/>
      <c r="Q1265" s="23"/>
      <c r="R1265" s="72"/>
      <c r="S1265" s="23"/>
      <c r="T1265" s="23"/>
      <c r="U1265" s="23"/>
      <c r="V1265" s="23"/>
      <c r="W1265" s="23"/>
      <c r="X1265" s="23"/>
      <c r="Y1265" s="23"/>
      <c r="Z1265" s="23"/>
      <c r="AA1265" s="23"/>
      <c r="AB1265" s="23"/>
      <c r="AC1265" s="23"/>
      <c r="AD1265" s="23"/>
      <c r="AE1265" s="23"/>
    </row>
    <row r="1266" spans="1:31">
      <c r="A1266" s="23"/>
      <c r="B1266" s="40"/>
      <c r="C1266" s="40"/>
      <c r="D1266" s="23"/>
      <c r="E1266" s="23"/>
      <c r="F1266" s="23"/>
      <c r="G1266" s="23"/>
      <c r="H1266" s="40"/>
      <c r="I1266" s="40"/>
      <c r="J1266" s="70"/>
      <c r="K1266" s="23"/>
      <c r="L1266" s="70"/>
      <c r="M1266" s="70"/>
      <c r="N1266" s="23"/>
      <c r="O1266" s="23"/>
      <c r="P1266" s="23"/>
      <c r="Q1266" s="23"/>
      <c r="R1266" s="72"/>
      <c r="S1266" s="23"/>
      <c r="T1266" s="23"/>
      <c r="U1266" s="23"/>
      <c r="V1266" s="23"/>
      <c r="W1266" s="23"/>
      <c r="X1266" s="23"/>
      <c r="Y1266" s="23"/>
      <c r="Z1266" s="23"/>
      <c r="AA1266" s="23"/>
      <c r="AB1266" s="23"/>
      <c r="AC1266" s="23"/>
      <c r="AD1266" s="23"/>
      <c r="AE1266" s="23"/>
    </row>
    <row r="1267" spans="1:31">
      <c r="A1267" s="23"/>
      <c r="B1267" s="40"/>
      <c r="C1267" s="40"/>
      <c r="D1267" s="23"/>
      <c r="E1267" s="23"/>
      <c r="F1267" s="23"/>
      <c r="G1267" s="23"/>
      <c r="H1267" s="40"/>
      <c r="I1267" s="40"/>
      <c r="J1267" s="70"/>
      <c r="K1267" s="23"/>
      <c r="L1267" s="70"/>
      <c r="M1267" s="70"/>
      <c r="N1267" s="23"/>
      <c r="O1267" s="23"/>
      <c r="P1267" s="23"/>
      <c r="Q1267" s="23"/>
      <c r="R1267" s="72"/>
      <c r="S1267" s="23"/>
      <c r="T1267" s="23"/>
      <c r="U1267" s="23"/>
      <c r="V1267" s="23"/>
      <c r="W1267" s="23"/>
      <c r="X1267" s="23"/>
      <c r="Y1267" s="23"/>
      <c r="Z1267" s="23"/>
      <c r="AA1267" s="23"/>
      <c r="AB1267" s="23"/>
      <c r="AC1267" s="23"/>
      <c r="AD1267" s="23"/>
      <c r="AE1267" s="23"/>
    </row>
    <row r="1268" spans="1:31">
      <c r="A1268" s="23"/>
      <c r="B1268" s="40"/>
      <c r="C1268" s="40"/>
      <c r="D1268" s="23"/>
      <c r="E1268" s="23"/>
      <c r="F1268" s="23"/>
      <c r="G1268" s="23"/>
      <c r="H1268" s="40"/>
      <c r="I1268" s="40"/>
      <c r="J1268" s="70"/>
      <c r="K1268" s="23"/>
      <c r="L1268" s="70"/>
      <c r="M1268" s="70"/>
      <c r="N1268" s="23"/>
      <c r="O1268" s="23"/>
      <c r="P1268" s="23"/>
      <c r="Q1268" s="23"/>
      <c r="R1268" s="72"/>
      <c r="S1268" s="23"/>
      <c r="T1268" s="23"/>
      <c r="U1268" s="23"/>
      <c r="V1268" s="23"/>
      <c r="W1268" s="23"/>
      <c r="X1268" s="23"/>
      <c r="Y1268" s="23"/>
      <c r="Z1268" s="23"/>
      <c r="AA1268" s="23"/>
      <c r="AB1268" s="23"/>
      <c r="AC1268" s="23"/>
      <c r="AD1268" s="23"/>
      <c r="AE1268" s="23"/>
    </row>
    <row r="1269" spans="1:31">
      <c r="A1269" s="23"/>
      <c r="B1269" s="40"/>
      <c r="C1269" s="40"/>
      <c r="D1269" s="23"/>
      <c r="E1269" s="23"/>
      <c r="F1269" s="23"/>
      <c r="G1269" s="23"/>
      <c r="H1269" s="40"/>
      <c r="I1269" s="40"/>
      <c r="J1269" s="70"/>
      <c r="K1269" s="23"/>
      <c r="L1269" s="70"/>
      <c r="M1269" s="70"/>
      <c r="N1269" s="23"/>
      <c r="O1269" s="23"/>
      <c r="P1269" s="23"/>
      <c r="Q1269" s="23"/>
      <c r="R1269" s="72"/>
      <c r="S1269" s="23"/>
      <c r="T1269" s="23"/>
      <c r="U1269" s="23"/>
      <c r="V1269" s="23"/>
      <c r="W1269" s="23"/>
      <c r="X1269" s="23"/>
      <c r="Y1269" s="23"/>
      <c r="Z1269" s="23"/>
      <c r="AA1269" s="23"/>
      <c r="AB1269" s="23"/>
      <c r="AC1269" s="23"/>
      <c r="AD1269" s="23"/>
      <c r="AE1269" s="23"/>
    </row>
    <row r="1270" spans="1:31">
      <c r="A1270" s="23"/>
      <c r="B1270" s="40"/>
      <c r="C1270" s="40"/>
      <c r="D1270" s="23"/>
      <c r="E1270" s="23"/>
      <c r="F1270" s="23"/>
      <c r="G1270" s="23"/>
      <c r="H1270" s="40"/>
      <c r="I1270" s="40"/>
      <c r="J1270" s="70"/>
      <c r="K1270" s="23"/>
      <c r="L1270" s="70"/>
      <c r="M1270" s="70"/>
      <c r="N1270" s="23"/>
      <c r="O1270" s="23"/>
      <c r="P1270" s="23"/>
      <c r="Q1270" s="23"/>
      <c r="R1270" s="72"/>
      <c r="S1270" s="23"/>
      <c r="T1270" s="23"/>
      <c r="U1270" s="23"/>
      <c r="V1270" s="23"/>
      <c r="W1270" s="23"/>
      <c r="X1270" s="23"/>
      <c r="Y1270" s="23"/>
      <c r="Z1270" s="23"/>
      <c r="AA1270" s="23"/>
      <c r="AB1270" s="23"/>
      <c r="AC1270" s="23"/>
      <c r="AD1270" s="23"/>
      <c r="AE1270" s="23"/>
    </row>
    <row r="1271" spans="1:31">
      <c r="A1271" s="23"/>
      <c r="B1271" s="40"/>
      <c r="C1271" s="40"/>
      <c r="D1271" s="23"/>
      <c r="E1271" s="23"/>
      <c r="F1271" s="23"/>
      <c r="G1271" s="23"/>
      <c r="H1271" s="40"/>
      <c r="I1271" s="40"/>
      <c r="J1271" s="70"/>
      <c r="K1271" s="23"/>
      <c r="L1271" s="70"/>
      <c r="M1271" s="70"/>
      <c r="N1271" s="23"/>
      <c r="O1271" s="23"/>
      <c r="P1271" s="23"/>
      <c r="Q1271" s="23"/>
      <c r="R1271" s="72"/>
      <c r="S1271" s="23"/>
      <c r="T1271" s="23"/>
      <c r="U1271" s="23"/>
      <c r="V1271" s="23"/>
      <c r="W1271" s="23"/>
      <c r="X1271" s="23"/>
      <c r="Y1271" s="23"/>
      <c r="Z1271" s="23"/>
      <c r="AA1271" s="23"/>
      <c r="AB1271" s="23"/>
      <c r="AC1271" s="23"/>
      <c r="AD1271" s="23"/>
      <c r="AE1271" s="23"/>
    </row>
    <row r="1272" spans="1:31">
      <c r="A1272" s="23"/>
      <c r="B1272" s="40"/>
      <c r="C1272" s="40"/>
      <c r="D1272" s="23"/>
      <c r="E1272" s="23"/>
      <c r="F1272" s="23"/>
      <c r="G1272" s="23"/>
      <c r="H1272" s="23"/>
      <c r="I1272" s="40"/>
      <c r="J1272" s="70"/>
      <c r="K1272" s="23"/>
      <c r="L1272" s="70"/>
      <c r="M1272" s="70"/>
      <c r="N1272" s="23"/>
      <c r="O1272" s="23"/>
      <c r="P1272" s="23"/>
      <c r="Q1272" s="23"/>
      <c r="R1272" s="72"/>
      <c r="S1272" s="23"/>
      <c r="T1272" s="23"/>
      <c r="U1272" s="23"/>
      <c r="V1272" s="23"/>
      <c r="W1272" s="23"/>
      <c r="X1272" s="23"/>
      <c r="Y1272" s="23"/>
      <c r="Z1272" s="23"/>
      <c r="AA1272" s="23"/>
      <c r="AB1272" s="23"/>
      <c r="AC1272" s="23"/>
      <c r="AD1272" s="23"/>
      <c r="AE1272" s="23"/>
    </row>
    <row r="1273" spans="1:31">
      <c r="A1273" s="23"/>
      <c r="B1273" s="40"/>
      <c r="C1273" s="40"/>
      <c r="D1273" s="23"/>
      <c r="E1273" s="23"/>
      <c r="F1273" s="23"/>
      <c r="G1273" s="23"/>
      <c r="H1273" s="23"/>
      <c r="I1273" s="40"/>
      <c r="J1273" s="70"/>
      <c r="K1273" s="23"/>
      <c r="L1273" s="70"/>
      <c r="M1273" s="70"/>
      <c r="N1273" s="23"/>
      <c r="O1273" s="23"/>
      <c r="P1273" s="23"/>
      <c r="Q1273" s="23"/>
      <c r="R1273" s="72"/>
      <c r="S1273" s="23"/>
      <c r="T1273" s="23"/>
      <c r="U1273" s="23"/>
      <c r="V1273" s="23"/>
      <c r="W1273" s="23"/>
      <c r="X1273" s="23"/>
      <c r="Y1273" s="23"/>
      <c r="Z1273" s="23"/>
      <c r="AA1273" s="23"/>
      <c r="AB1273" s="23"/>
      <c r="AC1273" s="23"/>
      <c r="AD1273" s="23"/>
      <c r="AE1273" s="23"/>
    </row>
    <row r="1274" spans="1:31">
      <c r="A1274" s="23"/>
      <c r="B1274" s="40"/>
      <c r="C1274" s="40"/>
      <c r="D1274" s="23"/>
      <c r="E1274" s="23"/>
      <c r="F1274" s="23"/>
      <c r="G1274" s="23"/>
      <c r="H1274" s="23"/>
      <c r="I1274" s="40"/>
      <c r="J1274" s="70"/>
      <c r="K1274" s="23"/>
      <c r="L1274" s="70"/>
      <c r="M1274" s="70"/>
      <c r="N1274" s="23"/>
      <c r="O1274" s="23"/>
      <c r="P1274" s="23"/>
      <c r="Q1274" s="23"/>
      <c r="R1274" s="72"/>
      <c r="S1274" s="23"/>
      <c r="T1274" s="23"/>
      <c r="U1274" s="23"/>
      <c r="V1274" s="23"/>
      <c r="W1274" s="23"/>
      <c r="X1274" s="23"/>
      <c r="Y1274" s="23"/>
      <c r="Z1274" s="23"/>
      <c r="AA1274" s="23"/>
      <c r="AB1274" s="23"/>
      <c r="AC1274" s="23"/>
      <c r="AD1274" s="23"/>
      <c r="AE1274" s="23"/>
    </row>
    <row r="1275" spans="1:31">
      <c r="A1275" s="23"/>
      <c r="B1275" s="40"/>
      <c r="C1275" s="40"/>
      <c r="D1275" s="23"/>
      <c r="E1275" s="23"/>
      <c r="F1275" s="23"/>
      <c r="G1275" s="23"/>
      <c r="H1275" s="23"/>
      <c r="I1275" s="40"/>
      <c r="J1275" s="70"/>
      <c r="K1275" s="23"/>
      <c r="L1275" s="70"/>
      <c r="M1275" s="70"/>
      <c r="N1275" s="23"/>
      <c r="O1275" s="23"/>
      <c r="P1275" s="23"/>
      <c r="Q1275" s="23"/>
      <c r="R1275" s="72"/>
      <c r="S1275" s="23"/>
      <c r="T1275" s="23"/>
      <c r="U1275" s="23"/>
      <c r="V1275" s="23"/>
      <c r="W1275" s="23"/>
      <c r="X1275" s="23"/>
      <c r="Y1275" s="23"/>
      <c r="Z1275" s="23"/>
      <c r="AA1275" s="23"/>
      <c r="AB1275" s="23"/>
      <c r="AC1275" s="23"/>
      <c r="AD1275" s="23"/>
      <c r="AE1275" s="23"/>
    </row>
    <row r="1276" spans="1:31" ht="24" customHeight="1">
      <c r="A1276" s="23"/>
      <c r="B1276" s="40"/>
      <c r="C1276" s="40"/>
      <c r="D1276" s="23"/>
      <c r="E1276" s="23"/>
      <c r="F1276" s="23"/>
      <c r="G1276" s="23"/>
      <c r="H1276" s="40"/>
      <c r="I1276" s="40"/>
      <c r="J1276" s="70"/>
      <c r="K1276" s="23"/>
      <c r="L1276" s="70"/>
      <c r="M1276" s="70"/>
      <c r="N1276" s="23"/>
      <c r="O1276" s="23"/>
      <c r="P1276" s="23"/>
      <c r="Q1276" s="23"/>
      <c r="R1276" s="72"/>
      <c r="S1276" s="23"/>
      <c r="T1276" s="23"/>
      <c r="U1276" s="23"/>
      <c r="V1276" s="23"/>
      <c r="W1276" s="23"/>
      <c r="X1276" s="23"/>
      <c r="Y1276" s="23"/>
      <c r="Z1276" s="23"/>
      <c r="AA1276" s="23"/>
      <c r="AB1276" s="23"/>
      <c r="AC1276" s="23"/>
      <c r="AD1276" s="23"/>
      <c r="AE1276" s="23"/>
    </row>
    <row r="1277" spans="1:31">
      <c r="A1277" s="23"/>
      <c r="B1277" s="40"/>
      <c r="C1277" s="40"/>
      <c r="D1277" s="23"/>
      <c r="E1277" s="23"/>
      <c r="F1277" s="23"/>
      <c r="G1277" s="23"/>
      <c r="H1277" s="40"/>
      <c r="I1277" s="40"/>
      <c r="J1277" s="70"/>
      <c r="K1277" s="23"/>
      <c r="L1277" s="70"/>
      <c r="M1277" s="70"/>
      <c r="N1277" s="23"/>
      <c r="O1277" s="23"/>
      <c r="P1277" s="23"/>
      <c r="Q1277" s="23"/>
      <c r="R1277" s="72"/>
      <c r="S1277" s="23"/>
      <c r="T1277" s="23"/>
      <c r="U1277" s="23"/>
      <c r="V1277" s="23"/>
      <c r="W1277" s="23"/>
      <c r="X1277" s="23"/>
      <c r="Y1277" s="23"/>
      <c r="Z1277" s="23"/>
      <c r="AA1277" s="23"/>
      <c r="AB1277" s="23"/>
      <c r="AC1277" s="23"/>
      <c r="AD1277" s="23"/>
      <c r="AE1277" s="23"/>
    </row>
    <row r="1278" spans="1:31">
      <c r="A1278" s="23"/>
      <c r="B1278" s="40"/>
      <c r="C1278" s="40"/>
      <c r="D1278" s="23"/>
      <c r="E1278" s="23"/>
      <c r="F1278" s="23"/>
      <c r="G1278" s="23"/>
      <c r="H1278" s="40"/>
      <c r="I1278" s="40"/>
      <c r="J1278" s="70"/>
      <c r="K1278" s="23"/>
      <c r="L1278" s="70"/>
      <c r="M1278" s="70"/>
      <c r="N1278" s="23"/>
      <c r="O1278" s="23"/>
      <c r="P1278" s="23"/>
      <c r="Q1278" s="23"/>
      <c r="R1278" s="72"/>
      <c r="S1278" s="23"/>
      <c r="T1278" s="23"/>
      <c r="U1278" s="23"/>
      <c r="V1278" s="23"/>
      <c r="W1278" s="23"/>
      <c r="X1278" s="23"/>
      <c r="Y1278" s="23"/>
      <c r="Z1278" s="23"/>
      <c r="AA1278" s="23"/>
      <c r="AB1278" s="23"/>
      <c r="AC1278" s="23"/>
      <c r="AD1278" s="23"/>
      <c r="AE1278" s="23"/>
    </row>
    <row r="1279" spans="1:31">
      <c r="A1279" s="23"/>
      <c r="B1279" s="40"/>
      <c r="C1279" s="40"/>
      <c r="D1279" s="23"/>
      <c r="E1279" s="23"/>
      <c r="F1279" s="23"/>
      <c r="G1279" s="23"/>
      <c r="H1279" s="40"/>
      <c r="I1279" s="40"/>
      <c r="J1279" s="70"/>
      <c r="K1279" s="23"/>
      <c r="L1279" s="70"/>
      <c r="M1279" s="70"/>
      <c r="N1279" s="23"/>
      <c r="O1279" s="23"/>
      <c r="P1279" s="23"/>
      <c r="Q1279" s="23"/>
      <c r="R1279" s="72"/>
      <c r="S1279" s="23"/>
      <c r="T1279" s="23"/>
      <c r="U1279" s="23"/>
      <c r="V1279" s="23"/>
      <c r="W1279" s="23"/>
      <c r="X1279" s="23"/>
      <c r="Y1279" s="23"/>
      <c r="Z1279" s="23"/>
      <c r="AA1279" s="23"/>
      <c r="AB1279" s="23"/>
      <c r="AC1279" s="23"/>
      <c r="AD1279" s="23"/>
      <c r="AE1279" s="23"/>
    </row>
    <row r="1280" spans="1:31">
      <c r="A1280" s="23"/>
      <c r="B1280" s="40"/>
      <c r="C1280" s="40"/>
      <c r="D1280" s="23"/>
      <c r="E1280" s="23"/>
      <c r="F1280" s="23"/>
      <c r="G1280" s="23"/>
      <c r="H1280" s="40"/>
      <c r="I1280" s="40"/>
      <c r="J1280" s="70"/>
      <c r="K1280" s="23"/>
      <c r="L1280" s="70"/>
      <c r="M1280" s="70"/>
      <c r="N1280" s="23"/>
      <c r="O1280" s="23"/>
      <c r="P1280" s="23"/>
      <c r="Q1280" s="23"/>
      <c r="R1280" s="72"/>
      <c r="S1280" s="23"/>
      <c r="T1280" s="23"/>
      <c r="U1280" s="23"/>
      <c r="V1280" s="23"/>
      <c r="W1280" s="23"/>
      <c r="X1280" s="23"/>
      <c r="Y1280" s="23"/>
      <c r="Z1280" s="23"/>
      <c r="AA1280" s="23"/>
      <c r="AB1280" s="23"/>
      <c r="AC1280" s="23"/>
      <c r="AD1280" s="23"/>
      <c r="AE1280" s="23"/>
    </row>
    <row r="1281" spans="1:31">
      <c r="A1281" s="23"/>
      <c r="B1281" s="40"/>
      <c r="C1281" s="40"/>
      <c r="D1281" s="23"/>
      <c r="E1281" s="23"/>
      <c r="F1281" s="23"/>
      <c r="G1281" s="23"/>
      <c r="H1281" s="40"/>
      <c r="I1281" s="40"/>
      <c r="J1281" s="70"/>
      <c r="K1281" s="23"/>
      <c r="L1281" s="70"/>
      <c r="M1281" s="70"/>
      <c r="N1281" s="23"/>
      <c r="O1281" s="23"/>
      <c r="P1281" s="23"/>
      <c r="Q1281" s="23"/>
      <c r="R1281" s="72"/>
      <c r="S1281" s="23"/>
      <c r="T1281" s="23"/>
      <c r="U1281" s="23"/>
      <c r="V1281" s="23"/>
      <c r="W1281" s="23"/>
      <c r="X1281" s="23"/>
      <c r="Y1281" s="23"/>
      <c r="Z1281" s="23"/>
      <c r="AA1281" s="23"/>
      <c r="AB1281" s="23"/>
      <c r="AC1281" s="23"/>
      <c r="AD1281" s="23"/>
      <c r="AE1281" s="23"/>
    </row>
    <row r="1282" spans="1:31">
      <c r="A1282" s="23"/>
      <c r="B1282" s="40"/>
      <c r="C1282" s="40"/>
      <c r="D1282" s="23"/>
      <c r="E1282" s="23"/>
      <c r="F1282" s="23"/>
      <c r="G1282" s="23"/>
      <c r="H1282" s="40"/>
      <c r="I1282" s="40"/>
      <c r="J1282" s="70"/>
      <c r="K1282" s="23"/>
      <c r="L1282" s="70"/>
      <c r="M1282" s="70"/>
      <c r="N1282" s="23"/>
      <c r="O1282" s="23"/>
      <c r="P1282" s="23"/>
      <c r="Q1282" s="23"/>
      <c r="R1282" s="72"/>
      <c r="S1282" s="23"/>
      <c r="T1282" s="23"/>
      <c r="U1282" s="23"/>
      <c r="V1282" s="23"/>
      <c r="W1282" s="23"/>
      <c r="X1282" s="23"/>
      <c r="Y1282" s="23"/>
      <c r="Z1282" s="23"/>
      <c r="AA1282" s="23"/>
      <c r="AB1282" s="23"/>
      <c r="AC1282" s="23"/>
      <c r="AD1282" s="23"/>
      <c r="AE1282" s="23"/>
    </row>
    <row r="1283" spans="1:31">
      <c r="A1283" s="23"/>
      <c r="B1283" s="40"/>
      <c r="C1283" s="40"/>
      <c r="D1283" s="23"/>
      <c r="E1283" s="23"/>
      <c r="F1283" s="23"/>
      <c r="G1283" s="23"/>
      <c r="H1283" s="40"/>
      <c r="I1283" s="40"/>
      <c r="J1283" s="70"/>
      <c r="K1283" s="23"/>
      <c r="L1283" s="70"/>
      <c r="M1283" s="70"/>
      <c r="N1283" s="23"/>
      <c r="O1283" s="23"/>
      <c r="P1283" s="23"/>
      <c r="Q1283" s="23"/>
      <c r="R1283" s="72"/>
      <c r="S1283" s="23"/>
      <c r="T1283" s="23"/>
      <c r="U1283" s="23"/>
      <c r="V1283" s="23"/>
      <c r="W1283" s="23"/>
      <c r="X1283" s="23"/>
      <c r="Y1283" s="23"/>
      <c r="Z1283" s="23"/>
      <c r="AA1283" s="23"/>
      <c r="AB1283" s="23"/>
      <c r="AC1283" s="23"/>
      <c r="AD1283" s="23"/>
      <c r="AE1283" s="23"/>
    </row>
    <row r="1284" spans="1:31">
      <c r="A1284" s="23"/>
      <c r="B1284" s="40"/>
      <c r="C1284" s="40"/>
      <c r="D1284" s="23"/>
      <c r="E1284" s="23"/>
      <c r="F1284" s="23"/>
      <c r="G1284" s="23"/>
      <c r="H1284" s="23"/>
      <c r="I1284" s="40"/>
      <c r="J1284" s="70"/>
      <c r="K1284" s="23"/>
      <c r="L1284" s="70"/>
      <c r="M1284" s="70"/>
      <c r="N1284" s="23"/>
      <c r="O1284" s="23"/>
      <c r="P1284" s="23"/>
      <c r="Q1284" s="23"/>
      <c r="R1284" s="72"/>
      <c r="S1284" s="23"/>
      <c r="T1284" s="23"/>
      <c r="U1284" s="23"/>
      <c r="V1284" s="23"/>
      <c r="W1284" s="23"/>
      <c r="X1284" s="23"/>
      <c r="Y1284" s="23"/>
      <c r="Z1284" s="23"/>
      <c r="AA1284" s="23"/>
      <c r="AB1284" s="23"/>
      <c r="AC1284" s="23"/>
      <c r="AD1284" s="23"/>
      <c r="AE1284" s="23"/>
    </row>
    <row r="1285" spans="1:31">
      <c r="A1285" s="23"/>
      <c r="B1285" s="40"/>
      <c r="C1285" s="40"/>
      <c r="D1285" s="23"/>
      <c r="E1285" s="23"/>
      <c r="F1285" s="23"/>
      <c r="G1285" s="23"/>
      <c r="H1285" s="23"/>
      <c r="I1285" s="40"/>
      <c r="J1285" s="70"/>
      <c r="K1285" s="23"/>
      <c r="L1285" s="70"/>
      <c r="M1285" s="70"/>
      <c r="N1285" s="23"/>
      <c r="O1285" s="23"/>
      <c r="P1285" s="23"/>
      <c r="Q1285" s="23"/>
      <c r="R1285" s="72"/>
      <c r="S1285" s="23"/>
      <c r="T1285" s="23"/>
      <c r="U1285" s="23"/>
      <c r="V1285" s="23"/>
      <c r="W1285" s="23"/>
      <c r="X1285" s="23"/>
      <c r="Y1285" s="23"/>
      <c r="Z1285" s="23"/>
      <c r="AA1285" s="23"/>
      <c r="AB1285" s="23"/>
      <c r="AC1285" s="23"/>
      <c r="AD1285" s="23"/>
      <c r="AE1285" s="23"/>
    </row>
    <row r="1286" spans="1:31">
      <c r="A1286" s="23"/>
      <c r="B1286" s="40"/>
      <c r="C1286" s="40"/>
      <c r="D1286" s="23"/>
      <c r="E1286" s="23"/>
      <c r="F1286" s="23"/>
      <c r="G1286" s="23"/>
      <c r="H1286" s="23"/>
      <c r="I1286" s="40"/>
      <c r="J1286" s="70"/>
      <c r="K1286" s="23"/>
      <c r="L1286" s="70"/>
      <c r="M1286" s="70"/>
      <c r="N1286" s="23"/>
      <c r="O1286" s="23"/>
      <c r="P1286" s="23"/>
      <c r="Q1286" s="23"/>
      <c r="R1286" s="72"/>
      <c r="S1286" s="23"/>
      <c r="T1286" s="23"/>
      <c r="U1286" s="23"/>
      <c r="V1286" s="23"/>
      <c r="W1286" s="23"/>
      <c r="X1286" s="23"/>
      <c r="Y1286" s="23"/>
      <c r="Z1286" s="23"/>
      <c r="AA1286" s="23"/>
      <c r="AB1286" s="23"/>
      <c r="AC1286" s="23"/>
      <c r="AD1286" s="23"/>
      <c r="AE1286" s="23"/>
    </row>
    <row r="1287" spans="1:31">
      <c r="A1287" s="23"/>
      <c r="B1287" s="40"/>
      <c r="C1287" s="40"/>
      <c r="D1287" s="23"/>
      <c r="E1287" s="23"/>
      <c r="F1287" s="23"/>
      <c r="G1287" s="23"/>
      <c r="H1287" s="23"/>
      <c r="I1287" s="40"/>
      <c r="J1287" s="70"/>
      <c r="K1287" s="23"/>
      <c r="L1287" s="70"/>
      <c r="M1287" s="70"/>
      <c r="N1287" s="23"/>
      <c r="O1287" s="23"/>
      <c r="P1287" s="23"/>
      <c r="Q1287" s="23"/>
      <c r="R1287" s="72"/>
      <c r="S1287" s="23"/>
      <c r="T1287" s="23"/>
      <c r="U1287" s="23"/>
      <c r="V1287" s="23"/>
      <c r="W1287" s="23"/>
      <c r="X1287" s="23"/>
      <c r="Y1287" s="23"/>
      <c r="Z1287" s="23"/>
      <c r="AA1287" s="23"/>
      <c r="AB1287" s="23"/>
      <c r="AC1287" s="23"/>
      <c r="AD1287" s="23"/>
      <c r="AE1287" s="23"/>
    </row>
    <row r="1288" spans="1:31">
      <c r="A1288" s="23"/>
      <c r="B1288" s="40"/>
      <c r="C1288" s="40"/>
      <c r="D1288" s="23"/>
      <c r="E1288" s="23"/>
      <c r="F1288" s="23"/>
      <c r="G1288" s="23"/>
      <c r="H1288" s="23"/>
      <c r="I1288" s="40"/>
      <c r="J1288" s="70"/>
      <c r="K1288" s="23"/>
      <c r="L1288" s="70"/>
      <c r="M1288" s="70"/>
      <c r="N1288" s="23"/>
      <c r="O1288" s="23"/>
      <c r="P1288" s="23"/>
      <c r="Q1288" s="23"/>
      <c r="R1288" s="72"/>
      <c r="S1288" s="23"/>
      <c r="T1288" s="23"/>
      <c r="U1288" s="23"/>
      <c r="V1288" s="23"/>
      <c r="W1288" s="23"/>
      <c r="X1288" s="23"/>
      <c r="Y1288" s="23"/>
      <c r="Z1288" s="23"/>
      <c r="AA1288" s="23"/>
      <c r="AB1288" s="23"/>
      <c r="AC1288" s="23"/>
      <c r="AD1288" s="23"/>
      <c r="AE1288" s="23"/>
    </row>
    <row r="1289" spans="1:31" ht="24" customHeight="1">
      <c r="A1289" s="23"/>
      <c r="B1289" s="40"/>
      <c r="C1289" s="40"/>
      <c r="D1289" s="23"/>
      <c r="E1289" s="23"/>
      <c r="F1289" s="23"/>
      <c r="G1289" s="23"/>
      <c r="H1289" s="40"/>
      <c r="I1289" s="40"/>
      <c r="J1289" s="70"/>
      <c r="K1289" s="23"/>
      <c r="L1289" s="70"/>
      <c r="M1289" s="70"/>
      <c r="N1289" s="23"/>
      <c r="O1289" s="23"/>
      <c r="P1289" s="23"/>
      <c r="Q1289" s="23"/>
      <c r="R1289" s="72"/>
      <c r="S1289" s="23"/>
      <c r="T1289" s="23"/>
      <c r="U1289" s="23"/>
      <c r="V1289" s="23"/>
      <c r="W1289" s="23"/>
      <c r="X1289" s="23"/>
      <c r="Y1289" s="23"/>
      <c r="Z1289" s="23"/>
      <c r="AA1289" s="23"/>
      <c r="AB1289" s="23"/>
      <c r="AC1289" s="23"/>
      <c r="AD1289" s="23"/>
      <c r="AE1289" s="23"/>
    </row>
    <row r="1290" spans="1:31">
      <c r="A1290" s="23"/>
      <c r="B1290" s="40"/>
      <c r="C1290" s="40"/>
      <c r="D1290" s="23"/>
      <c r="E1290" s="23"/>
      <c r="F1290" s="23"/>
      <c r="G1290" s="23"/>
      <c r="H1290" s="40"/>
      <c r="I1290" s="40"/>
      <c r="J1290" s="70"/>
      <c r="K1290" s="23"/>
      <c r="L1290" s="70"/>
      <c r="M1290" s="70"/>
      <c r="N1290" s="23"/>
      <c r="O1290" s="23"/>
      <c r="P1290" s="23"/>
      <c r="Q1290" s="23"/>
      <c r="R1290" s="72"/>
      <c r="S1290" s="23"/>
      <c r="T1290" s="23"/>
      <c r="U1290" s="23"/>
      <c r="V1290" s="23"/>
      <c r="W1290" s="23"/>
      <c r="X1290" s="23"/>
      <c r="Y1290" s="23"/>
      <c r="Z1290" s="23"/>
      <c r="AA1290" s="23"/>
      <c r="AB1290" s="23"/>
      <c r="AC1290" s="23"/>
      <c r="AD1290" s="23"/>
      <c r="AE1290" s="23"/>
    </row>
    <row r="1291" spans="1:31">
      <c r="A1291" s="23"/>
      <c r="B1291" s="40"/>
      <c r="C1291" s="40"/>
      <c r="D1291" s="23"/>
      <c r="E1291" s="23"/>
      <c r="F1291" s="23"/>
      <c r="G1291" s="23"/>
      <c r="H1291" s="40"/>
      <c r="I1291" s="40"/>
      <c r="J1291" s="70"/>
      <c r="K1291" s="23"/>
      <c r="L1291" s="70"/>
      <c r="M1291" s="70"/>
      <c r="N1291" s="23"/>
      <c r="O1291" s="23"/>
      <c r="P1291" s="23"/>
      <c r="Q1291" s="23"/>
      <c r="R1291" s="72"/>
      <c r="S1291" s="23"/>
      <c r="T1291" s="23"/>
      <c r="U1291" s="23"/>
      <c r="V1291" s="23"/>
      <c r="W1291" s="23"/>
      <c r="X1291" s="23"/>
      <c r="Y1291" s="23"/>
      <c r="Z1291" s="23"/>
      <c r="AA1291" s="23"/>
      <c r="AB1291" s="23"/>
      <c r="AC1291" s="23"/>
      <c r="AD1291" s="23"/>
      <c r="AE1291" s="23"/>
    </row>
    <row r="1292" spans="1:31">
      <c r="A1292" s="23"/>
      <c r="B1292" s="40"/>
      <c r="C1292" s="40"/>
      <c r="D1292" s="23"/>
      <c r="E1292" s="23"/>
      <c r="F1292" s="23"/>
      <c r="G1292" s="23"/>
      <c r="H1292" s="40"/>
      <c r="I1292" s="40"/>
      <c r="J1292" s="70"/>
      <c r="K1292" s="23"/>
      <c r="L1292" s="70"/>
      <c r="M1292" s="70"/>
      <c r="N1292" s="23"/>
      <c r="O1292" s="23"/>
      <c r="P1292" s="23"/>
      <c r="Q1292" s="23"/>
      <c r="R1292" s="72"/>
      <c r="S1292" s="23"/>
      <c r="T1292" s="23"/>
      <c r="U1292" s="23"/>
      <c r="V1292" s="23"/>
      <c r="W1292" s="23"/>
      <c r="X1292" s="23"/>
      <c r="Y1292" s="23"/>
      <c r="Z1292" s="23"/>
      <c r="AA1292" s="23"/>
      <c r="AB1292" s="23"/>
      <c r="AC1292" s="23"/>
      <c r="AD1292" s="23"/>
      <c r="AE1292" s="23"/>
    </row>
    <row r="1293" spans="1:31">
      <c r="A1293" s="23"/>
      <c r="B1293" s="40"/>
      <c r="C1293" s="40"/>
      <c r="D1293" s="23"/>
      <c r="E1293" s="23"/>
      <c r="F1293" s="23"/>
      <c r="G1293" s="23"/>
      <c r="H1293" s="40"/>
      <c r="I1293" s="40"/>
      <c r="J1293" s="70"/>
      <c r="K1293" s="23"/>
      <c r="L1293" s="70"/>
      <c r="M1293" s="70"/>
      <c r="N1293" s="23"/>
      <c r="O1293" s="23"/>
      <c r="P1293" s="23"/>
      <c r="Q1293" s="23"/>
      <c r="R1293" s="72"/>
      <c r="S1293" s="23"/>
      <c r="T1293" s="23"/>
      <c r="U1293" s="23"/>
      <c r="V1293" s="23"/>
      <c r="W1293" s="23"/>
      <c r="X1293" s="23"/>
      <c r="Y1293" s="23"/>
      <c r="Z1293" s="23"/>
      <c r="AA1293" s="23"/>
      <c r="AB1293" s="23"/>
      <c r="AC1293" s="23"/>
      <c r="AD1293" s="23"/>
      <c r="AE1293" s="23"/>
    </row>
    <row r="1294" spans="1:31">
      <c r="A1294" s="23"/>
      <c r="B1294" s="40"/>
      <c r="C1294" s="40"/>
      <c r="D1294" s="23"/>
      <c r="E1294" s="23"/>
      <c r="F1294" s="23"/>
      <c r="G1294" s="23"/>
      <c r="H1294" s="40"/>
      <c r="I1294" s="40"/>
      <c r="J1294" s="70"/>
      <c r="K1294" s="23"/>
      <c r="L1294" s="70"/>
      <c r="M1294" s="70"/>
      <c r="N1294" s="23"/>
      <c r="O1294" s="23"/>
      <c r="P1294" s="23"/>
      <c r="Q1294" s="23"/>
      <c r="R1294" s="72"/>
      <c r="S1294" s="23"/>
      <c r="T1294" s="23"/>
      <c r="U1294" s="23"/>
      <c r="V1294" s="23"/>
      <c r="W1294" s="23"/>
      <c r="X1294" s="23"/>
      <c r="Y1294" s="23"/>
      <c r="Z1294" s="23"/>
      <c r="AA1294" s="23"/>
      <c r="AB1294" s="23"/>
      <c r="AC1294" s="23"/>
      <c r="AD1294" s="23"/>
      <c r="AE1294" s="23"/>
    </row>
    <row r="1295" spans="1:31">
      <c r="A1295" s="23"/>
      <c r="B1295" s="40"/>
      <c r="C1295" s="40"/>
      <c r="D1295" s="23"/>
      <c r="E1295" s="23"/>
      <c r="F1295" s="23"/>
      <c r="G1295" s="23"/>
      <c r="H1295" s="23"/>
      <c r="I1295" s="40"/>
      <c r="J1295" s="70"/>
      <c r="K1295" s="23"/>
      <c r="L1295" s="70"/>
      <c r="M1295" s="70"/>
      <c r="N1295" s="23"/>
      <c r="O1295" s="23"/>
      <c r="P1295" s="23"/>
      <c r="Q1295" s="23"/>
      <c r="R1295" s="72"/>
      <c r="S1295" s="23"/>
      <c r="T1295" s="23"/>
      <c r="U1295" s="23"/>
      <c r="V1295" s="23"/>
      <c r="W1295" s="23"/>
      <c r="X1295" s="23"/>
      <c r="Y1295" s="23"/>
      <c r="Z1295" s="23"/>
      <c r="AA1295" s="23"/>
      <c r="AB1295" s="23"/>
      <c r="AC1295" s="23"/>
      <c r="AD1295" s="23"/>
      <c r="AE1295" s="23"/>
    </row>
    <row r="1296" spans="1:31">
      <c r="A1296" s="23"/>
      <c r="B1296" s="40"/>
      <c r="C1296" s="40"/>
      <c r="D1296" s="23"/>
      <c r="E1296" s="23"/>
      <c r="F1296" s="23"/>
      <c r="G1296" s="23"/>
      <c r="H1296" s="23"/>
      <c r="I1296" s="40"/>
      <c r="J1296" s="70"/>
      <c r="K1296" s="23"/>
      <c r="L1296" s="70"/>
      <c r="M1296" s="70"/>
      <c r="N1296" s="23"/>
      <c r="O1296" s="23"/>
      <c r="P1296" s="23"/>
      <c r="Q1296" s="23"/>
      <c r="R1296" s="72"/>
      <c r="S1296" s="23"/>
      <c r="T1296" s="23"/>
      <c r="U1296" s="23"/>
      <c r="V1296" s="23"/>
      <c r="W1296" s="23"/>
      <c r="X1296" s="23"/>
      <c r="Y1296" s="23"/>
      <c r="Z1296" s="23"/>
      <c r="AA1296" s="23"/>
      <c r="AB1296" s="23"/>
      <c r="AC1296" s="23"/>
      <c r="AD1296" s="23"/>
      <c r="AE1296" s="23"/>
    </row>
    <row r="1297" spans="1:31">
      <c r="A1297" s="23"/>
      <c r="B1297" s="40"/>
      <c r="C1297" s="40"/>
      <c r="D1297" s="23"/>
      <c r="E1297" s="23"/>
      <c r="F1297" s="23"/>
      <c r="G1297" s="23"/>
      <c r="H1297" s="23"/>
      <c r="I1297" s="40"/>
      <c r="J1297" s="70"/>
      <c r="K1297" s="23"/>
      <c r="L1297" s="70"/>
      <c r="M1297" s="70"/>
      <c r="N1297" s="23"/>
      <c r="O1297" s="23"/>
      <c r="P1297" s="23"/>
      <c r="Q1297" s="23"/>
      <c r="R1297" s="72"/>
      <c r="S1297" s="23"/>
      <c r="T1297" s="23"/>
      <c r="U1297" s="23"/>
      <c r="V1297" s="23"/>
      <c r="W1297" s="23"/>
      <c r="X1297" s="23"/>
      <c r="Y1297" s="23"/>
      <c r="Z1297" s="23"/>
      <c r="AA1297" s="23"/>
      <c r="AB1297" s="23"/>
      <c r="AC1297" s="23"/>
      <c r="AD1297" s="23"/>
      <c r="AE1297" s="23"/>
    </row>
    <row r="1298" spans="1:31">
      <c r="A1298" s="23"/>
      <c r="B1298" s="40"/>
      <c r="C1298" s="40"/>
      <c r="D1298" s="23"/>
      <c r="E1298" s="23"/>
      <c r="F1298" s="23"/>
      <c r="G1298" s="23"/>
      <c r="H1298" s="23"/>
      <c r="I1298" s="40"/>
      <c r="J1298" s="70"/>
      <c r="K1298" s="23"/>
      <c r="L1298" s="70"/>
      <c r="M1298" s="70"/>
      <c r="N1298" s="23"/>
      <c r="O1298" s="23"/>
      <c r="P1298" s="23"/>
      <c r="Q1298" s="23"/>
      <c r="R1298" s="72"/>
      <c r="S1298" s="23"/>
      <c r="T1298" s="23"/>
      <c r="U1298" s="23"/>
      <c r="V1298" s="23"/>
      <c r="W1298" s="23"/>
      <c r="X1298" s="23"/>
      <c r="Y1298" s="23"/>
      <c r="Z1298" s="23"/>
      <c r="AA1298" s="23"/>
      <c r="AB1298" s="23"/>
      <c r="AC1298" s="23"/>
      <c r="AD1298" s="23"/>
      <c r="AE1298" s="23"/>
    </row>
    <row r="1299" spans="1:31">
      <c r="A1299" s="23"/>
      <c r="B1299" s="40"/>
      <c r="C1299" s="40"/>
      <c r="D1299" s="23"/>
      <c r="E1299" s="23"/>
      <c r="F1299" s="23"/>
      <c r="G1299" s="23"/>
      <c r="H1299" s="23"/>
      <c r="I1299" s="40"/>
      <c r="J1299" s="70"/>
      <c r="K1299" s="23"/>
      <c r="L1299" s="70"/>
      <c r="M1299" s="70"/>
      <c r="N1299" s="23"/>
      <c r="O1299" s="23"/>
      <c r="P1299" s="23"/>
      <c r="Q1299" s="23"/>
      <c r="R1299" s="72"/>
      <c r="S1299" s="23"/>
      <c r="T1299" s="23"/>
      <c r="U1299" s="23"/>
      <c r="V1299" s="23"/>
      <c r="W1299" s="23"/>
      <c r="X1299" s="23"/>
      <c r="Y1299" s="23"/>
      <c r="Z1299" s="23"/>
      <c r="AA1299" s="23"/>
      <c r="AB1299" s="23"/>
      <c r="AC1299" s="23"/>
      <c r="AD1299" s="23"/>
      <c r="AE1299" s="23"/>
    </row>
    <row r="1300" spans="1:31">
      <c r="A1300" s="23"/>
      <c r="B1300" s="40"/>
      <c r="C1300" s="40"/>
      <c r="D1300" s="23"/>
      <c r="E1300" s="23"/>
      <c r="F1300" s="23"/>
      <c r="G1300" s="23"/>
      <c r="H1300" s="23"/>
      <c r="I1300" s="40"/>
      <c r="J1300" s="70"/>
      <c r="K1300" s="23"/>
      <c r="L1300" s="70"/>
      <c r="M1300" s="70"/>
      <c r="N1300" s="23"/>
      <c r="O1300" s="23"/>
      <c r="P1300" s="23"/>
      <c r="Q1300" s="23"/>
      <c r="R1300" s="72"/>
      <c r="S1300" s="23"/>
      <c r="T1300" s="23"/>
      <c r="U1300" s="23"/>
      <c r="V1300" s="23"/>
      <c r="W1300" s="23"/>
      <c r="X1300" s="23"/>
      <c r="Y1300" s="23"/>
      <c r="Z1300" s="23"/>
      <c r="AA1300" s="23"/>
      <c r="AB1300" s="23"/>
      <c r="AC1300" s="23"/>
      <c r="AD1300" s="23"/>
      <c r="AE1300" s="23"/>
    </row>
    <row r="1301" spans="1:31">
      <c r="A1301" s="23"/>
      <c r="B1301" s="40"/>
      <c r="C1301" s="40"/>
      <c r="D1301" s="23"/>
      <c r="E1301" s="23"/>
      <c r="F1301" s="23"/>
      <c r="G1301" s="23"/>
      <c r="H1301" s="23"/>
      <c r="I1301" s="40"/>
      <c r="J1301" s="70"/>
      <c r="K1301" s="23"/>
      <c r="L1301" s="70"/>
      <c r="M1301" s="70"/>
      <c r="N1301" s="23"/>
      <c r="O1301" s="23"/>
      <c r="P1301" s="23"/>
      <c r="Q1301" s="23"/>
      <c r="R1301" s="72"/>
      <c r="S1301" s="23"/>
      <c r="T1301" s="23"/>
      <c r="U1301" s="23"/>
      <c r="V1301" s="23"/>
      <c r="W1301" s="23"/>
      <c r="X1301" s="23"/>
      <c r="Y1301" s="23"/>
      <c r="Z1301" s="23"/>
      <c r="AA1301" s="23"/>
      <c r="AB1301" s="23"/>
      <c r="AC1301" s="23"/>
      <c r="AD1301" s="23"/>
      <c r="AE1301" s="23"/>
    </row>
    <row r="1302" spans="1:31">
      <c r="A1302" s="23"/>
      <c r="B1302" s="40"/>
      <c r="C1302" s="40"/>
      <c r="D1302" s="23"/>
      <c r="E1302" s="23"/>
      <c r="F1302" s="23"/>
      <c r="G1302" s="23"/>
      <c r="H1302" s="23"/>
      <c r="I1302" s="40"/>
      <c r="J1302" s="70"/>
      <c r="K1302" s="23"/>
      <c r="L1302" s="70"/>
      <c r="M1302" s="70"/>
      <c r="N1302" s="23"/>
      <c r="O1302" s="23"/>
      <c r="P1302" s="23"/>
      <c r="Q1302" s="23"/>
      <c r="R1302" s="72"/>
      <c r="S1302" s="23"/>
      <c r="T1302" s="23"/>
      <c r="U1302" s="23"/>
      <c r="V1302" s="23"/>
      <c r="W1302" s="23"/>
      <c r="X1302" s="23"/>
      <c r="Y1302" s="23"/>
      <c r="Z1302" s="23"/>
      <c r="AA1302" s="23"/>
      <c r="AB1302" s="23"/>
      <c r="AC1302" s="23"/>
      <c r="AD1302" s="23"/>
      <c r="AE1302" s="23"/>
    </row>
    <row r="1303" spans="1:31">
      <c r="A1303" s="23"/>
      <c r="B1303" s="40"/>
      <c r="C1303" s="40"/>
      <c r="D1303" s="23"/>
      <c r="E1303" s="23"/>
      <c r="F1303" s="23"/>
      <c r="G1303" s="23"/>
      <c r="H1303" s="23"/>
      <c r="I1303" s="40"/>
      <c r="J1303" s="70"/>
      <c r="K1303" s="23"/>
      <c r="L1303" s="70"/>
      <c r="M1303" s="70"/>
      <c r="N1303" s="23"/>
      <c r="O1303" s="23"/>
      <c r="P1303" s="23"/>
      <c r="Q1303" s="23"/>
      <c r="R1303" s="72"/>
      <c r="S1303" s="23"/>
      <c r="T1303" s="23"/>
      <c r="U1303" s="23"/>
      <c r="V1303" s="23"/>
      <c r="W1303" s="23"/>
      <c r="X1303" s="23"/>
      <c r="Y1303" s="23"/>
      <c r="Z1303" s="23"/>
      <c r="AA1303" s="23"/>
      <c r="AB1303" s="23"/>
      <c r="AC1303" s="23"/>
      <c r="AD1303" s="23"/>
      <c r="AE1303" s="23"/>
    </row>
    <row r="1304" spans="1:31" ht="24" customHeight="1">
      <c r="A1304" s="23"/>
      <c r="B1304" s="40"/>
      <c r="C1304" s="40"/>
      <c r="D1304" s="23"/>
      <c r="E1304" s="23"/>
      <c r="F1304" s="23"/>
      <c r="G1304" s="23"/>
      <c r="H1304" s="40"/>
      <c r="I1304" s="40"/>
      <c r="J1304" s="70"/>
      <c r="K1304" s="23"/>
      <c r="L1304" s="70"/>
      <c r="M1304" s="70"/>
      <c r="N1304" s="23"/>
      <c r="O1304" s="23"/>
      <c r="P1304" s="23"/>
      <c r="Q1304" s="23"/>
      <c r="R1304" s="72"/>
      <c r="S1304" s="23"/>
      <c r="T1304" s="23"/>
      <c r="U1304" s="23"/>
      <c r="V1304" s="23"/>
      <c r="W1304" s="23"/>
      <c r="X1304" s="23"/>
      <c r="Y1304" s="23"/>
      <c r="Z1304" s="23"/>
      <c r="AA1304" s="23"/>
      <c r="AB1304" s="23"/>
      <c r="AC1304" s="23"/>
      <c r="AD1304" s="23"/>
      <c r="AE1304" s="23"/>
    </row>
    <row r="1305" spans="1:31">
      <c r="A1305" s="23"/>
      <c r="B1305" s="40"/>
      <c r="C1305" s="40"/>
      <c r="D1305" s="23"/>
      <c r="E1305" s="23"/>
      <c r="F1305" s="23"/>
      <c r="G1305" s="23"/>
      <c r="H1305" s="40"/>
      <c r="I1305" s="40"/>
      <c r="J1305" s="70"/>
      <c r="K1305" s="23"/>
      <c r="L1305" s="70"/>
      <c r="M1305" s="70"/>
      <c r="N1305" s="23"/>
      <c r="O1305" s="23"/>
      <c r="P1305" s="23"/>
      <c r="Q1305" s="23"/>
      <c r="R1305" s="72"/>
      <c r="S1305" s="23"/>
      <c r="T1305" s="23"/>
      <c r="U1305" s="23"/>
      <c r="V1305" s="23"/>
      <c r="W1305" s="23"/>
      <c r="X1305" s="23"/>
      <c r="Y1305" s="23"/>
      <c r="Z1305" s="23"/>
      <c r="AA1305" s="23"/>
      <c r="AB1305" s="23"/>
      <c r="AC1305" s="23"/>
      <c r="AD1305" s="23"/>
      <c r="AE1305" s="23"/>
    </row>
    <row r="1306" spans="1:31">
      <c r="A1306" s="23"/>
      <c r="B1306" s="40"/>
      <c r="C1306" s="40"/>
      <c r="D1306" s="23"/>
      <c r="E1306" s="23"/>
      <c r="F1306" s="23"/>
      <c r="G1306" s="23"/>
      <c r="H1306" s="40"/>
      <c r="I1306" s="40"/>
      <c r="J1306" s="70"/>
      <c r="K1306" s="23"/>
      <c r="L1306" s="70"/>
      <c r="M1306" s="70"/>
      <c r="N1306" s="23"/>
      <c r="O1306" s="23"/>
      <c r="P1306" s="23"/>
      <c r="Q1306" s="23"/>
      <c r="R1306" s="72"/>
      <c r="S1306" s="23"/>
      <c r="T1306" s="23"/>
      <c r="U1306" s="23"/>
      <c r="V1306" s="23"/>
      <c r="W1306" s="23"/>
      <c r="X1306" s="23"/>
      <c r="Y1306" s="23"/>
      <c r="Z1306" s="23"/>
      <c r="AA1306" s="23"/>
      <c r="AB1306" s="23"/>
      <c r="AC1306" s="23"/>
      <c r="AD1306" s="23"/>
      <c r="AE1306" s="23"/>
    </row>
    <row r="1307" spans="1:31">
      <c r="A1307" s="23"/>
      <c r="B1307" s="40"/>
      <c r="C1307" s="40"/>
      <c r="D1307" s="23"/>
      <c r="E1307" s="23"/>
      <c r="F1307" s="23"/>
      <c r="G1307" s="23"/>
      <c r="H1307" s="40"/>
      <c r="I1307" s="40"/>
      <c r="J1307" s="70"/>
      <c r="K1307" s="23"/>
      <c r="L1307" s="70"/>
      <c r="M1307" s="70"/>
      <c r="N1307" s="23"/>
      <c r="O1307" s="23"/>
      <c r="P1307" s="23"/>
      <c r="Q1307" s="23"/>
      <c r="R1307" s="72"/>
      <c r="S1307" s="23"/>
      <c r="T1307" s="23"/>
      <c r="U1307" s="23"/>
      <c r="V1307" s="23"/>
      <c r="W1307" s="23"/>
      <c r="X1307" s="23"/>
      <c r="Y1307" s="23"/>
      <c r="Z1307" s="23"/>
      <c r="AA1307" s="23"/>
      <c r="AB1307" s="23"/>
      <c r="AC1307" s="23"/>
      <c r="AD1307" s="23"/>
      <c r="AE1307" s="23"/>
    </row>
    <row r="1308" spans="1:31">
      <c r="A1308" s="23"/>
      <c r="B1308" s="40"/>
      <c r="C1308" s="40"/>
      <c r="D1308" s="23"/>
      <c r="E1308" s="23"/>
      <c r="F1308" s="23"/>
      <c r="G1308" s="23"/>
      <c r="H1308" s="40"/>
      <c r="I1308" s="40"/>
      <c r="J1308" s="70"/>
      <c r="K1308" s="23"/>
      <c r="L1308" s="70"/>
      <c r="M1308" s="70"/>
      <c r="N1308" s="23"/>
      <c r="O1308" s="23"/>
      <c r="P1308" s="23"/>
      <c r="Q1308" s="23"/>
      <c r="R1308" s="72"/>
      <c r="S1308" s="23"/>
      <c r="T1308" s="23"/>
      <c r="U1308" s="23"/>
      <c r="V1308" s="23"/>
      <c r="W1308" s="23"/>
      <c r="X1308" s="23"/>
      <c r="Y1308" s="23"/>
      <c r="Z1308" s="23"/>
      <c r="AA1308" s="23"/>
      <c r="AB1308" s="23"/>
      <c r="AC1308" s="23"/>
      <c r="AD1308" s="23"/>
      <c r="AE1308" s="23"/>
    </row>
    <row r="1309" spans="1:31">
      <c r="A1309" s="23"/>
      <c r="B1309" s="40"/>
      <c r="C1309" s="40"/>
      <c r="D1309" s="23"/>
      <c r="E1309" s="23"/>
      <c r="F1309" s="23"/>
      <c r="G1309" s="23"/>
      <c r="H1309" s="40"/>
      <c r="I1309" s="40"/>
      <c r="J1309" s="70"/>
      <c r="K1309" s="23"/>
      <c r="L1309" s="70"/>
      <c r="M1309" s="70"/>
      <c r="N1309" s="23"/>
      <c r="O1309" s="23"/>
      <c r="P1309" s="23"/>
      <c r="Q1309" s="23"/>
      <c r="R1309" s="72"/>
      <c r="S1309" s="23"/>
      <c r="T1309" s="23"/>
      <c r="U1309" s="23"/>
      <c r="V1309" s="23"/>
      <c r="W1309" s="23"/>
      <c r="X1309" s="23"/>
      <c r="Y1309" s="23"/>
      <c r="Z1309" s="23"/>
      <c r="AA1309" s="23"/>
      <c r="AB1309" s="23"/>
      <c r="AC1309" s="23"/>
      <c r="AD1309" s="23"/>
      <c r="AE1309" s="23"/>
    </row>
    <row r="1310" spans="1:31">
      <c r="A1310" s="23"/>
      <c r="B1310" s="40"/>
      <c r="C1310" s="40"/>
      <c r="D1310" s="23"/>
      <c r="E1310" s="23"/>
      <c r="F1310" s="23"/>
      <c r="G1310" s="23"/>
      <c r="H1310" s="23"/>
      <c r="I1310" s="40"/>
      <c r="J1310" s="70"/>
      <c r="K1310" s="23"/>
      <c r="L1310" s="70"/>
      <c r="M1310" s="70"/>
      <c r="N1310" s="23"/>
      <c r="O1310" s="23"/>
      <c r="P1310" s="23"/>
      <c r="Q1310" s="23"/>
      <c r="R1310" s="72"/>
      <c r="S1310" s="23"/>
      <c r="T1310" s="23"/>
      <c r="U1310" s="23"/>
      <c r="V1310" s="23"/>
      <c r="W1310" s="23"/>
      <c r="X1310" s="23"/>
      <c r="Y1310" s="23"/>
      <c r="Z1310" s="23"/>
      <c r="AA1310" s="23"/>
      <c r="AB1310" s="23"/>
      <c r="AC1310" s="23"/>
      <c r="AD1310" s="23"/>
      <c r="AE1310" s="23"/>
    </row>
    <row r="1311" spans="1:31">
      <c r="A1311" s="23"/>
      <c r="B1311" s="40"/>
      <c r="C1311" s="40"/>
      <c r="D1311" s="23"/>
      <c r="E1311" s="23"/>
      <c r="F1311" s="23"/>
      <c r="G1311" s="23"/>
      <c r="H1311" s="23"/>
      <c r="I1311" s="40"/>
      <c r="J1311" s="70"/>
      <c r="K1311" s="23"/>
      <c r="L1311" s="70"/>
      <c r="M1311" s="70"/>
      <c r="N1311" s="23"/>
      <c r="O1311" s="23"/>
      <c r="P1311" s="23"/>
      <c r="Q1311" s="23"/>
      <c r="R1311" s="72"/>
      <c r="S1311" s="23"/>
      <c r="T1311" s="23"/>
      <c r="U1311" s="23"/>
      <c r="V1311" s="23"/>
      <c r="W1311" s="23"/>
      <c r="X1311" s="23"/>
      <c r="Y1311" s="23"/>
      <c r="Z1311" s="23"/>
      <c r="AA1311" s="23"/>
      <c r="AB1311" s="23"/>
      <c r="AC1311" s="23"/>
      <c r="AD1311" s="23"/>
      <c r="AE1311" s="23"/>
    </row>
    <row r="1312" spans="1:31" ht="24" customHeight="1">
      <c r="A1312" s="23"/>
      <c r="B1312" s="40"/>
      <c r="C1312" s="40"/>
      <c r="D1312" s="23"/>
      <c r="E1312" s="23"/>
      <c r="F1312" s="23"/>
      <c r="G1312" s="23"/>
      <c r="H1312" s="40"/>
      <c r="I1312" s="40"/>
      <c r="J1312" s="70"/>
      <c r="K1312" s="23"/>
      <c r="L1312" s="70"/>
      <c r="M1312" s="70"/>
      <c r="N1312" s="23"/>
      <c r="O1312" s="23"/>
      <c r="P1312" s="23"/>
      <c r="Q1312" s="23"/>
      <c r="R1312" s="72"/>
      <c r="S1312" s="23"/>
      <c r="T1312" s="23"/>
      <c r="U1312" s="23"/>
      <c r="V1312" s="23"/>
      <c r="W1312" s="23"/>
      <c r="X1312" s="23"/>
      <c r="Y1312" s="23"/>
      <c r="Z1312" s="23"/>
      <c r="AA1312" s="23"/>
      <c r="AB1312" s="23"/>
      <c r="AC1312" s="23"/>
      <c r="AD1312" s="23"/>
      <c r="AE1312" s="23"/>
    </row>
    <row r="1313" spans="1:31">
      <c r="A1313" s="23"/>
      <c r="B1313" s="40"/>
      <c r="C1313" s="40"/>
      <c r="D1313" s="23"/>
      <c r="E1313" s="23"/>
      <c r="F1313" s="23"/>
      <c r="G1313" s="23"/>
      <c r="H1313" s="40"/>
      <c r="I1313" s="40"/>
      <c r="J1313" s="70"/>
      <c r="K1313" s="23"/>
      <c r="L1313" s="70"/>
      <c r="M1313" s="70"/>
      <c r="N1313" s="23"/>
      <c r="O1313" s="23"/>
      <c r="P1313" s="23"/>
      <c r="Q1313" s="23"/>
      <c r="R1313" s="72"/>
      <c r="S1313" s="23"/>
      <c r="T1313" s="23"/>
      <c r="U1313" s="23"/>
      <c r="V1313" s="23"/>
      <c r="W1313" s="23"/>
      <c r="X1313" s="23"/>
      <c r="Y1313" s="23"/>
      <c r="Z1313" s="23"/>
      <c r="AA1313" s="23"/>
      <c r="AB1313" s="23"/>
      <c r="AC1313" s="23"/>
      <c r="AD1313" s="23"/>
      <c r="AE1313" s="23"/>
    </row>
    <row r="1314" spans="1:31">
      <c r="A1314" s="23"/>
      <c r="B1314" s="40"/>
      <c r="C1314" s="40"/>
      <c r="D1314" s="23"/>
      <c r="E1314" s="23"/>
      <c r="F1314" s="23"/>
      <c r="G1314" s="23"/>
      <c r="H1314" s="40"/>
      <c r="I1314" s="40"/>
      <c r="J1314" s="70"/>
      <c r="K1314" s="23"/>
      <c r="L1314" s="70"/>
      <c r="M1314" s="70"/>
      <c r="N1314" s="23"/>
      <c r="O1314" s="23"/>
      <c r="P1314" s="23"/>
      <c r="Q1314" s="23"/>
      <c r="R1314" s="72"/>
      <c r="S1314" s="23"/>
      <c r="T1314" s="23"/>
      <c r="U1314" s="23"/>
      <c r="V1314" s="23"/>
      <c r="W1314" s="23"/>
      <c r="X1314" s="23"/>
      <c r="Y1314" s="23"/>
      <c r="Z1314" s="23"/>
      <c r="AA1314" s="23"/>
      <c r="AB1314" s="23"/>
      <c r="AC1314" s="23"/>
      <c r="AD1314" s="23"/>
      <c r="AE1314" s="23"/>
    </row>
    <row r="1315" spans="1:31">
      <c r="A1315" s="23"/>
      <c r="B1315" s="40"/>
      <c r="C1315" s="40"/>
      <c r="D1315" s="23"/>
      <c r="E1315" s="23"/>
      <c r="F1315" s="23"/>
      <c r="G1315" s="23"/>
      <c r="H1315" s="40"/>
      <c r="I1315" s="40"/>
      <c r="J1315" s="70"/>
      <c r="K1315" s="23"/>
      <c r="L1315" s="70"/>
      <c r="M1315" s="70"/>
      <c r="N1315" s="23"/>
      <c r="O1315" s="23"/>
      <c r="P1315" s="23"/>
      <c r="Q1315" s="23"/>
      <c r="R1315" s="72"/>
      <c r="S1315" s="23"/>
      <c r="T1315" s="23"/>
      <c r="U1315" s="23"/>
      <c r="V1315" s="23"/>
      <c r="W1315" s="23"/>
      <c r="X1315" s="23"/>
      <c r="Y1315" s="23"/>
      <c r="Z1315" s="23"/>
      <c r="AA1315" s="23"/>
      <c r="AB1315" s="23"/>
      <c r="AC1315" s="23"/>
      <c r="AD1315" s="23"/>
      <c r="AE1315" s="23"/>
    </row>
    <row r="1316" spans="1:31">
      <c r="A1316" s="23"/>
      <c r="B1316" s="40"/>
      <c r="C1316" s="40"/>
      <c r="D1316" s="23"/>
      <c r="E1316" s="23"/>
      <c r="F1316" s="23"/>
      <c r="G1316" s="23"/>
      <c r="H1316" s="40"/>
      <c r="I1316" s="40"/>
      <c r="J1316" s="70"/>
      <c r="K1316" s="23"/>
      <c r="L1316" s="70"/>
      <c r="M1316" s="70"/>
      <c r="N1316" s="23"/>
      <c r="O1316" s="23"/>
      <c r="P1316" s="23"/>
      <c r="Q1316" s="23"/>
      <c r="R1316" s="72"/>
      <c r="S1316" s="23"/>
      <c r="T1316" s="23"/>
      <c r="U1316" s="23"/>
      <c r="V1316" s="23"/>
      <c r="W1316" s="23"/>
      <c r="X1316" s="23"/>
      <c r="Y1316" s="23"/>
      <c r="Z1316" s="23"/>
      <c r="AA1316" s="23"/>
      <c r="AB1316" s="23"/>
      <c r="AC1316" s="23"/>
      <c r="AD1316" s="23"/>
      <c r="AE1316" s="23"/>
    </row>
    <row r="1317" spans="1:31">
      <c r="A1317" s="23"/>
      <c r="B1317" s="40"/>
      <c r="C1317" s="40"/>
      <c r="D1317" s="23"/>
      <c r="E1317" s="23"/>
      <c r="F1317" s="23"/>
      <c r="G1317" s="23"/>
      <c r="H1317" s="23"/>
      <c r="I1317" s="40"/>
      <c r="J1317" s="70"/>
      <c r="K1317" s="23"/>
      <c r="L1317" s="70"/>
      <c r="M1317" s="70"/>
      <c r="N1317" s="23"/>
      <c r="O1317" s="23"/>
      <c r="P1317" s="23"/>
      <c r="Q1317" s="23"/>
      <c r="R1317" s="72"/>
      <c r="S1317" s="23"/>
      <c r="T1317" s="23"/>
      <c r="U1317" s="23"/>
      <c r="V1317" s="23"/>
      <c r="W1317" s="23"/>
      <c r="X1317" s="23"/>
      <c r="Y1317" s="23"/>
      <c r="Z1317" s="23"/>
      <c r="AA1317" s="23"/>
      <c r="AB1317" s="23"/>
      <c r="AC1317" s="23"/>
      <c r="AD1317" s="23"/>
      <c r="AE1317" s="23"/>
    </row>
    <row r="1318" spans="1:31">
      <c r="A1318" s="23"/>
      <c r="B1318" s="40"/>
      <c r="C1318" s="40"/>
      <c r="D1318" s="23"/>
      <c r="E1318" s="23"/>
      <c r="F1318" s="23"/>
      <c r="G1318" s="23"/>
      <c r="H1318" s="23"/>
      <c r="I1318" s="40"/>
      <c r="J1318" s="70"/>
      <c r="K1318" s="23"/>
      <c r="L1318" s="70"/>
      <c r="M1318" s="70"/>
      <c r="N1318" s="23"/>
      <c r="O1318" s="23"/>
      <c r="P1318" s="23"/>
      <c r="Q1318" s="23"/>
      <c r="R1318" s="72"/>
      <c r="S1318" s="23"/>
      <c r="T1318" s="23"/>
      <c r="U1318" s="23"/>
      <c r="V1318" s="23"/>
      <c r="W1318" s="23"/>
      <c r="X1318" s="23"/>
      <c r="Y1318" s="23"/>
      <c r="Z1318" s="23"/>
      <c r="AA1318" s="23"/>
      <c r="AB1318" s="23"/>
      <c r="AC1318" s="23"/>
      <c r="AD1318" s="23"/>
      <c r="AE1318" s="23"/>
    </row>
    <row r="1319" spans="1:31">
      <c r="A1319" s="23"/>
      <c r="B1319" s="40"/>
      <c r="C1319" s="40"/>
      <c r="D1319" s="23"/>
      <c r="E1319" s="23"/>
      <c r="F1319" s="23"/>
      <c r="G1319" s="23"/>
      <c r="H1319" s="23"/>
      <c r="I1319" s="40"/>
      <c r="J1319" s="70"/>
      <c r="K1319" s="23"/>
      <c r="L1319" s="70"/>
      <c r="M1319" s="70"/>
      <c r="N1319" s="23"/>
      <c r="O1319" s="23"/>
      <c r="P1319" s="23"/>
      <c r="Q1319" s="23"/>
      <c r="R1319" s="72"/>
      <c r="S1319" s="23"/>
      <c r="T1319" s="23"/>
      <c r="U1319" s="23"/>
      <c r="V1319" s="23"/>
      <c r="W1319" s="23"/>
      <c r="X1319" s="23"/>
      <c r="Y1319" s="23"/>
      <c r="Z1319" s="23"/>
      <c r="AA1319" s="23"/>
      <c r="AB1319" s="23"/>
      <c r="AC1319" s="23"/>
      <c r="AD1319" s="23"/>
      <c r="AE1319" s="23"/>
    </row>
    <row r="1320" spans="1:31">
      <c r="A1320" s="23"/>
      <c r="B1320" s="40"/>
      <c r="C1320" s="40"/>
      <c r="D1320" s="23"/>
      <c r="E1320" s="23"/>
      <c r="F1320" s="23"/>
      <c r="G1320" s="23"/>
      <c r="H1320" s="23"/>
      <c r="I1320" s="40"/>
      <c r="J1320" s="70"/>
      <c r="K1320" s="23"/>
      <c r="L1320" s="70"/>
      <c r="M1320" s="70"/>
      <c r="N1320" s="23"/>
      <c r="O1320" s="23"/>
      <c r="P1320" s="23"/>
      <c r="Q1320" s="23"/>
      <c r="R1320" s="72"/>
      <c r="S1320" s="23"/>
      <c r="T1320" s="23"/>
      <c r="U1320" s="23"/>
      <c r="V1320" s="23"/>
      <c r="W1320" s="23"/>
      <c r="X1320" s="23"/>
      <c r="Y1320" s="23"/>
      <c r="Z1320" s="23"/>
      <c r="AA1320" s="23"/>
      <c r="AB1320" s="23"/>
      <c r="AC1320" s="23"/>
      <c r="AD1320" s="23"/>
      <c r="AE1320" s="23"/>
    </row>
    <row r="1321" spans="1:31" ht="24" customHeight="1">
      <c r="A1321" s="23"/>
      <c r="B1321" s="40"/>
      <c r="C1321" s="40"/>
      <c r="D1321" s="23"/>
      <c r="E1321" s="23"/>
      <c r="F1321" s="23"/>
      <c r="G1321" s="23"/>
      <c r="H1321" s="40"/>
      <c r="I1321" s="40"/>
      <c r="J1321" s="70"/>
      <c r="K1321" s="23"/>
      <c r="L1321" s="70"/>
      <c r="M1321" s="70"/>
      <c r="N1321" s="23"/>
      <c r="O1321" s="23"/>
      <c r="P1321" s="23"/>
      <c r="Q1321" s="23"/>
      <c r="R1321" s="72"/>
      <c r="S1321" s="23"/>
      <c r="T1321" s="23"/>
      <c r="U1321" s="23"/>
      <c r="V1321" s="23"/>
      <c r="W1321" s="23"/>
      <c r="X1321" s="23"/>
      <c r="Y1321" s="23"/>
      <c r="Z1321" s="23"/>
      <c r="AA1321" s="23"/>
      <c r="AB1321" s="23"/>
      <c r="AC1321" s="23"/>
      <c r="AD1321" s="23"/>
      <c r="AE1321" s="23"/>
    </row>
    <row r="1322" spans="1:31">
      <c r="A1322" s="23"/>
      <c r="B1322" s="40"/>
      <c r="C1322" s="40"/>
      <c r="D1322" s="23"/>
      <c r="E1322" s="23"/>
      <c r="F1322" s="23"/>
      <c r="G1322" s="23"/>
      <c r="H1322" s="40"/>
      <c r="I1322" s="40"/>
      <c r="J1322" s="70"/>
      <c r="K1322" s="23"/>
      <c r="L1322" s="70"/>
      <c r="M1322" s="70"/>
      <c r="N1322" s="23"/>
      <c r="O1322" s="23"/>
      <c r="P1322" s="23"/>
      <c r="Q1322" s="23"/>
      <c r="R1322" s="72"/>
      <c r="S1322" s="23"/>
      <c r="T1322" s="23"/>
      <c r="U1322" s="23"/>
      <c r="V1322" s="23"/>
      <c r="W1322" s="23"/>
      <c r="X1322" s="23"/>
      <c r="Y1322" s="23"/>
      <c r="Z1322" s="23"/>
      <c r="AA1322" s="23"/>
      <c r="AB1322" s="23"/>
      <c r="AC1322" s="23"/>
      <c r="AD1322" s="23"/>
      <c r="AE1322" s="23"/>
    </row>
    <row r="1323" spans="1:31">
      <c r="A1323" s="23"/>
      <c r="B1323" s="40"/>
      <c r="C1323" s="40"/>
      <c r="D1323" s="23"/>
      <c r="E1323" s="23"/>
      <c r="F1323" s="23"/>
      <c r="G1323" s="23"/>
      <c r="H1323" s="40"/>
      <c r="I1323" s="40"/>
      <c r="J1323" s="70"/>
      <c r="K1323" s="23"/>
      <c r="L1323" s="70"/>
      <c r="M1323" s="70"/>
      <c r="N1323" s="23"/>
      <c r="O1323" s="23"/>
      <c r="P1323" s="23"/>
      <c r="Q1323" s="23"/>
      <c r="R1323" s="72"/>
      <c r="S1323" s="23"/>
      <c r="T1323" s="23"/>
      <c r="U1323" s="23"/>
      <c r="V1323" s="23"/>
      <c r="W1323" s="23"/>
      <c r="X1323" s="23"/>
      <c r="Y1323" s="23"/>
      <c r="Z1323" s="23"/>
      <c r="AA1323" s="23"/>
      <c r="AB1323" s="23"/>
      <c r="AC1323" s="23"/>
      <c r="AD1323" s="23"/>
      <c r="AE1323" s="23"/>
    </row>
    <row r="1324" spans="1:31">
      <c r="A1324" s="23"/>
      <c r="B1324" s="40"/>
      <c r="C1324" s="40"/>
      <c r="D1324" s="23"/>
      <c r="E1324" s="23"/>
      <c r="F1324" s="23"/>
      <c r="G1324" s="23"/>
      <c r="H1324" s="40"/>
      <c r="I1324" s="40"/>
      <c r="J1324" s="70"/>
      <c r="K1324" s="23"/>
      <c r="L1324" s="70"/>
      <c r="M1324" s="70"/>
      <c r="N1324" s="23"/>
      <c r="O1324" s="23"/>
      <c r="P1324" s="23"/>
      <c r="Q1324" s="23"/>
      <c r="R1324" s="72"/>
      <c r="S1324" s="23"/>
      <c r="T1324" s="23"/>
      <c r="U1324" s="23"/>
      <c r="V1324" s="23"/>
      <c r="W1324" s="23"/>
      <c r="X1324" s="23"/>
      <c r="Y1324" s="23"/>
      <c r="Z1324" s="23"/>
      <c r="AA1324" s="23"/>
      <c r="AB1324" s="23"/>
      <c r="AC1324" s="23"/>
      <c r="AD1324" s="23"/>
      <c r="AE1324" s="23"/>
    </row>
    <row r="1325" spans="1:31">
      <c r="A1325" s="23"/>
      <c r="B1325" s="40"/>
      <c r="C1325" s="40"/>
      <c r="D1325" s="23"/>
      <c r="E1325" s="23"/>
      <c r="F1325" s="23"/>
      <c r="G1325" s="23"/>
      <c r="H1325" s="40"/>
      <c r="I1325" s="40"/>
      <c r="J1325" s="70"/>
      <c r="K1325" s="23"/>
      <c r="L1325" s="70"/>
      <c r="M1325" s="70"/>
      <c r="N1325" s="23"/>
      <c r="O1325" s="23"/>
      <c r="P1325" s="23"/>
      <c r="Q1325" s="23"/>
      <c r="R1325" s="72"/>
      <c r="S1325" s="23"/>
      <c r="T1325" s="23"/>
      <c r="U1325" s="23"/>
      <c r="V1325" s="23"/>
      <c r="W1325" s="23"/>
      <c r="X1325" s="23"/>
      <c r="Y1325" s="23"/>
      <c r="Z1325" s="23"/>
      <c r="AA1325" s="23"/>
      <c r="AB1325" s="23"/>
      <c r="AC1325" s="23"/>
      <c r="AD1325" s="23"/>
      <c r="AE1325" s="23"/>
    </row>
    <row r="1326" spans="1:31">
      <c r="A1326" s="23"/>
      <c r="B1326" s="40"/>
      <c r="C1326" s="40"/>
      <c r="D1326" s="23"/>
      <c r="E1326" s="23"/>
      <c r="F1326" s="23"/>
      <c r="G1326" s="23"/>
      <c r="H1326" s="40"/>
      <c r="I1326" s="40"/>
      <c r="J1326" s="70"/>
      <c r="K1326" s="23"/>
      <c r="L1326" s="70"/>
      <c r="M1326" s="70"/>
      <c r="N1326" s="23"/>
      <c r="O1326" s="23"/>
      <c r="P1326" s="23"/>
      <c r="Q1326" s="23"/>
      <c r="R1326" s="72"/>
      <c r="S1326" s="23"/>
      <c r="T1326" s="23"/>
      <c r="U1326" s="23"/>
      <c r="V1326" s="23"/>
      <c r="W1326" s="23"/>
      <c r="X1326" s="23"/>
      <c r="Y1326" s="23"/>
      <c r="Z1326" s="23"/>
      <c r="AA1326" s="23"/>
      <c r="AB1326" s="23"/>
      <c r="AC1326" s="23"/>
      <c r="AD1326" s="23"/>
      <c r="AE1326" s="23"/>
    </row>
    <row r="1327" spans="1:31">
      <c r="A1327" s="23"/>
      <c r="B1327" s="40"/>
      <c r="C1327" s="40"/>
      <c r="D1327" s="23"/>
      <c r="E1327" s="23"/>
      <c r="F1327" s="23"/>
      <c r="G1327" s="23"/>
      <c r="H1327" s="23"/>
      <c r="I1327" s="40"/>
      <c r="J1327" s="70"/>
      <c r="K1327" s="23"/>
      <c r="L1327" s="70"/>
      <c r="M1327" s="70"/>
      <c r="N1327" s="23"/>
      <c r="O1327" s="23"/>
      <c r="P1327" s="23"/>
      <c r="Q1327" s="23"/>
      <c r="R1327" s="72"/>
      <c r="S1327" s="23"/>
      <c r="T1327" s="23"/>
      <c r="U1327" s="23"/>
      <c r="V1327" s="23"/>
      <c r="W1327" s="23"/>
      <c r="X1327" s="23"/>
      <c r="Y1327" s="23"/>
      <c r="Z1327" s="23"/>
      <c r="AA1327" s="23"/>
      <c r="AB1327" s="23"/>
      <c r="AC1327" s="23"/>
      <c r="AD1327" s="23"/>
      <c r="AE1327" s="23"/>
    </row>
    <row r="1328" spans="1:31">
      <c r="A1328" s="23"/>
      <c r="B1328" s="40"/>
      <c r="C1328" s="40"/>
      <c r="D1328" s="23"/>
      <c r="E1328" s="23"/>
      <c r="F1328" s="23"/>
      <c r="G1328" s="23"/>
      <c r="H1328" s="23"/>
      <c r="I1328" s="40"/>
      <c r="J1328" s="70"/>
      <c r="K1328" s="23"/>
      <c r="L1328" s="70"/>
      <c r="M1328" s="70"/>
      <c r="N1328" s="23"/>
      <c r="O1328" s="23"/>
      <c r="P1328" s="23"/>
      <c r="Q1328" s="23"/>
      <c r="R1328" s="72"/>
      <c r="S1328" s="23"/>
      <c r="T1328" s="23"/>
      <c r="U1328" s="23"/>
      <c r="V1328" s="23"/>
      <c r="W1328" s="23"/>
      <c r="X1328" s="23"/>
      <c r="Y1328" s="23"/>
      <c r="Z1328" s="23"/>
      <c r="AA1328" s="23"/>
      <c r="AB1328" s="23"/>
      <c r="AC1328" s="23"/>
      <c r="AD1328" s="23"/>
      <c r="AE1328" s="23"/>
    </row>
    <row r="1329" spans="1:31" ht="24" customHeight="1">
      <c r="A1329" s="23"/>
      <c r="B1329" s="40"/>
      <c r="C1329" s="40"/>
      <c r="D1329" s="23"/>
      <c r="E1329" s="23"/>
      <c r="F1329" s="23"/>
      <c r="G1329" s="23"/>
      <c r="H1329" s="40"/>
      <c r="I1329" s="40"/>
      <c r="J1329" s="70"/>
      <c r="K1329" s="23"/>
      <c r="L1329" s="70"/>
      <c r="M1329" s="70"/>
      <c r="N1329" s="23"/>
      <c r="O1329" s="23"/>
      <c r="P1329" s="23"/>
      <c r="Q1329" s="23"/>
      <c r="R1329" s="72"/>
      <c r="S1329" s="23"/>
      <c r="T1329" s="23"/>
      <c r="U1329" s="23"/>
      <c r="V1329" s="23"/>
      <c r="W1329" s="23"/>
      <c r="X1329" s="23"/>
      <c r="Y1329" s="23"/>
      <c r="Z1329" s="23"/>
      <c r="AA1329" s="23"/>
      <c r="AB1329" s="23"/>
      <c r="AC1329" s="23"/>
      <c r="AD1329" s="23"/>
      <c r="AE1329" s="23"/>
    </row>
    <row r="1330" spans="1:31">
      <c r="A1330" s="23"/>
      <c r="B1330" s="40"/>
      <c r="C1330" s="40"/>
      <c r="D1330" s="23"/>
      <c r="E1330" s="23"/>
      <c r="F1330" s="23"/>
      <c r="G1330" s="23"/>
      <c r="H1330" s="40"/>
      <c r="I1330" s="40"/>
      <c r="J1330" s="70"/>
      <c r="K1330" s="23"/>
      <c r="L1330" s="70"/>
      <c r="M1330" s="70"/>
      <c r="N1330" s="23"/>
      <c r="O1330" s="23"/>
      <c r="P1330" s="23"/>
      <c r="Q1330" s="23"/>
      <c r="R1330" s="72"/>
      <c r="S1330" s="23"/>
      <c r="T1330" s="23"/>
      <c r="U1330" s="23"/>
      <c r="V1330" s="23"/>
      <c r="W1330" s="23"/>
      <c r="X1330" s="23"/>
      <c r="Y1330" s="23"/>
      <c r="Z1330" s="23"/>
      <c r="AA1330" s="23"/>
      <c r="AB1330" s="23"/>
      <c r="AC1330" s="23"/>
      <c r="AD1330" s="23"/>
      <c r="AE1330" s="23"/>
    </row>
    <row r="1331" spans="1:31">
      <c r="A1331" s="23"/>
      <c r="B1331" s="40"/>
      <c r="C1331" s="40"/>
      <c r="D1331" s="23"/>
      <c r="E1331" s="23"/>
      <c r="F1331" s="23"/>
      <c r="G1331" s="23"/>
      <c r="H1331" s="40"/>
      <c r="I1331" s="40"/>
      <c r="J1331" s="70"/>
      <c r="K1331" s="23"/>
      <c r="L1331" s="70"/>
      <c r="M1331" s="70"/>
      <c r="N1331" s="23"/>
      <c r="O1331" s="23"/>
      <c r="P1331" s="23"/>
      <c r="Q1331" s="23"/>
      <c r="R1331" s="72"/>
      <c r="S1331" s="23"/>
      <c r="T1331" s="23"/>
      <c r="U1331" s="23"/>
      <c r="V1331" s="23"/>
      <c r="W1331" s="23"/>
      <c r="X1331" s="23"/>
      <c r="Y1331" s="23"/>
      <c r="Z1331" s="23"/>
      <c r="AA1331" s="23"/>
      <c r="AB1331" s="23"/>
      <c r="AC1331" s="23"/>
      <c r="AD1331" s="23"/>
      <c r="AE1331" s="23"/>
    </row>
    <row r="1332" spans="1:31">
      <c r="A1332" s="23"/>
      <c r="B1332" s="40"/>
      <c r="C1332" s="40"/>
      <c r="D1332" s="23"/>
      <c r="E1332" s="23"/>
      <c r="F1332" s="23"/>
      <c r="G1332" s="23"/>
      <c r="H1332" s="40"/>
      <c r="I1332" s="40"/>
      <c r="J1332" s="70"/>
      <c r="K1332" s="23"/>
      <c r="L1332" s="70"/>
      <c r="M1332" s="70"/>
      <c r="N1332" s="23"/>
      <c r="O1332" s="23"/>
      <c r="P1332" s="23"/>
      <c r="Q1332" s="23"/>
      <c r="R1332" s="72"/>
      <c r="S1332" s="23"/>
      <c r="T1332" s="23"/>
      <c r="U1332" s="23"/>
      <c r="V1332" s="23"/>
      <c r="W1332" s="23"/>
      <c r="X1332" s="23"/>
      <c r="Y1332" s="23"/>
      <c r="Z1332" s="23"/>
      <c r="AA1332" s="23"/>
      <c r="AB1332" s="23"/>
      <c r="AC1332" s="23"/>
      <c r="AD1332" s="23"/>
      <c r="AE1332" s="23"/>
    </row>
    <row r="1333" spans="1:31">
      <c r="A1333" s="23"/>
      <c r="B1333" s="40"/>
      <c r="C1333" s="40"/>
      <c r="D1333" s="23"/>
      <c r="E1333" s="23"/>
      <c r="F1333" s="23"/>
      <c r="G1333" s="23"/>
      <c r="H1333" s="40"/>
      <c r="I1333" s="40"/>
      <c r="J1333" s="70"/>
      <c r="K1333" s="23"/>
      <c r="L1333" s="70"/>
      <c r="M1333" s="70"/>
      <c r="N1333" s="23"/>
      <c r="O1333" s="23"/>
      <c r="P1333" s="23"/>
      <c r="Q1333" s="23"/>
      <c r="R1333" s="72"/>
      <c r="S1333" s="23"/>
      <c r="T1333" s="23"/>
      <c r="U1333" s="23"/>
      <c r="V1333" s="23"/>
      <c r="W1333" s="23"/>
      <c r="X1333" s="23"/>
      <c r="Y1333" s="23"/>
      <c r="Z1333" s="23"/>
      <c r="AA1333" s="23"/>
      <c r="AB1333" s="23"/>
      <c r="AC1333" s="23"/>
      <c r="AD1333" s="23"/>
      <c r="AE1333" s="23"/>
    </row>
    <row r="1334" spans="1:31">
      <c r="A1334" s="23"/>
      <c r="B1334" s="40"/>
      <c r="C1334" s="40"/>
      <c r="D1334" s="23"/>
      <c r="E1334" s="23"/>
      <c r="F1334" s="23"/>
      <c r="G1334" s="23"/>
      <c r="H1334" s="23"/>
      <c r="I1334" s="40"/>
      <c r="J1334" s="70"/>
      <c r="K1334" s="23"/>
      <c r="L1334" s="70"/>
      <c r="M1334" s="70"/>
      <c r="N1334" s="23"/>
      <c r="O1334" s="23"/>
      <c r="P1334" s="23"/>
      <c r="Q1334" s="23"/>
      <c r="R1334" s="72"/>
      <c r="S1334" s="23"/>
      <c r="T1334" s="23"/>
      <c r="U1334" s="23"/>
      <c r="V1334" s="23"/>
      <c r="W1334" s="23"/>
      <c r="X1334" s="23"/>
      <c r="Y1334" s="23"/>
      <c r="Z1334" s="23"/>
      <c r="AA1334" s="23"/>
      <c r="AB1334" s="23"/>
      <c r="AC1334" s="23"/>
      <c r="AD1334" s="23"/>
      <c r="AE1334" s="23"/>
    </row>
    <row r="1335" spans="1:31">
      <c r="A1335" s="23"/>
      <c r="B1335" s="40"/>
      <c r="C1335" s="40"/>
      <c r="D1335" s="23"/>
      <c r="E1335" s="23"/>
      <c r="F1335" s="23"/>
      <c r="G1335" s="23"/>
      <c r="H1335" s="23"/>
      <c r="I1335" s="40"/>
      <c r="J1335" s="70"/>
      <c r="K1335" s="23"/>
      <c r="L1335" s="70"/>
      <c r="M1335" s="70"/>
      <c r="N1335" s="23"/>
      <c r="O1335" s="23"/>
      <c r="P1335" s="23"/>
      <c r="Q1335" s="23"/>
      <c r="R1335" s="72"/>
      <c r="S1335" s="23"/>
      <c r="T1335" s="23"/>
      <c r="U1335" s="23"/>
      <c r="V1335" s="23"/>
      <c r="W1335" s="23"/>
      <c r="X1335" s="23"/>
      <c r="Y1335" s="23"/>
      <c r="Z1335" s="23"/>
      <c r="AA1335" s="23"/>
      <c r="AB1335" s="23"/>
      <c r="AC1335" s="23"/>
      <c r="AD1335" s="23"/>
      <c r="AE1335" s="23"/>
    </row>
    <row r="1336" spans="1:31">
      <c r="A1336" s="23"/>
      <c r="B1336" s="40"/>
      <c r="C1336" s="40"/>
      <c r="D1336" s="23"/>
      <c r="E1336" s="23"/>
      <c r="F1336" s="23"/>
      <c r="G1336" s="23"/>
      <c r="H1336" s="23"/>
      <c r="I1336" s="40"/>
      <c r="J1336" s="70"/>
      <c r="K1336" s="23"/>
      <c r="L1336" s="70"/>
      <c r="M1336" s="70"/>
      <c r="N1336" s="23"/>
      <c r="O1336" s="23"/>
      <c r="P1336" s="23"/>
      <c r="Q1336" s="23"/>
      <c r="R1336" s="72"/>
      <c r="S1336" s="23"/>
      <c r="T1336" s="23"/>
      <c r="U1336" s="23"/>
      <c r="V1336" s="23"/>
      <c r="W1336" s="23"/>
      <c r="X1336" s="23"/>
      <c r="Y1336" s="23"/>
      <c r="Z1336" s="23"/>
      <c r="AA1336" s="23"/>
      <c r="AB1336" s="23"/>
      <c r="AC1336" s="23"/>
      <c r="AD1336" s="23"/>
      <c r="AE1336" s="23"/>
    </row>
    <row r="1337" spans="1:31">
      <c r="A1337" s="23"/>
      <c r="B1337" s="40"/>
      <c r="C1337" s="40"/>
      <c r="D1337" s="23"/>
      <c r="E1337" s="23"/>
      <c r="F1337" s="23"/>
      <c r="G1337" s="23"/>
      <c r="H1337" s="23"/>
      <c r="I1337" s="40"/>
      <c r="J1337" s="70"/>
      <c r="K1337" s="23"/>
      <c r="L1337" s="70"/>
      <c r="M1337" s="70"/>
      <c r="N1337" s="23"/>
      <c r="O1337" s="23"/>
      <c r="P1337" s="23"/>
      <c r="Q1337" s="23"/>
      <c r="R1337" s="72"/>
      <c r="S1337" s="23"/>
      <c r="T1337" s="23"/>
      <c r="U1337" s="23"/>
      <c r="V1337" s="23"/>
      <c r="W1337" s="23"/>
      <c r="X1337" s="23"/>
      <c r="Y1337" s="23"/>
      <c r="Z1337" s="23"/>
      <c r="AA1337" s="23"/>
      <c r="AB1337" s="23"/>
      <c r="AC1337" s="23"/>
      <c r="AD1337" s="23"/>
      <c r="AE1337" s="23"/>
    </row>
    <row r="1338" spans="1:31" ht="24" customHeight="1">
      <c r="A1338" s="23"/>
      <c r="B1338" s="40"/>
      <c r="C1338" s="40"/>
      <c r="D1338" s="23"/>
      <c r="E1338" s="23"/>
      <c r="F1338" s="23"/>
      <c r="G1338" s="23"/>
      <c r="H1338" s="40"/>
      <c r="I1338" s="40"/>
      <c r="J1338" s="70"/>
      <c r="K1338" s="23"/>
      <c r="L1338" s="70"/>
      <c r="M1338" s="70"/>
      <c r="N1338" s="23"/>
      <c r="O1338" s="23"/>
      <c r="P1338" s="23"/>
      <c r="Q1338" s="23"/>
      <c r="R1338" s="72"/>
      <c r="S1338" s="23"/>
      <c r="T1338" s="23"/>
      <c r="U1338" s="23"/>
      <c r="V1338" s="23"/>
      <c r="W1338" s="23"/>
      <c r="X1338" s="23"/>
      <c r="Y1338" s="23"/>
      <c r="Z1338" s="23"/>
      <c r="AA1338" s="23"/>
      <c r="AB1338" s="23"/>
      <c r="AC1338" s="23"/>
      <c r="AD1338" s="23"/>
      <c r="AE1338" s="23"/>
    </row>
    <row r="1339" spans="1:31">
      <c r="A1339" s="23"/>
      <c r="B1339" s="40"/>
      <c r="C1339" s="40"/>
      <c r="D1339" s="23"/>
      <c r="E1339" s="23"/>
      <c r="F1339" s="23"/>
      <c r="G1339" s="23"/>
      <c r="H1339" s="40"/>
      <c r="I1339" s="40"/>
      <c r="J1339" s="70"/>
      <c r="K1339" s="23"/>
      <c r="L1339" s="70"/>
      <c r="M1339" s="70"/>
      <c r="N1339" s="23"/>
      <c r="O1339" s="23"/>
      <c r="P1339" s="23"/>
      <c r="Q1339" s="23"/>
      <c r="R1339" s="72"/>
      <c r="S1339" s="23"/>
      <c r="T1339" s="23"/>
      <c r="U1339" s="23"/>
      <c r="V1339" s="23"/>
      <c r="W1339" s="23"/>
      <c r="X1339" s="23"/>
      <c r="Y1339" s="23"/>
      <c r="Z1339" s="23"/>
      <c r="AA1339" s="23"/>
      <c r="AB1339" s="23"/>
      <c r="AC1339" s="23"/>
      <c r="AD1339" s="23"/>
      <c r="AE1339" s="23"/>
    </row>
    <row r="1340" spans="1:31">
      <c r="A1340" s="23"/>
      <c r="B1340" s="40"/>
      <c r="C1340" s="40"/>
      <c r="D1340" s="23"/>
      <c r="E1340" s="23"/>
      <c r="F1340" s="23"/>
      <c r="G1340" s="23"/>
      <c r="H1340" s="40"/>
      <c r="I1340" s="40"/>
      <c r="J1340" s="70"/>
      <c r="K1340" s="23"/>
      <c r="L1340" s="70"/>
      <c r="M1340" s="70"/>
      <c r="N1340" s="23"/>
      <c r="O1340" s="23"/>
      <c r="P1340" s="23"/>
      <c r="Q1340" s="23"/>
      <c r="R1340" s="72"/>
      <c r="S1340" s="23"/>
      <c r="T1340" s="23"/>
      <c r="U1340" s="23"/>
      <c r="V1340" s="23"/>
      <c r="W1340" s="23"/>
      <c r="X1340" s="23"/>
      <c r="Y1340" s="23"/>
      <c r="Z1340" s="23"/>
      <c r="AA1340" s="23"/>
      <c r="AB1340" s="23"/>
      <c r="AC1340" s="23"/>
      <c r="AD1340" s="23"/>
      <c r="AE1340" s="23"/>
    </row>
    <row r="1341" spans="1:31">
      <c r="A1341" s="23"/>
      <c r="B1341" s="40"/>
      <c r="C1341" s="40"/>
      <c r="D1341" s="23"/>
      <c r="E1341" s="23"/>
      <c r="F1341" s="23"/>
      <c r="G1341" s="23"/>
      <c r="H1341" s="40"/>
      <c r="I1341" s="40"/>
      <c r="J1341" s="70"/>
      <c r="K1341" s="23"/>
      <c r="L1341" s="70"/>
      <c r="M1341" s="70"/>
      <c r="N1341" s="23"/>
      <c r="O1341" s="70"/>
      <c r="P1341" s="23"/>
      <c r="Q1341" s="23"/>
      <c r="R1341" s="72"/>
      <c r="S1341" s="23"/>
      <c r="T1341" s="23"/>
      <c r="U1341" s="23"/>
      <c r="V1341" s="23"/>
      <c r="W1341" s="23"/>
      <c r="X1341" s="23"/>
      <c r="Y1341" s="23"/>
      <c r="Z1341" s="23"/>
      <c r="AA1341" s="23"/>
      <c r="AB1341" s="23"/>
      <c r="AC1341" s="23"/>
      <c r="AD1341" s="23"/>
      <c r="AE1341" s="23"/>
    </row>
    <row r="1342" spans="1:31">
      <c r="A1342" s="23"/>
      <c r="B1342" s="40"/>
      <c r="C1342" s="40"/>
      <c r="D1342" s="23"/>
      <c r="E1342" s="23"/>
      <c r="F1342" s="23"/>
      <c r="G1342" s="23"/>
      <c r="H1342" s="40"/>
      <c r="I1342" s="40"/>
      <c r="J1342" s="70"/>
      <c r="K1342" s="23"/>
      <c r="L1342" s="70"/>
      <c r="M1342" s="70"/>
      <c r="N1342" s="23"/>
      <c r="O1342" s="70"/>
      <c r="P1342" s="23"/>
      <c r="Q1342" s="23"/>
      <c r="R1342" s="72"/>
      <c r="S1342" s="23"/>
      <c r="T1342" s="23"/>
      <c r="U1342" s="23"/>
      <c r="V1342" s="23"/>
      <c r="W1342" s="23"/>
      <c r="X1342" s="23"/>
      <c r="Y1342" s="23"/>
      <c r="Z1342" s="23"/>
      <c r="AA1342" s="23"/>
      <c r="AB1342" s="23"/>
      <c r="AC1342" s="23"/>
      <c r="AD1342" s="23"/>
      <c r="AE1342" s="23"/>
    </row>
    <row r="1343" spans="1:31">
      <c r="A1343" s="23"/>
      <c r="B1343" s="40"/>
      <c r="C1343" s="40"/>
      <c r="D1343" s="23"/>
      <c r="E1343" s="23"/>
      <c r="F1343" s="23"/>
      <c r="G1343" s="23"/>
      <c r="H1343" s="40"/>
      <c r="I1343" s="40"/>
      <c r="J1343" s="70"/>
      <c r="K1343" s="23"/>
      <c r="L1343" s="70"/>
      <c r="M1343" s="70"/>
      <c r="N1343" s="23"/>
      <c r="O1343" s="70"/>
      <c r="P1343" s="23"/>
      <c r="Q1343" s="23"/>
      <c r="R1343" s="72"/>
      <c r="S1343" s="23"/>
      <c r="T1343" s="23"/>
      <c r="U1343" s="23"/>
      <c r="V1343" s="23"/>
      <c r="W1343" s="23"/>
      <c r="X1343" s="23"/>
      <c r="Y1343" s="23"/>
      <c r="Z1343" s="23"/>
      <c r="AA1343" s="23"/>
      <c r="AB1343" s="23"/>
      <c r="AC1343" s="23"/>
      <c r="AD1343" s="23"/>
      <c r="AE1343" s="23"/>
    </row>
    <row r="1344" spans="1:31">
      <c r="A1344" s="23"/>
      <c r="B1344" s="40"/>
      <c r="C1344" s="40"/>
      <c r="D1344" s="23"/>
      <c r="E1344" s="23"/>
      <c r="F1344" s="23"/>
      <c r="G1344" s="23"/>
      <c r="H1344" s="23"/>
      <c r="I1344" s="40"/>
      <c r="J1344" s="70"/>
      <c r="K1344" s="23"/>
      <c r="L1344" s="70"/>
      <c r="M1344" s="70"/>
      <c r="N1344" s="23"/>
      <c r="O1344" s="70"/>
      <c r="P1344" s="23"/>
      <c r="Q1344" s="23"/>
      <c r="R1344" s="72"/>
      <c r="S1344" s="23"/>
      <c r="T1344" s="23"/>
      <c r="U1344" s="23"/>
      <c r="V1344" s="23"/>
      <c r="W1344" s="23"/>
      <c r="X1344" s="23"/>
      <c r="Y1344" s="23"/>
      <c r="Z1344" s="23"/>
      <c r="AA1344" s="23"/>
      <c r="AB1344" s="23"/>
      <c r="AC1344" s="23"/>
      <c r="AD1344" s="23"/>
      <c r="AE1344" s="23"/>
    </row>
    <row r="1345" spans="1:31">
      <c r="A1345" s="23"/>
      <c r="B1345" s="40"/>
      <c r="C1345" s="40"/>
      <c r="D1345" s="23"/>
      <c r="E1345" s="23"/>
      <c r="F1345" s="23"/>
      <c r="G1345" s="23"/>
      <c r="H1345" s="23"/>
      <c r="I1345" s="40"/>
      <c r="J1345" s="70"/>
      <c r="K1345" s="23"/>
      <c r="L1345" s="70"/>
      <c r="M1345" s="70"/>
      <c r="N1345" s="23"/>
      <c r="O1345" s="70"/>
      <c r="P1345" s="23"/>
      <c r="Q1345" s="23"/>
      <c r="R1345" s="72"/>
      <c r="S1345" s="23"/>
      <c r="T1345" s="23"/>
      <c r="U1345" s="23"/>
      <c r="V1345" s="23"/>
      <c r="W1345" s="23"/>
      <c r="X1345" s="23"/>
      <c r="Y1345" s="23"/>
      <c r="Z1345" s="23"/>
      <c r="AA1345" s="23"/>
      <c r="AB1345" s="23"/>
      <c r="AC1345" s="23"/>
      <c r="AD1345" s="23"/>
      <c r="AE1345" s="23"/>
    </row>
    <row r="1346" spans="1:31" ht="24" customHeight="1">
      <c r="A1346" s="23"/>
      <c r="B1346" s="40"/>
      <c r="C1346" s="40"/>
      <c r="D1346" s="23"/>
      <c r="E1346" s="23"/>
      <c r="F1346" s="23"/>
      <c r="G1346" s="23"/>
      <c r="H1346" s="40"/>
      <c r="I1346" s="40"/>
      <c r="J1346" s="70"/>
      <c r="K1346" s="23"/>
      <c r="L1346" s="70"/>
      <c r="M1346" s="70"/>
      <c r="N1346" s="23"/>
      <c r="O1346" s="70"/>
      <c r="P1346" s="23"/>
      <c r="Q1346" s="23"/>
      <c r="R1346" s="72"/>
      <c r="S1346" s="23"/>
      <c r="T1346" s="23"/>
      <c r="U1346" s="23"/>
      <c r="V1346" s="23"/>
      <c r="W1346" s="23"/>
      <c r="X1346" s="23"/>
      <c r="Y1346" s="23"/>
      <c r="Z1346" s="23"/>
      <c r="AA1346" s="23"/>
      <c r="AB1346" s="23"/>
      <c r="AC1346" s="23"/>
      <c r="AD1346" s="23"/>
      <c r="AE1346" s="23"/>
    </row>
    <row r="1347" spans="1:31">
      <c r="A1347" s="23"/>
      <c r="B1347" s="40"/>
      <c r="C1347" s="40"/>
      <c r="D1347" s="23"/>
      <c r="E1347" s="23"/>
      <c r="F1347" s="23"/>
      <c r="G1347" s="23"/>
      <c r="H1347" s="40"/>
      <c r="I1347" s="40"/>
      <c r="J1347" s="70"/>
      <c r="K1347" s="23"/>
      <c r="L1347" s="70"/>
      <c r="M1347" s="70"/>
      <c r="N1347" s="23"/>
      <c r="O1347" s="70"/>
      <c r="P1347" s="23"/>
      <c r="Q1347" s="23"/>
      <c r="R1347" s="72"/>
      <c r="S1347" s="23"/>
      <c r="T1347" s="23"/>
      <c r="U1347" s="23"/>
      <c r="V1347" s="23"/>
      <c r="W1347" s="23"/>
      <c r="X1347" s="23"/>
      <c r="Y1347" s="23"/>
      <c r="Z1347" s="23"/>
      <c r="AA1347" s="23"/>
      <c r="AB1347" s="23"/>
      <c r="AC1347" s="23"/>
      <c r="AD1347" s="23"/>
      <c r="AE1347" s="23"/>
    </row>
    <row r="1348" spans="1:31">
      <c r="A1348" s="23"/>
      <c r="B1348" s="40"/>
      <c r="C1348" s="40"/>
      <c r="D1348" s="23"/>
      <c r="E1348" s="23"/>
      <c r="F1348" s="23"/>
      <c r="G1348" s="23"/>
      <c r="H1348" s="40"/>
      <c r="I1348" s="40"/>
      <c r="J1348" s="70"/>
      <c r="K1348" s="23"/>
      <c r="L1348" s="70"/>
      <c r="M1348" s="70"/>
      <c r="N1348" s="23"/>
      <c r="O1348" s="70"/>
      <c r="P1348" s="23"/>
      <c r="Q1348" s="23"/>
      <c r="R1348" s="72"/>
      <c r="S1348" s="23"/>
      <c r="T1348" s="23"/>
      <c r="U1348" s="23"/>
      <c r="V1348" s="23"/>
      <c r="W1348" s="23"/>
      <c r="X1348" s="23"/>
      <c r="Y1348" s="23"/>
      <c r="Z1348" s="23"/>
      <c r="AA1348" s="23"/>
      <c r="AB1348" s="23"/>
      <c r="AC1348" s="23"/>
      <c r="AD1348" s="23"/>
      <c r="AE1348" s="23"/>
    </row>
    <row r="1349" spans="1:31">
      <c r="A1349" s="23"/>
      <c r="B1349" s="40"/>
      <c r="C1349" s="40"/>
      <c r="D1349" s="23"/>
      <c r="E1349" s="23"/>
      <c r="F1349" s="23"/>
      <c r="G1349" s="23"/>
      <c r="H1349" s="40"/>
      <c r="I1349" s="40"/>
      <c r="J1349" s="70"/>
      <c r="K1349" s="23"/>
      <c r="L1349" s="70"/>
      <c r="M1349" s="70"/>
      <c r="N1349" s="23"/>
      <c r="O1349" s="70"/>
      <c r="P1349" s="23"/>
      <c r="Q1349" s="23"/>
      <c r="R1349" s="72"/>
      <c r="S1349" s="23"/>
      <c r="T1349" s="23"/>
      <c r="U1349" s="23"/>
      <c r="V1349" s="23"/>
      <c r="W1349" s="23"/>
      <c r="X1349" s="23"/>
      <c r="Y1349" s="23"/>
      <c r="Z1349" s="23"/>
      <c r="AA1349" s="23"/>
      <c r="AB1349" s="23"/>
      <c r="AC1349" s="23"/>
      <c r="AD1349" s="23"/>
      <c r="AE1349" s="23"/>
    </row>
    <row r="1350" spans="1:31">
      <c r="A1350" s="23"/>
      <c r="B1350" s="40"/>
      <c r="C1350" s="40"/>
      <c r="D1350" s="23"/>
      <c r="E1350" s="23"/>
      <c r="F1350" s="23"/>
      <c r="G1350" s="23"/>
      <c r="H1350" s="40"/>
      <c r="I1350" s="40"/>
      <c r="J1350" s="70"/>
      <c r="K1350" s="23"/>
      <c r="L1350" s="70"/>
      <c r="M1350" s="70"/>
      <c r="N1350" s="23"/>
      <c r="O1350" s="70"/>
      <c r="P1350" s="23"/>
      <c r="Q1350" s="23"/>
      <c r="R1350" s="72"/>
      <c r="S1350" s="23"/>
      <c r="T1350" s="23"/>
      <c r="U1350" s="23"/>
      <c r="V1350" s="23"/>
      <c r="W1350" s="23"/>
      <c r="X1350" s="23"/>
      <c r="Y1350" s="23"/>
      <c r="Z1350" s="23"/>
      <c r="AA1350" s="23"/>
      <c r="AB1350" s="23"/>
      <c r="AC1350" s="23"/>
      <c r="AD1350" s="23"/>
      <c r="AE1350" s="23"/>
    </row>
    <row r="1351" spans="1:31">
      <c r="A1351" s="23"/>
      <c r="B1351" s="40"/>
      <c r="C1351" s="40"/>
      <c r="D1351" s="23"/>
      <c r="E1351" s="23"/>
      <c r="F1351" s="23"/>
      <c r="G1351" s="40"/>
      <c r="H1351" s="40"/>
      <c r="I1351" s="40"/>
      <c r="J1351" s="70"/>
      <c r="K1351" s="40"/>
      <c r="L1351" s="70"/>
      <c r="M1351" s="70"/>
      <c r="N1351" s="40"/>
      <c r="O1351" s="40"/>
      <c r="P1351" s="40"/>
      <c r="Q1351" s="40"/>
      <c r="R1351" s="72"/>
      <c r="S1351" s="40"/>
      <c r="T1351" s="40"/>
      <c r="U1351" s="40"/>
      <c r="V1351" s="40"/>
      <c r="W1351" s="40"/>
      <c r="X1351" s="40"/>
      <c r="Y1351" s="40"/>
      <c r="Z1351" s="40"/>
      <c r="AA1351" s="40"/>
      <c r="AB1351" s="40"/>
      <c r="AC1351" s="40"/>
      <c r="AD1351" s="40"/>
      <c r="AE1351" s="23"/>
    </row>
    <row r="1352" spans="1:31">
      <c r="A1352" s="23"/>
      <c r="B1352" s="40"/>
      <c r="C1352" s="40"/>
      <c r="D1352" s="23"/>
      <c r="E1352" s="23"/>
      <c r="F1352" s="23"/>
      <c r="G1352" s="40"/>
      <c r="H1352" s="40"/>
      <c r="I1352" s="40"/>
      <c r="J1352" s="70"/>
      <c r="K1352" s="40"/>
      <c r="L1352" s="70"/>
      <c r="M1352" s="70"/>
      <c r="N1352" s="40"/>
      <c r="O1352" s="40"/>
      <c r="P1352" s="40"/>
      <c r="Q1352" s="40"/>
      <c r="R1352" s="72"/>
      <c r="S1352" s="40"/>
      <c r="T1352" s="40"/>
      <c r="U1352" s="40"/>
      <c r="V1352" s="40"/>
      <c r="W1352" s="40"/>
      <c r="X1352" s="40"/>
      <c r="Y1352" s="40"/>
      <c r="Z1352" s="40"/>
      <c r="AA1352" s="40"/>
      <c r="AB1352" s="40"/>
      <c r="AC1352" s="40"/>
      <c r="AD1352" s="40"/>
      <c r="AE1352" s="23"/>
    </row>
    <row r="1353" spans="1:31">
      <c r="A1353" s="23"/>
      <c r="B1353" s="40"/>
      <c r="C1353" s="40"/>
      <c r="D1353" s="23"/>
      <c r="E1353" s="23"/>
      <c r="F1353" s="23"/>
      <c r="G1353" s="40"/>
      <c r="H1353" s="40"/>
      <c r="I1353" s="40"/>
      <c r="J1353" s="70"/>
      <c r="K1353" s="40"/>
      <c r="L1353" s="70"/>
      <c r="M1353" s="70"/>
      <c r="N1353" s="40"/>
      <c r="O1353" s="40"/>
      <c r="P1353" s="40"/>
      <c r="Q1353" s="40"/>
      <c r="R1353" s="72"/>
      <c r="S1353" s="40"/>
      <c r="T1353" s="40"/>
      <c r="U1353" s="40"/>
      <c r="V1353" s="40"/>
      <c r="W1353" s="40"/>
      <c r="X1353" s="40"/>
      <c r="Y1353" s="40"/>
      <c r="Z1353" s="40"/>
      <c r="AA1353" s="40"/>
      <c r="AB1353" s="40"/>
      <c r="AC1353" s="40"/>
      <c r="AD1353" s="40"/>
      <c r="AE1353" s="23"/>
    </row>
    <row r="1354" spans="1:31">
      <c r="A1354" s="23"/>
      <c r="B1354" s="40"/>
      <c r="C1354" s="40"/>
      <c r="D1354" s="23"/>
      <c r="E1354" s="23"/>
      <c r="F1354" s="23"/>
      <c r="G1354" s="40"/>
      <c r="H1354" s="40"/>
      <c r="I1354" s="40"/>
      <c r="J1354" s="70"/>
      <c r="K1354" s="40"/>
      <c r="L1354" s="70"/>
      <c r="M1354" s="70"/>
      <c r="N1354" s="40"/>
      <c r="O1354" s="40"/>
      <c r="P1354" s="40"/>
      <c r="Q1354" s="40"/>
      <c r="R1354" s="72"/>
      <c r="S1354" s="40"/>
      <c r="T1354" s="40"/>
      <c r="U1354" s="40"/>
      <c r="V1354" s="40"/>
      <c r="W1354" s="40"/>
      <c r="X1354" s="40"/>
      <c r="Y1354" s="40"/>
      <c r="Z1354" s="40"/>
      <c r="AA1354" s="40"/>
      <c r="AB1354" s="40"/>
      <c r="AC1354" s="40"/>
      <c r="AD1354" s="40"/>
      <c r="AE1354" s="23"/>
    </row>
    <row r="1355" spans="1:31">
      <c r="A1355" s="23"/>
      <c r="B1355" s="40"/>
      <c r="C1355" s="40"/>
      <c r="D1355" s="23"/>
      <c r="E1355" s="23"/>
      <c r="F1355" s="23"/>
      <c r="G1355" s="40"/>
      <c r="H1355" s="40"/>
      <c r="I1355" s="40"/>
      <c r="J1355" s="70"/>
      <c r="K1355" s="40"/>
      <c r="L1355" s="70"/>
      <c r="M1355" s="70"/>
      <c r="N1355" s="40"/>
      <c r="O1355" s="40"/>
      <c r="P1355" s="40"/>
      <c r="Q1355" s="40"/>
      <c r="R1355" s="72"/>
      <c r="S1355" s="40"/>
      <c r="T1355" s="40"/>
      <c r="U1355" s="40"/>
      <c r="V1355" s="40"/>
      <c r="W1355" s="40"/>
      <c r="X1355" s="40"/>
      <c r="Y1355" s="40"/>
      <c r="Z1355" s="40"/>
      <c r="AA1355" s="40"/>
      <c r="AB1355" s="40"/>
      <c r="AC1355" s="40"/>
      <c r="AD1355" s="40"/>
      <c r="AE1355" s="23"/>
    </row>
    <row r="1356" spans="1:31" ht="24" customHeight="1">
      <c r="A1356" s="23"/>
      <c r="B1356" s="40"/>
      <c r="C1356" s="40"/>
      <c r="D1356" s="23"/>
      <c r="E1356" s="23"/>
      <c r="F1356" s="23"/>
      <c r="G1356" s="40"/>
      <c r="H1356" s="40"/>
      <c r="I1356" s="40"/>
      <c r="J1356" s="70"/>
      <c r="K1356" s="40"/>
      <c r="L1356" s="70"/>
      <c r="M1356" s="70"/>
      <c r="N1356" s="40"/>
      <c r="O1356" s="40"/>
      <c r="P1356" s="40"/>
      <c r="Q1356" s="40"/>
      <c r="R1356" s="72"/>
      <c r="S1356" s="40"/>
      <c r="T1356" s="40"/>
      <c r="U1356" s="40"/>
      <c r="V1356" s="40"/>
      <c r="W1356" s="40"/>
      <c r="X1356" s="40"/>
      <c r="Y1356" s="40"/>
      <c r="Z1356" s="40"/>
      <c r="AA1356" s="40"/>
      <c r="AB1356" s="40"/>
      <c r="AC1356" s="40"/>
      <c r="AD1356" s="40"/>
      <c r="AE1356" s="23"/>
    </row>
    <row r="1357" spans="1:31">
      <c r="A1357" s="23"/>
      <c r="B1357" s="40"/>
      <c r="C1357" s="40"/>
      <c r="D1357" s="23"/>
      <c r="E1357" s="23"/>
      <c r="F1357" s="23"/>
      <c r="G1357" s="40"/>
      <c r="H1357" s="40"/>
      <c r="I1357" s="40"/>
      <c r="J1357" s="70"/>
      <c r="K1357" s="40"/>
      <c r="L1357" s="70"/>
      <c r="M1357" s="70"/>
      <c r="N1357" s="40"/>
      <c r="O1357" s="40"/>
      <c r="P1357" s="40"/>
      <c r="Q1357" s="40"/>
      <c r="R1357" s="72"/>
      <c r="S1357" s="40"/>
      <c r="T1357" s="40"/>
      <c r="U1357" s="40"/>
      <c r="V1357" s="40"/>
      <c r="W1357" s="40"/>
      <c r="X1357" s="40"/>
      <c r="Y1357" s="40"/>
      <c r="Z1357" s="40"/>
      <c r="AA1357" s="40"/>
      <c r="AB1357" s="40"/>
      <c r="AC1357" s="40"/>
      <c r="AD1357" s="40"/>
      <c r="AE1357" s="23"/>
    </row>
    <row r="1358" spans="1:31">
      <c r="A1358" s="23"/>
      <c r="B1358" s="40"/>
      <c r="C1358" s="40"/>
      <c r="D1358" s="23"/>
      <c r="E1358" s="23"/>
      <c r="F1358" s="23"/>
      <c r="G1358" s="40"/>
      <c r="H1358" s="40"/>
      <c r="I1358" s="40"/>
      <c r="J1358" s="70"/>
      <c r="K1358" s="40"/>
      <c r="L1358" s="70"/>
      <c r="M1358" s="70"/>
      <c r="N1358" s="40"/>
      <c r="O1358" s="40"/>
      <c r="P1358" s="40"/>
      <c r="Q1358" s="40"/>
      <c r="R1358" s="72"/>
      <c r="S1358" s="40"/>
      <c r="T1358" s="40"/>
      <c r="U1358" s="40"/>
      <c r="V1358" s="40"/>
      <c r="W1358" s="40"/>
      <c r="X1358" s="40"/>
      <c r="Y1358" s="40"/>
      <c r="Z1358" s="40"/>
      <c r="AA1358" s="40"/>
      <c r="AB1358" s="40"/>
      <c r="AC1358" s="40"/>
      <c r="AD1358" s="40"/>
      <c r="AE1358" s="23"/>
    </row>
    <row r="1359" spans="1:31">
      <c r="A1359" s="23"/>
      <c r="B1359" s="40"/>
      <c r="C1359" s="40"/>
      <c r="D1359" s="23"/>
      <c r="E1359" s="23"/>
      <c r="F1359" s="23"/>
      <c r="G1359" s="40"/>
      <c r="H1359" s="40"/>
      <c r="I1359" s="40"/>
      <c r="J1359" s="70"/>
      <c r="K1359" s="40"/>
      <c r="L1359" s="70"/>
      <c r="M1359" s="70"/>
      <c r="N1359" s="40"/>
      <c r="O1359" s="40"/>
      <c r="P1359" s="40"/>
      <c r="Q1359" s="40"/>
      <c r="R1359" s="72"/>
      <c r="S1359" s="40"/>
      <c r="T1359" s="40"/>
      <c r="U1359" s="40"/>
      <c r="V1359" s="40"/>
      <c r="W1359" s="40"/>
      <c r="X1359" s="40"/>
      <c r="Y1359" s="40"/>
      <c r="Z1359" s="40"/>
      <c r="AA1359" s="40"/>
      <c r="AB1359" s="40"/>
      <c r="AC1359" s="40"/>
      <c r="AD1359" s="40"/>
      <c r="AE1359" s="23"/>
    </row>
    <row r="1360" spans="1:31">
      <c r="A1360" s="23"/>
      <c r="B1360" s="40"/>
      <c r="C1360" s="40"/>
      <c r="D1360" s="23"/>
      <c r="E1360" s="23"/>
      <c r="F1360" s="23"/>
      <c r="G1360" s="40"/>
      <c r="H1360" s="40"/>
      <c r="I1360" s="40"/>
      <c r="J1360" s="70"/>
      <c r="K1360" s="40"/>
      <c r="L1360" s="70"/>
      <c r="M1360" s="70"/>
      <c r="N1360" s="40"/>
      <c r="O1360" s="40"/>
      <c r="P1360" s="40"/>
      <c r="Q1360" s="40"/>
      <c r="R1360" s="72"/>
      <c r="S1360" s="40"/>
      <c r="T1360" s="40"/>
      <c r="U1360" s="40"/>
      <c r="V1360" s="40"/>
      <c r="W1360" s="40"/>
      <c r="X1360" s="40"/>
      <c r="Y1360" s="40"/>
      <c r="Z1360" s="40"/>
      <c r="AA1360" s="40"/>
      <c r="AB1360" s="40"/>
      <c r="AC1360" s="40"/>
      <c r="AD1360" s="40"/>
      <c r="AE1360" s="23"/>
    </row>
    <row r="1361" spans="1:31">
      <c r="A1361" s="23"/>
      <c r="B1361" s="40"/>
      <c r="C1361" s="40"/>
      <c r="D1361" s="23"/>
      <c r="E1361" s="23"/>
      <c r="F1361" s="23"/>
      <c r="G1361" s="40"/>
      <c r="H1361" s="40"/>
      <c r="I1361" s="40"/>
      <c r="J1361" s="70"/>
      <c r="K1361" s="40"/>
      <c r="L1361" s="70"/>
      <c r="M1361" s="70"/>
      <c r="N1361" s="40"/>
      <c r="O1361" s="40"/>
      <c r="P1361" s="40"/>
      <c r="Q1361" s="40"/>
      <c r="R1361" s="72"/>
      <c r="S1361" s="40"/>
      <c r="T1361" s="40"/>
      <c r="U1361" s="40"/>
      <c r="V1361" s="40"/>
      <c r="W1361" s="40"/>
      <c r="X1361" s="40"/>
      <c r="Y1361" s="40"/>
      <c r="Z1361" s="40"/>
      <c r="AA1361" s="40"/>
      <c r="AB1361" s="40"/>
      <c r="AC1361" s="40"/>
      <c r="AD1361" s="40"/>
      <c r="AE1361" s="23"/>
    </row>
    <row r="1362" spans="1:31">
      <c r="A1362" s="23"/>
      <c r="B1362" s="40"/>
      <c r="C1362" s="40"/>
      <c r="D1362" s="23"/>
      <c r="E1362" s="23"/>
      <c r="F1362" s="23"/>
      <c r="G1362" s="40"/>
      <c r="H1362" s="40"/>
      <c r="I1362" s="40"/>
      <c r="J1362" s="70"/>
      <c r="K1362" s="40"/>
      <c r="L1362" s="70"/>
      <c r="M1362" s="70"/>
      <c r="N1362" s="40"/>
      <c r="O1362" s="40"/>
      <c r="P1362" s="40"/>
      <c r="Q1362" s="40"/>
      <c r="R1362" s="72"/>
      <c r="S1362" s="40"/>
      <c r="T1362" s="40"/>
      <c r="U1362" s="40"/>
      <c r="V1362" s="40"/>
      <c r="W1362" s="40"/>
      <c r="X1362" s="40"/>
      <c r="Y1362" s="40"/>
      <c r="Z1362" s="40"/>
      <c r="AA1362" s="40"/>
      <c r="AB1362" s="40"/>
      <c r="AC1362" s="40"/>
      <c r="AD1362" s="40"/>
      <c r="AE1362" s="23"/>
    </row>
    <row r="1363" spans="1:31">
      <c r="A1363" s="23"/>
      <c r="B1363" s="40"/>
      <c r="C1363" s="40"/>
      <c r="D1363" s="23"/>
      <c r="E1363" s="23"/>
      <c r="F1363" s="23"/>
      <c r="G1363" s="40"/>
      <c r="H1363" s="40"/>
      <c r="I1363" s="40"/>
      <c r="J1363" s="70"/>
      <c r="K1363" s="40"/>
      <c r="L1363" s="70"/>
      <c r="M1363" s="70"/>
      <c r="N1363" s="40"/>
      <c r="O1363" s="40"/>
      <c r="P1363" s="40"/>
      <c r="Q1363" s="40"/>
      <c r="R1363" s="72"/>
      <c r="S1363" s="40"/>
      <c r="T1363" s="40"/>
      <c r="U1363" s="40"/>
      <c r="V1363" s="40"/>
      <c r="W1363" s="40"/>
      <c r="X1363" s="40"/>
      <c r="Y1363" s="40"/>
      <c r="Z1363" s="40"/>
      <c r="AA1363" s="40"/>
      <c r="AB1363" s="40"/>
      <c r="AC1363" s="40"/>
      <c r="AD1363" s="40"/>
      <c r="AE1363" s="23"/>
    </row>
    <row r="1364" spans="1:31">
      <c r="A1364" s="23"/>
      <c r="B1364" s="40"/>
      <c r="C1364" s="40"/>
      <c r="D1364" s="23"/>
      <c r="E1364" s="23"/>
      <c r="F1364" s="23"/>
      <c r="G1364" s="40"/>
      <c r="H1364" s="40"/>
      <c r="I1364" s="40"/>
      <c r="J1364" s="70"/>
      <c r="K1364" s="40"/>
      <c r="L1364" s="70"/>
      <c r="M1364" s="70"/>
      <c r="N1364" s="40"/>
      <c r="O1364" s="40"/>
      <c r="P1364" s="40"/>
      <c r="Q1364" s="40"/>
      <c r="R1364" s="72"/>
      <c r="S1364" s="40"/>
      <c r="T1364" s="40"/>
      <c r="U1364" s="40"/>
      <c r="V1364" s="40"/>
      <c r="W1364" s="40"/>
      <c r="X1364" s="40"/>
      <c r="Y1364" s="40"/>
      <c r="Z1364" s="40"/>
      <c r="AA1364" s="40"/>
      <c r="AB1364" s="40"/>
      <c r="AC1364" s="40"/>
      <c r="AD1364" s="40"/>
      <c r="AE1364" s="23"/>
    </row>
    <row r="1365" spans="1:31">
      <c r="A1365" s="23"/>
      <c r="B1365" s="40"/>
      <c r="C1365" s="40"/>
      <c r="D1365" s="23"/>
      <c r="E1365" s="23"/>
      <c r="F1365" s="23"/>
      <c r="G1365" s="40"/>
      <c r="H1365" s="40"/>
      <c r="I1365" s="40"/>
      <c r="J1365" s="70"/>
      <c r="K1365" s="40"/>
      <c r="L1365" s="70"/>
      <c r="M1365" s="70"/>
      <c r="N1365" s="40"/>
      <c r="O1365" s="40"/>
      <c r="P1365" s="40"/>
      <c r="Q1365" s="40"/>
      <c r="R1365" s="72"/>
      <c r="S1365" s="40"/>
      <c r="T1365" s="40"/>
      <c r="U1365" s="40"/>
      <c r="V1365" s="40"/>
      <c r="W1365" s="40"/>
      <c r="X1365" s="40"/>
      <c r="Y1365" s="40"/>
      <c r="Z1365" s="40"/>
      <c r="AA1365" s="40"/>
      <c r="AB1365" s="40"/>
      <c r="AC1365" s="40"/>
      <c r="AD1365" s="40"/>
      <c r="AE1365" s="23"/>
    </row>
    <row r="1366" spans="1:31">
      <c r="A1366" s="23"/>
      <c r="B1366" s="40"/>
      <c r="C1366" s="40"/>
      <c r="D1366" s="23"/>
      <c r="E1366" s="23"/>
      <c r="F1366" s="23"/>
      <c r="G1366" s="40"/>
      <c r="H1366" s="40"/>
      <c r="I1366" s="40"/>
      <c r="J1366" s="70"/>
      <c r="K1366" s="40"/>
      <c r="L1366" s="70"/>
      <c r="M1366" s="70"/>
      <c r="N1366" s="40"/>
      <c r="O1366" s="40"/>
      <c r="P1366" s="40"/>
      <c r="Q1366" s="40"/>
      <c r="R1366" s="72"/>
      <c r="S1366" s="40"/>
      <c r="T1366" s="40"/>
      <c r="U1366" s="40"/>
      <c r="V1366" s="40"/>
      <c r="W1366" s="40"/>
      <c r="X1366" s="40"/>
      <c r="Y1366" s="40"/>
      <c r="Z1366" s="40"/>
      <c r="AA1366" s="40"/>
      <c r="AB1366" s="40"/>
      <c r="AC1366" s="40"/>
      <c r="AD1366" s="40"/>
      <c r="AE1366" s="23"/>
    </row>
    <row r="1367" spans="1:31" ht="24" customHeight="1">
      <c r="A1367" s="23"/>
      <c r="B1367" s="40"/>
      <c r="C1367" s="40"/>
      <c r="D1367" s="23"/>
      <c r="E1367" s="23"/>
      <c r="F1367" s="23"/>
      <c r="G1367" s="40"/>
      <c r="H1367" s="40"/>
      <c r="I1367" s="40"/>
      <c r="J1367" s="70"/>
      <c r="K1367" s="40"/>
      <c r="L1367" s="70"/>
      <c r="M1367" s="70"/>
      <c r="N1367" s="40"/>
      <c r="O1367" s="40"/>
      <c r="P1367" s="40"/>
      <c r="Q1367" s="40"/>
      <c r="R1367" s="72"/>
      <c r="S1367" s="40"/>
      <c r="T1367" s="40"/>
      <c r="U1367" s="40"/>
      <c r="V1367" s="40"/>
      <c r="W1367" s="40"/>
      <c r="X1367" s="40"/>
      <c r="Y1367" s="40"/>
      <c r="Z1367" s="40"/>
      <c r="AA1367" s="40"/>
      <c r="AB1367" s="40"/>
      <c r="AC1367" s="40"/>
      <c r="AD1367" s="40"/>
      <c r="AE1367" s="23"/>
    </row>
    <row r="1368" spans="1:31">
      <c r="A1368" s="23"/>
      <c r="B1368" s="40"/>
      <c r="C1368" s="40"/>
      <c r="D1368" s="23"/>
      <c r="E1368" s="23"/>
      <c r="F1368" s="23"/>
      <c r="G1368" s="40"/>
      <c r="H1368" s="40"/>
      <c r="I1368" s="40"/>
      <c r="J1368" s="70"/>
      <c r="K1368" s="40"/>
      <c r="L1368" s="70"/>
      <c r="M1368" s="70"/>
      <c r="N1368" s="40"/>
      <c r="O1368" s="40"/>
      <c r="P1368" s="40"/>
      <c r="Q1368" s="40"/>
      <c r="R1368" s="72"/>
      <c r="S1368" s="40"/>
      <c r="T1368" s="40"/>
      <c r="U1368" s="40"/>
      <c r="V1368" s="40"/>
      <c r="W1368" s="40"/>
      <c r="X1368" s="40"/>
      <c r="Y1368" s="40"/>
      <c r="Z1368" s="40"/>
      <c r="AA1368" s="40"/>
      <c r="AB1368" s="40"/>
      <c r="AC1368" s="40"/>
      <c r="AD1368" s="40"/>
      <c r="AE1368" s="23"/>
    </row>
    <row r="1369" spans="1:31">
      <c r="A1369" s="23"/>
      <c r="B1369" s="40"/>
      <c r="C1369" s="40"/>
      <c r="D1369" s="23"/>
      <c r="E1369" s="23"/>
      <c r="F1369" s="23"/>
      <c r="G1369" s="40"/>
      <c r="H1369" s="40"/>
      <c r="I1369" s="40"/>
      <c r="J1369" s="70"/>
      <c r="K1369" s="40"/>
      <c r="L1369" s="70"/>
      <c r="M1369" s="70"/>
      <c r="N1369" s="40"/>
      <c r="O1369" s="40"/>
      <c r="P1369" s="40"/>
      <c r="Q1369" s="40"/>
      <c r="R1369" s="72"/>
      <c r="S1369" s="40"/>
      <c r="T1369" s="40"/>
      <c r="U1369" s="40"/>
      <c r="V1369" s="40"/>
      <c r="W1369" s="40"/>
      <c r="X1369" s="40"/>
      <c r="Y1369" s="40"/>
      <c r="Z1369" s="40"/>
      <c r="AA1369" s="40"/>
      <c r="AB1369" s="40"/>
      <c r="AC1369" s="40"/>
      <c r="AD1369" s="40"/>
      <c r="AE1369" s="23"/>
    </row>
    <row r="1370" spans="1:31">
      <c r="A1370" s="23"/>
      <c r="B1370" s="40"/>
      <c r="C1370" s="40"/>
      <c r="D1370" s="23"/>
      <c r="E1370" s="23"/>
      <c r="F1370" s="23"/>
      <c r="G1370" s="40"/>
      <c r="H1370" s="40"/>
      <c r="I1370" s="40"/>
      <c r="J1370" s="70"/>
      <c r="K1370" s="40"/>
      <c r="L1370" s="70"/>
      <c r="M1370" s="70"/>
      <c r="N1370" s="40"/>
      <c r="O1370" s="40"/>
      <c r="P1370" s="40"/>
      <c r="Q1370" s="40"/>
      <c r="R1370" s="72"/>
      <c r="S1370" s="40"/>
      <c r="T1370" s="40"/>
      <c r="U1370" s="40"/>
      <c r="V1370" s="40"/>
      <c r="W1370" s="40"/>
      <c r="X1370" s="40"/>
      <c r="Y1370" s="40"/>
      <c r="Z1370" s="40"/>
      <c r="AA1370" s="40"/>
      <c r="AB1370" s="40"/>
      <c r="AC1370" s="40"/>
      <c r="AD1370" s="40"/>
      <c r="AE1370" s="23"/>
    </row>
    <row r="1371" spans="1:31">
      <c r="A1371" s="23"/>
      <c r="B1371" s="40"/>
      <c r="C1371" s="40"/>
      <c r="D1371" s="23"/>
      <c r="E1371" s="23"/>
      <c r="F1371" s="23"/>
      <c r="G1371" s="40"/>
      <c r="H1371" s="40"/>
      <c r="I1371" s="40"/>
      <c r="J1371" s="70"/>
      <c r="K1371" s="40"/>
      <c r="L1371" s="70"/>
      <c r="M1371" s="70"/>
      <c r="N1371" s="40"/>
      <c r="O1371" s="40"/>
      <c r="P1371" s="40"/>
      <c r="Q1371" s="40"/>
      <c r="R1371" s="72"/>
      <c r="S1371" s="40"/>
      <c r="T1371" s="40"/>
      <c r="U1371" s="40"/>
      <c r="V1371" s="40"/>
      <c r="W1371" s="40"/>
      <c r="X1371" s="40"/>
      <c r="Y1371" s="40"/>
      <c r="Z1371" s="40"/>
      <c r="AA1371" s="40"/>
      <c r="AB1371" s="40"/>
      <c r="AC1371" s="40"/>
      <c r="AD1371" s="40"/>
      <c r="AE1371" s="23"/>
    </row>
    <row r="1372" spans="1:31">
      <c r="A1372" s="23"/>
      <c r="B1372" s="40"/>
      <c r="C1372" s="40"/>
      <c r="D1372" s="23"/>
      <c r="E1372" s="23"/>
      <c r="F1372" s="23"/>
      <c r="G1372" s="40"/>
      <c r="H1372" s="40"/>
      <c r="I1372" s="40"/>
      <c r="J1372" s="70"/>
      <c r="K1372" s="40"/>
      <c r="L1372" s="70"/>
      <c r="M1372" s="70"/>
      <c r="N1372" s="40"/>
      <c r="O1372" s="40"/>
      <c r="P1372" s="40"/>
      <c r="Q1372" s="40"/>
      <c r="R1372" s="72"/>
      <c r="S1372" s="40"/>
      <c r="T1372" s="40"/>
      <c r="U1372" s="40"/>
      <c r="V1372" s="40"/>
      <c r="W1372" s="40"/>
      <c r="X1372" s="40"/>
      <c r="Y1372" s="40"/>
      <c r="Z1372" s="40"/>
      <c r="AA1372" s="40"/>
      <c r="AB1372" s="40"/>
      <c r="AC1372" s="40"/>
      <c r="AD1372" s="40"/>
      <c r="AE1372" s="23"/>
    </row>
    <row r="1373" spans="1:31">
      <c r="A1373" s="23"/>
      <c r="B1373" s="40"/>
      <c r="C1373" s="40"/>
      <c r="D1373" s="23"/>
      <c r="E1373" s="23"/>
      <c r="F1373" s="23"/>
      <c r="G1373" s="40"/>
      <c r="H1373" s="40"/>
      <c r="I1373" s="40"/>
      <c r="J1373" s="70"/>
      <c r="K1373" s="40"/>
      <c r="L1373" s="70"/>
      <c r="M1373" s="70"/>
      <c r="N1373" s="40"/>
      <c r="O1373" s="40"/>
      <c r="P1373" s="40"/>
      <c r="Q1373" s="40"/>
      <c r="R1373" s="72"/>
      <c r="S1373" s="40"/>
      <c r="T1373" s="40"/>
      <c r="U1373" s="40"/>
      <c r="V1373" s="40"/>
      <c r="W1373" s="40"/>
      <c r="X1373" s="40"/>
      <c r="Y1373" s="40"/>
      <c r="Z1373" s="40"/>
      <c r="AA1373" s="40"/>
      <c r="AB1373" s="40"/>
      <c r="AC1373" s="40"/>
      <c r="AD1373" s="40"/>
      <c r="AE1373" s="23"/>
    </row>
    <row r="1374" spans="1:31">
      <c r="A1374" s="23"/>
      <c r="B1374" s="40"/>
      <c r="C1374" s="40"/>
      <c r="D1374" s="23"/>
      <c r="E1374" s="23"/>
      <c r="F1374" s="23"/>
      <c r="G1374" s="40"/>
      <c r="H1374" s="40"/>
      <c r="I1374" s="40"/>
      <c r="J1374" s="70"/>
      <c r="K1374" s="40"/>
      <c r="L1374" s="70"/>
      <c r="M1374" s="70"/>
      <c r="N1374" s="40"/>
      <c r="O1374" s="40"/>
      <c r="P1374" s="40"/>
      <c r="Q1374" s="40"/>
      <c r="R1374" s="72"/>
      <c r="S1374" s="40"/>
      <c r="T1374" s="40"/>
      <c r="U1374" s="40"/>
      <c r="V1374" s="40"/>
      <c r="W1374" s="40"/>
      <c r="X1374" s="40"/>
      <c r="Y1374" s="40"/>
      <c r="Z1374" s="40"/>
      <c r="AA1374" s="40"/>
      <c r="AB1374" s="40"/>
      <c r="AC1374" s="40"/>
      <c r="AD1374" s="40"/>
      <c r="AE1374" s="23"/>
    </row>
    <row r="1375" spans="1:31">
      <c r="A1375" s="23"/>
      <c r="B1375" s="40"/>
      <c r="C1375" s="40"/>
      <c r="D1375" s="23"/>
      <c r="E1375" s="23"/>
      <c r="F1375" s="23"/>
      <c r="G1375" s="40"/>
      <c r="H1375" s="40"/>
      <c r="I1375" s="40"/>
      <c r="J1375" s="70"/>
      <c r="K1375" s="40"/>
      <c r="L1375" s="70"/>
      <c r="M1375" s="70"/>
      <c r="N1375" s="40"/>
      <c r="O1375" s="40"/>
      <c r="P1375" s="40"/>
      <c r="Q1375" s="40"/>
      <c r="R1375" s="72"/>
      <c r="S1375" s="40"/>
      <c r="T1375" s="40"/>
      <c r="U1375" s="40"/>
      <c r="V1375" s="40"/>
      <c r="W1375" s="40"/>
      <c r="X1375" s="40"/>
      <c r="Y1375" s="40"/>
      <c r="Z1375" s="40"/>
      <c r="AA1375" s="40"/>
      <c r="AB1375" s="40"/>
      <c r="AC1375" s="40"/>
      <c r="AD1375" s="40"/>
      <c r="AE1375" s="23"/>
    </row>
    <row r="1376" spans="1:31">
      <c r="A1376" s="23"/>
      <c r="B1376" s="40"/>
      <c r="C1376" s="40"/>
      <c r="D1376" s="23"/>
      <c r="E1376" s="23"/>
      <c r="F1376" s="23"/>
      <c r="G1376" s="40"/>
      <c r="H1376" s="40"/>
      <c r="I1376" s="40"/>
      <c r="J1376" s="70"/>
      <c r="K1376" s="40"/>
      <c r="L1376" s="70"/>
      <c r="M1376" s="70"/>
      <c r="N1376" s="40"/>
      <c r="O1376" s="40"/>
      <c r="P1376" s="40"/>
      <c r="Q1376" s="40"/>
      <c r="R1376" s="72"/>
      <c r="S1376" s="40"/>
      <c r="T1376" s="40"/>
      <c r="U1376" s="40"/>
      <c r="V1376" s="40"/>
      <c r="W1376" s="40"/>
      <c r="X1376" s="40"/>
      <c r="Y1376" s="40"/>
      <c r="Z1376" s="40"/>
      <c r="AA1376" s="40"/>
      <c r="AB1376" s="40"/>
      <c r="AC1376" s="40"/>
      <c r="AD1376" s="40"/>
      <c r="AE1376" s="23"/>
    </row>
    <row r="1377" spans="1:31">
      <c r="A1377" s="23"/>
      <c r="B1377" s="40"/>
      <c r="C1377" s="40"/>
      <c r="D1377" s="23"/>
      <c r="E1377" s="23"/>
      <c r="F1377" s="23"/>
      <c r="G1377" s="40"/>
      <c r="H1377" s="40"/>
      <c r="I1377" s="40"/>
      <c r="J1377" s="70"/>
      <c r="K1377" s="40"/>
      <c r="L1377" s="70"/>
      <c r="M1377" s="70"/>
      <c r="N1377" s="40"/>
      <c r="O1377" s="40"/>
      <c r="P1377" s="40"/>
      <c r="Q1377" s="40"/>
      <c r="R1377" s="72"/>
      <c r="S1377" s="40"/>
      <c r="T1377" s="40"/>
      <c r="U1377" s="40"/>
      <c r="V1377" s="40"/>
      <c r="W1377" s="40"/>
      <c r="X1377" s="40"/>
      <c r="Y1377" s="40"/>
      <c r="Z1377" s="40"/>
      <c r="AA1377" s="40"/>
      <c r="AB1377" s="40"/>
      <c r="AC1377" s="40"/>
      <c r="AD1377" s="40"/>
      <c r="AE1377" s="23"/>
    </row>
    <row r="1378" spans="1:31" ht="24" customHeight="1">
      <c r="A1378" s="23"/>
      <c r="B1378" s="40"/>
      <c r="C1378" s="40"/>
      <c r="D1378" s="23"/>
      <c r="E1378" s="23"/>
      <c r="F1378" s="23"/>
      <c r="G1378" s="40"/>
      <c r="H1378" s="40"/>
      <c r="I1378" s="40"/>
      <c r="J1378" s="70"/>
      <c r="K1378" s="40"/>
      <c r="L1378" s="70"/>
      <c r="M1378" s="70"/>
      <c r="N1378" s="40"/>
      <c r="O1378" s="40"/>
      <c r="P1378" s="40"/>
      <c r="Q1378" s="40"/>
      <c r="R1378" s="72"/>
      <c r="S1378" s="40"/>
      <c r="T1378" s="40"/>
      <c r="U1378" s="40"/>
      <c r="V1378" s="40"/>
      <c r="W1378" s="40"/>
      <c r="X1378" s="40"/>
      <c r="Y1378" s="40"/>
      <c r="Z1378" s="40"/>
      <c r="AA1378" s="40"/>
      <c r="AB1378" s="40"/>
      <c r="AC1378" s="40"/>
      <c r="AD1378" s="40"/>
      <c r="AE1378" s="23"/>
    </row>
    <row r="1379" spans="1:31">
      <c r="A1379" s="23"/>
      <c r="B1379" s="40"/>
      <c r="C1379" s="40"/>
      <c r="D1379" s="23"/>
      <c r="E1379" s="23"/>
      <c r="F1379" s="23"/>
      <c r="G1379" s="40"/>
      <c r="H1379" s="40"/>
      <c r="I1379" s="40"/>
      <c r="J1379" s="70"/>
      <c r="K1379" s="40"/>
      <c r="L1379" s="70"/>
      <c r="M1379" s="70"/>
      <c r="N1379" s="40"/>
      <c r="O1379" s="40"/>
      <c r="P1379" s="40"/>
      <c r="Q1379" s="40"/>
      <c r="R1379" s="72"/>
      <c r="S1379" s="40"/>
      <c r="T1379" s="40"/>
      <c r="U1379" s="40"/>
      <c r="V1379" s="40"/>
      <c r="W1379" s="40"/>
      <c r="X1379" s="40"/>
      <c r="Y1379" s="40"/>
      <c r="Z1379" s="40"/>
      <c r="AA1379" s="40"/>
      <c r="AB1379" s="40"/>
      <c r="AC1379" s="40"/>
      <c r="AD1379" s="40"/>
      <c r="AE1379" s="23"/>
    </row>
    <row r="1380" spans="1:31">
      <c r="A1380" s="23"/>
      <c r="B1380" s="40"/>
      <c r="C1380" s="40"/>
      <c r="D1380" s="23"/>
      <c r="E1380" s="23"/>
      <c r="F1380" s="23"/>
      <c r="G1380" s="40"/>
      <c r="H1380" s="40"/>
      <c r="I1380" s="40"/>
      <c r="J1380" s="70"/>
      <c r="K1380" s="40"/>
      <c r="L1380" s="70"/>
      <c r="M1380" s="70"/>
      <c r="N1380" s="40"/>
      <c r="O1380" s="40"/>
      <c r="P1380" s="40"/>
      <c r="Q1380" s="40"/>
      <c r="R1380" s="72"/>
      <c r="S1380" s="40"/>
      <c r="T1380" s="40"/>
      <c r="U1380" s="40"/>
      <c r="V1380" s="40"/>
      <c r="W1380" s="40"/>
      <c r="X1380" s="40"/>
      <c r="Y1380" s="40"/>
      <c r="Z1380" s="40"/>
      <c r="AA1380" s="40"/>
      <c r="AB1380" s="40"/>
      <c r="AC1380" s="40"/>
      <c r="AD1380" s="40"/>
      <c r="AE1380" s="23"/>
    </row>
    <row r="1381" spans="1:31">
      <c r="A1381" s="23"/>
      <c r="B1381" s="40"/>
      <c r="C1381" s="40"/>
      <c r="D1381" s="23"/>
      <c r="E1381" s="23"/>
      <c r="F1381" s="23"/>
      <c r="G1381" s="40"/>
      <c r="H1381" s="40"/>
      <c r="I1381" s="40"/>
      <c r="J1381" s="70"/>
      <c r="K1381" s="40"/>
      <c r="L1381" s="70"/>
      <c r="M1381" s="70"/>
      <c r="N1381" s="40"/>
      <c r="O1381" s="40"/>
      <c r="P1381" s="40"/>
      <c r="Q1381" s="40"/>
      <c r="R1381" s="72"/>
      <c r="S1381" s="40"/>
      <c r="T1381" s="40"/>
      <c r="U1381" s="40"/>
      <c r="V1381" s="40"/>
      <c r="W1381" s="40"/>
      <c r="X1381" s="40"/>
      <c r="Y1381" s="40"/>
      <c r="Z1381" s="40"/>
      <c r="AA1381" s="40"/>
      <c r="AB1381" s="40"/>
      <c r="AC1381" s="40"/>
      <c r="AD1381" s="40"/>
      <c r="AE1381" s="23"/>
    </row>
    <row r="1382" spans="1:31">
      <c r="A1382" s="23"/>
      <c r="B1382" s="40"/>
      <c r="C1382" s="40"/>
      <c r="D1382" s="23"/>
      <c r="E1382" s="23"/>
      <c r="F1382" s="23"/>
      <c r="G1382" s="40"/>
      <c r="H1382" s="40"/>
      <c r="I1382" s="40"/>
      <c r="J1382" s="70"/>
      <c r="K1382" s="40"/>
      <c r="L1382" s="70"/>
      <c r="M1382" s="70"/>
      <c r="N1382" s="40"/>
      <c r="O1382" s="40"/>
      <c r="P1382" s="40"/>
      <c r="Q1382" s="40"/>
      <c r="R1382" s="72"/>
      <c r="S1382" s="40"/>
      <c r="T1382" s="40"/>
      <c r="U1382" s="40"/>
      <c r="V1382" s="40"/>
      <c r="W1382" s="40"/>
      <c r="X1382" s="40"/>
      <c r="Y1382" s="40"/>
      <c r="Z1382" s="40"/>
      <c r="AA1382" s="40"/>
      <c r="AB1382" s="40"/>
      <c r="AC1382" s="40"/>
      <c r="AD1382" s="40"/>
      <c r="AE1382" s="23"/>
    </row>
    <row r="1383" spans="1:31">
      <c r="A1383" s="23"/>
      <c r="B1383" s="40"/>
      <c r="C1383" s="40"/>
      <c r="D1383" s="23"/>
      <c r="E1383" s="23"/>
      <c r="F1383" s="23"/>
      <c r="G1383" s="40"/>
      <c r="H1383" s="40"/>
      <c r="I1383" s="40"/>
      <c r="J1383" s="70"/>
      <c r="K1383" s="40"/>
      <c r="L1383" s="70"/>
      <c r="M1383" s="70"/>
      <c r="N1383" s="40"/>
      <c r="O1383" s="40"/>
      <c r="P1383" s="40"/>
      <c r="Q1383" s="40"/>
      <c r="R1383" s="72"/>
      <c r="S1383" s="40"/>
      <c r="T1383" s="40"/>
      <c r="U1383" s="40"/>
      <c r="V1383" s="40"/>
      <c r="W1383" s="40"/>
      <c r="X1383" s="40"/>
      <c r="Y1383" s="40"/>
      <c r="Z1383" s="40"/>
      <c r="AA1383" s="40"/>
      <c r="AB1383" s="40"/>
      <c r="AC1383" s="40"/>
      <c r="AD1383" s="40"/>
      <c r="AE1383" s="23"/>
    </row>
    <row r="1384" spans="1:31">
      <c r="A1384" s="23"/>
      <c r="B1384" s="40"/>
      <c r="C1384" s="40"/>
      <c r="D1384" s="23"/>
      <c r="E1384" s="23"/>
      <c r="F1384" s="23"/>
      <c r="G1384" s="40"/>
      <c r="H1384" s="40"/>
      <c r="I1384" s="40"/>
      <c r="J1384" s="70"/>
      <c r="K1384" s="40"/>
      <c r="L1384" s="70"/>
      <c r="M1384" s="70"/>
      <c r="N1384" s="40"/>
      <c r="O1384" s="40"/>
      <c r="P1384" s="40"/>
      <c r="Q1384" s="40"/>
      <c r="R1384" s="72"/>
      <c r="S1384" s="40"/>
      <c r="T1384" s="40"/>
      <c r="U1384" s="40"/>
      <c r="V1384" s="40"/>
      <c r="W1384" s="40"/>
      <c r="X1384" s="40"/>
      <c r="Y1384" s="40"/>
      <c r="Z1384" s="40"/>
      <c r="AA1384" s="40"/>
      <c r="AB1384" s="40"/>
      <c r="AC1384" s="40"/>
      <c r="AD1384" s="40"/>
      <c r="AE1384" s="23"/>
    </row>
    <row r="1385" spans="1:31">
      <c r="A1385" s="23"/>
      <c r="B1385" s="40"/>
      <c r="C1385" s="40"/>
      <c r="D1385" s="23"/>
      <c r="E1385" s="23"/>
      <c r="F1385" s="23"/>
      <c r="G1385" s="40"/>
      <c r="H1385" s="40"/>
      <c r="I1385" s="40"/>
      <c r="J1385" s="70"/>
      <c r="K1385" s="40"/>
      <c r="L1385" s="70"/>
      <c r="M1385" s="70"/>
      <c r="N1385" s="40"/>
      <c r="O1385" s="40"/>
      <c r="P1385" s="40"/>
      <c r="Q1385" s="40"/>
      <c r="R1385" s="72"/>
      <c r="S1385" s="40"/>
      <c r="T1385" s="40"/>
      <c r="U1385" s="40"/>
      <c r="V1385" s="40"/>
      <c r="W1385" s="40"/>
      <c r="X1385" s="40"/>
      <c r="Y1385" s="40"/>
      <c r="Z1385" s="40"/>
      <c r="AA1385" s="40"/>
      <c r="AB1385" s="40"/>
      <c r="AC1385" s="40"/>
      <c r="AD1385" s="40"/>
      <c r="AE1385" s="23"/>
    </row>
    <row r="1386" spans="1:31">
      <c r="A1386" s="23"/>
      <c r="B1386" s="40"/>
      <c r="C1386" s="40"/>
      <c r="D1386" s="23"/>
      <c r="E1386" s="23"/>
      <c r="F1386" s="23"/>
      <c r="G1386" s="40"/>
      <c r="H1386" s="40"/>
      <c r="I1386" s="40"/>
      <c r="J1386" s="70"/>
      <c r="K1386" s="40"/>
      <c r="L1386" s="70"/>
      <c r="M1386" s="70"/>
      <c r="N1386" s="40"/>
      <c r="O1386" s="40"/>
      <c r="P1386" s="40"/>
      <c r="Q1386" s="40"/>
      <c r="R1386" s="72"/>
      <c r="S1386" s="40"/>
      <c r="T1386" s="40"/>
      <c r="U1386" s="40"/>
      <c r="V1386" s="40"/>
      <c r="W1386" s="40"/>
      <c r="X1386" s="40"/>
      <c r="Y1386" s="40"/>
      <c r="Z1386" s="40"/>
      <c r="AA1386" s="40"/>
      <c r="AB1386" s="40"/>
      <c r="AC1386" s="40"/>
      <c r="AD1386" s="40"/>
      <c r="AE1386" s="23"/>
    </row>
    <row r="1387" spans="1:31">
      <c r="A1387" s="23"/>
      <c r="B1387" s="40"/>
      <c r="C1387" s="40"/>
      <c r="D1387" s="23"/>
      <c r="E1387" s="23"/>
      <c r="F1387" s="23"/>
      <c r="G1387" s="40"/>
      <c r="H1387" s="40"/>
      <c r="I1387" s="40"/>
      <c r="J1387" s="70"/>
      <c r="K1387" s="40"/>
      <c r="L1387" s="70"/>
      <c r="M1387" s="70"/>
      <c r="N1387" s="40"/>
      <c r="O1387" s="40"/>
      <c r="P1387" s="40"/>
      <c r="Q1387" s="40"/>
      <c r="R1387" s="72"/>
      <c r="S1387" s="40"/>
      <c r="T1387" s="40"/>
      <c r="U1387" s="40"/>
      <c r="V1387" s="40"/>
      <c r="W1387" s="40"/>
      <c r="X1387" s="40"/>
      <c r="Y1387" s="40"/>
      <c r="Z1387" s="40"/>
      <c r="AA1387" s="40"/>
      <c r="AB1387" s="40"/>
      <c r="AC1387" s="40"/>
      <c r="AD1387" s="40"/>
      <c r="AE1387" s="23"/>
    </row>
    <row r="1388" spans="1:31">
      <c r="A1388" s="23"/>
      <c r="B1388" s="40"/>
      <c r="C1388" s="40"/>
      <c r="D1388" s="23"/>
      <c r="E1388" s="23"/>
      <c r="F1388" s="23"/>
      <c r="G1388" s="40"/>
      <c r="H1388" s="40"/>
      <c r="I1388" s="40"/>
      <c r="J1388" s="70"/>
      <c r="K1388" s="40"/>
      <c r="L1388" s="70"/>
      <c r="M1388" s="70"/>
      <c r="N1388" s="40"/>
      <c r="O1388" s="40"/>
      <c r="P1388" s="40"/>
      <c r="Q1388" s="40"/>
      <c r="R1388" s="72"/>
      <c r="S1388" s="40"/>
      <c r="T1388" s="40"/>
      <c r="U1388" s="40"/>
      <c r="V1388" s="40"/>
      <c r="W1388" s="40"/>
      <c r="X1388" s="40"/>
      <c r="Y1388" s="40"/>
      <c r="Z1388" s="40"/>
      <c r="AA1388" s="40"/>
      <c r="AB1388" s="40"/>
      <c r="AC1388" s="40"/>
      <c r="AD1388" s="40"/>
      <c r="AE1388" s="23"/>
    </row>
    <row r="1389" spans="1:31">
      <c r="A1389" s="23"/>
      <c r="B1389" s="40"/>
      <c r="C1389" s="40"/>
      <c r="D1389" s="23"/>
      <c r="E1389" s="23"/>
      <c r="F1389" s="23"/>
      <c r="G1389" s="40"/>
      <c r="H1389" s="40"/>
      <c r="I1389" s="40"/>
      <c r="J1389" s="70"/>
      <c r="K1389" s="40"/>
      <c r="L1389" s="70"/>
      <c r="M1389" s="70"/>
      <c r="N1389" s="40"/>
      <c r="O1389" s="40"/>
      <c r="P1389" s="40"/>
      <c r="Q1389" s="40"/>
      <c r="R1389" s="72"/>
      <c r="S1389" s="40"/>
      <c r="T1389" s="40"/>
      <c r="U1389" s="40"/>
      <c r="V1389" s="40"/>
      <c r="W1389" s="40"/>
      <c r="X1389" s="40"/>
      <c r="Y1389" s="40"/>
      <c r="Z1389" s="40"/>
      <c r="AA1389" s="40"/>
      <c r="AB1389" s="40"/>
      <c r="AC1389" s="40"/>
      <c r="AD1389" s="40"/>
      <c r="AE1389" s="23"/>
    </row>
    <row r="1390" spans="1:31">
      <c r="A1390" s="23"/>
      <c r="B1390" s="40"/>
      <c r="C1390" s="40"/>
      <c r="D1390" s="23"/>
      <c r="E1390" s="23"/>
      <c r="F1390" s="23"/>
      <c r="G1390" s="40"/>
      <c r="H1390" s="40"/>
      <c r="I1390" s="40"/>
      <c r="J1390" s="70"/>
      <c r="K1390" s="40"/>
      <c r="L1390" s="70"/>
      <c r="M1390" s="70"/>
      <c r="N1390" s="40"/>
      <c r="O1390" s="40"/>
      <c r="P1390" s="40"/>
      <c r="Q1390" s="40"/>
      <c r="R1390" s="72"/>
      <c r="S1390" s="40"/>
      <c r="T1390" s="40"/>
      <c r="U1390" s="40"/>
      <c r="V1390" s="40"/>
      <c r="W1390" s="40"/>
      <c r="X1390" s="40"/>
      <c r="Y1390" s="40"/>
      <c r="Z1390" s="40"/>
      <c r="AA1390" s="40"/>
      <c r="AB1390" s="40"/>
      <c r="AC1390" s="40"/>
      <c r="AD1390" s="40"/>
      <c r="AE1390" s="23"/>
    </row>
    <row r="1391" spans="1:31" ht="24" customHeight="1">
      <c r="A1391" s="23"/>
      <c r="B1391" s="40"/>
      <c r="C1391" s="40"/>
      <c r="D1391" s="23"/>
      <c r="E1391" s="23"/>
      <c r="F1391" s="23"/>
      <c r="G1391" s="40"/>
      <c r="H1391" s="40"/>
      <c r="I1391" s="40"/>
      <c r="J1391" s="70"/>
      <c r="K1391" s="40"/>
      <c r="L1391" s="70"/>
      <c r="M1391" s="70"/>
      <c r="N1391" s="40"/>
      <c r="O1391" s="40"/>
      <c r="P1391" s="40"/>
      <c r="Q1391" s="40"/>
      <c r="R1391" s="72"/>
      <c r="S1391" s="40"/>
      <c r="T1391" s="40"/>
      <c r="U1391" s="40"/>
      <c r="V1391" s="40"/>
      <c r="W1391" s="40"/>
      <c r="X1391" s="40"/>
      <c r="Y1391" s="40"/>
      <c r="Z1391" s="40"/>
      <c r="AA1391" s="40"/>
      <c r="AB1391" s="40"/>
      <c r="AC1391" s="40"/>
      <c r="AD1391" s="40"/>
      <c r="AE1391" s="23"/>
    </row>
    <row r="1392" spans="1:31">
      <c r="A1392" s="23"/>
      <c r="B1392" s="40"/>
      <c r="C1392" s="40"/>
      <c r="D1392" s="23"/>
      <c r="E1392" s="23"/>
      <c r="F1392" s="23"/>
      <c r="G1392" s="40"/>
      <c r="H1392" s="40"/>
      <c r="I1392" s="40"/>
      <c r="J1392" s="70"/>
      <c r="K1392" s="40"/>
      <c r="L1392" s="70"/>
      <c r="M1392" s="70"/>
      <c r="N1392" s="40"/>
      <c r="O1392" s="40"/>
      <c r="P1392" s="40"/>
      <c r="Q1392" s="40"/>
      <c r="R1392" s="72"/>
      <c r="S1392" s="40"/>
      <c r="T1392" s="40"/>
      <c r="U1392" s="40"/>
      <c r="V1392" s="40"/>
      <c r="W1392" s="40"/>
      <c r="X1392" s="40"/>
      <c r="Y1392" s="40"/>
      <c r="Z1392" s="40"/>
      <c r="AA1392" s="40"/>
      <c r="AB1392" s="40"/>
      <c r="AC1392" s="40"/>
      <c r="AD1392" s="40"/>
      <c r="AE1392" s="23"/>
    </row>
    <row r="1393" spans="1:31">
      <c r="A1393" s="23"/>
      <c r="B1393" s="40"/>
      <c r="C1393" s="40"/>
      <c r="D1393" s="23"/>
      <c r="E1393" s="23"/>
      <c r="F1393" s="23"/>
      <c r="G1393" s="40"/>
      <c r="H1393" s="40"/>
      <c r="I1393" s="40"/>
      <c r="J1393" s="70"/>
      <c r="K1393" s="40"/>
      <c r="L1393" s="70"/>
      <c r="M1393" s="70"/>
      <c r="N1393" s="40"/>
      <c r="O1393" s="40"/>
      <c r="P1393" s="40"/>
      <c r="Q1393" s="40"/>
      <c r="R1393" s="72"/>
      <c r="S1393" s="40"/>
      <c r="T1393" s="40"/>
      <c r="U1393" s="40"/>
      <c r="V1393" s="40"/>
      <c r="W1393" s="40"/>
      <c r="X1393" s="40"/>
      <c r="Y1393" s="40"/>
      <c r="Z1393" s="40"/>
      <c r="AA1393" s="40"/>
      <c r="AB1393" s="40"/>
      <c r="AC1393" s="40"/>
      <c r="AD1393" s="40"/>
      <c r="AE1393" s="23"/>
    </row>
    <row r="1394" spans="1:31">
      <c r="A1394" s="23"/>
      <c r="B1394" s="40"/>
      <c r="C1394" s="40"/>
      <c r="D1394" s="23"/>
      <c r="E1394" s="23"/>
      <c r="F1394" s="23"/>
      <c r="G1394" s="40"/>
      <c r="H1394" s="40"/>
      <c r="I1394" s="40"/>
      <c r="J1394" s="70"/>
      <c r="K1394" s="40"/>
      <c r="L1394" s="70"/>
      <c r="M1394" s="70"/>
      <c r="N1394" s="40"/>
      <c r="O1394" s="40"/>
      <c r="P1394" s="40"/>
      <c r="Q1394" s="40"/>
      <c r="R1394" s="72"/>
      <c r="S1394" s="40"/>
      <c r="T1394" s="40"/>
      <c r="U1394" s="40"/>
      <c r="V1394" s="40"/>
      <c r="W1394" s="40"/>
      <c r="X1394" s="40"/>
      <c r="Y1394" s="40"/>
      <c r="Z1394" s="40"/>
      <c r="AA1394" s="40"/>
      <c r="AB1394" s="40"/>
      <c r="AC1394" s="40"/>
      <c r="AD1394" s="40"/>
      <c r="AE1394" s="23"/>
    </row>
    <row r="1395" spans="1:31">
      <c r="A1395" s="23"/>
      <c r="B1395" s="40"/>
      <c r="C1395" s="40"/>
      <c r="D1395" s="23"/>
      <c r="E1395" s="23"/>
      <c r="F1395" s="23"/>
      <c r="G1395" s="40"/>
      <c r="H1395" s="40"/>
      <c r="I1395" s="40"/>
      <c r="J1395" s="70"/>
      <c r="K1395" s="40"/>
      <c r="L1395" s="70"/>
      <c r="M1395" s="70"/>
      <c r="N1395" s="40"/>
      <c r="O1395" s="40"/>
      <c r="P1395" s="40"/>
      <c r="Q1395" s="40"/>
      <c r="R1395" s="72"/>
      <c r="S1395" s="40"/>
      <c r="T1395" s="40"/>
      <c r="U1395" s="40"/>
      <c r="V1395" s="40"/>
      <c r="W1395" s="40"/>
      <c r="X1395" s="40"/>
      <c r="Y1395" s="40"/>
      <c r="Z1395" s="40"/>
      <c r="AA1395" s="40"/>
      <c r="AB1395" s="40"/>
      <c r="AC1395" s="40"/>
      <c r="AD1395" s="40"/>
      <c r="AE1395" s="23"/>
    </row>
    <row r="1396" spans="1:31" ht="24" customHeight="1">
      <c r="A1396" s="23"/>
      <c r="B1396" s="40"/>
      <c r="C1396" s="40"/>
      <c r="D1396" s="23"/>
      <c r="E1396" s="23"/>
      <c r="F1396" s="23"/>
      <c r="G1396" s="40"/>
      <c r="H1396" s="40"/>
      <c r="I1396" s="40"/>
      <c r="J1396" s="70"/>
      <c r="K1396" s="40"/>
      <c r="L1396" s="70"/>
      <c r="M1396" s="70"/>
      <c r="N1396" s="40"/>
      <c r="O1396" s="40"/>
      <c r="P1396" s="40"/>
      <c r="Q1396" s="40"/>
      <c r="R1396" s="72"/>
      <c r="S1396" s="40"/>
      <c r="T1396" s="40"/>
      <c r="U1396" s="40"/>
      <c r="V1396" s="40"/>
      <c r="W1396" s="40"/>
      <c r="X1396" s="40"/>
      <c r="Y1396" s="40"/>
      <c r="Z1396" s="40"/>
      <c r="AA1396" s="40"/>
      <c r="AB1396" s="40"/>
      <c r="AC1396" s="40"/>
      <c r="AD1396" s="40"/>
      <c r="AE1396" s="23"/>
    </row>
    <row r="1397" spans="1:31">
      <c r="A1397" s="23"/>
      <c r="B1397" s="40"/>
      <c r="C1397" s="40"/>
      <c r="D1397" s="23"/>
      <c r="E1397" s="23"/>
      <c r="F1397" s="23"/>
      <c r="G1397" s="40"/>
      <c r="H1397" s="40"/>
      <c r="I1397" s="40"/>
      <c r="J1397" s="70"/>
      <c r="K1397" s="40"/>
      <c r="L1397" s="70"/>
      <c r="M1397" s="70"/>
      <c r="N1397" s="40"/>
      <c r="O1397" s="40"/>
      <c r="P1397" s="40"/>
      <c r="Q1397" s="40"/>
      <c r="R1397" s="72"/>
      <c r="S1397" s="40"/>
      <c r="T1397" s="40"/>
      <c r="U1397" s="40"/>
      <c r="V1397" s="40"/>
      <c r="W1397" s="40"/>
      <c r="X1397" s="40"/>
      <c r="Y1397" s="40"/>
      <c r="Z1397" s="40"/>
      <c r="AA1397" s="40"/>
      <c r="AB1397" s="40"/>
      <c r="AC1397" s="40"/>
      <c r="AD1397" s="40"/>
      <c r="AE1397" s="23"/>
    </row>
    <row r="1398" spans="1:31">
      <c r="A1398" s="23"/>
      <c r="B1398" s="40"/>
      <c r="C1398" s="40"/>
      <c r="D1398" s="23"/>
      <c r="E1398" s="23"/>
      <c r="F1398" s="23"/>
      <c r="G1398" s="40"/>
      <c r="H1398" s="40"/>
      <c r="I1398" s="40"/>
      <c r="J1398" s="70"/>
      <c r="K1398" s="40"/>
      <c r="L1398" s="70"/>
      <c r="M1398" s="70"/>
      <c r="N1398" s="40"/>
      <c r="O1398" s="40"/>
      <c r="P1398" s="40"/>
      <c r="Q1398" s="40"/>
      <c r="R1398" s="72"/>
      <c r="S1398" s="40"/>
      <c r="T1398" s="40"/>
      <c r="U1398" s="40"/>
      <c r="V1398" s="40"/>
      <c r="W1398" s="40"/>
      <c r="X1398" s="40"/>
      <c r="Y1398" s="40"/>
      <c r="Z1398" s="40"/>
      <c r="AA1398" s="40"/>
      <c r="AB1398" s="40"/>
      <c r="AC1398" s="40"/>
      <c r="AD1398" s="40"/>
      <c r="AE1398" s="23"/>
    </row>
    <row r="1399" spans="1:31">
      <c r="A1399" s="23"/>
      <c r="B1399" s="40"/>
      <c r="C1399" s="40"/>
      <c r="D1399" s="23"/>
      <c r="E1399" s="23"/>
      <c r="F1399" s="23"/>
      <c r="G1399" s="40"/>
      <c r="H1399" s="40"/>
      <c r="I1399" s="40"/>
      <c r="J1399" s="70"/>
      <c r="K1399" s="40"/>
      <c r="L1399" s="70"/>
      <c r="M1399" s="70"/>
      <c r="N1399" s="40"/>
      <c r="O1399" s="40"/>
      <c r="P1399" s="40"/>
      <c r="Q1399" s="40"/>
      <c r="R1399" s="72"/>
      <c r="S1399" s="40"/>
      <c r="T1399" s="40"/>
      <c r="U1399" s="40"/>
      <c r="V1399" s="40"/>
      <c r="W1399" s="40"/>
      <c r="X1399" s="40"/>
      <c r="Y1399" s="40"/>
      <c r="Z1399" s="40"/>
      <c r="AA1399" s="40"/>
      <c r="AB1399" s="40"/>
      <c r="AC1399" s="40"/>
      <c r="AD1399" s="40"/>
      <c r="AE1399" s="23"/>
    </row>
    <row r="1400" spans="1:31">
      <c r="A1400" s="23"/>
      <c r="B1400" s="40"/>
      <c r="C1400" s="40"/>
      <c r="D1400" s="23"/>
      <c r="E1400" s="23"/>
      <c r="F1400" s="23"/>
      <c r="G1400" s="40"/>
      <c r="H1400" s="40"/>
      <c r="I1400" s="40"/>
      <c r="J1400" s="70"/>
      <c r="K1400" s="40"/>
      <c r="L1400" s="70"/>
      <c r="M1400" s="70"/>
      <c r="N1400" s="40"/>
      <c r="O1400" s="40"/>
      <c r="P1400" s="40"/>
      <c r="Q1400" s="40"/>
      <c r="R1400" s="72"/>
      <c r="S1400" s="40"/>
      <c r="T1400" s="40"/>
      <c r="U1400" s="40"/>
      <c r="V1400" s="40"/>
      <c r="W1400" s="40"/>
      <c r="X1400" s="40"/>
      <c r="Y1400" s="40"/>
      <c r="Z1400" s="40"/>
      <c r="AA1400" s="40"/>
      <c r="AB1400" s="40"/>
      <c r="AC1400" s="40"/>
      <c r="AD1400" s="40"/>
      <c r="AE1400" s="23"/>
    </row>
    <row r="1401" spans="1:31" ht="24" customHeight="1">
      <c r="A1401" s="23"/>
      <c r="B1401" s="40"/>
      <c r="C1401" s="40"/>
      <c r="D1401" s="23"/>
      <c r="E1401" s="23"/>
      <c r="F1401" s="23"/>
      <c r="G1401" s="40"/>
      <c r="H1401" s="40"/>
      <c r="I1401" s="40"/>
      <c r="J1401" s="70"/>
      <c r="K1401" s="40"/>
      <c r="L1401" s="70"/>
      <c r="M1401" s="70"/>
      <c r="N1401" s="40"/>
      <c r="O1401" s="40"/>
      <c r="P1401" s="40"/>
      <c r="Q1401" s="40"/>
      <c r="R1401" s="72"/>
      <c r="S1401" s="40"/>
      <c r="T1401" s="40"/>
      <c r="U1401" s="40"/>
      <c r="V1401" s="40"/>
      <c r="W1401" s="40"/>
      <c r="X1401" s="40"/>
      <c r="Y1401" s="40"/>
      <c r="Z1401" s="40"/>
      <c r="AA1401" s="40"/>
      <c r="AB1401" s="40"/>
      <c r="AC1401" s="40"/>
      <c r="AD1401" s="40"/>
      <c r="AE1401" s="23"/>
    </row>
    <row r="1402" spans="1:31">
      <c r="A1402" s="23"/>
      <c r="B1402" s="40"/>
      <c r="C1402" s="40"/>
      <c r="D1402" s="23"/>
      <c r="E1402" s="23"/>
      <c r="F1402" s="23"/>
      <c r="G1402" s="40"/>
      <c r="H1402" s="40"/>
      <c r="I1402" s="40"/>
      <c r="J1402" s="70"/>
      <c r="K1402" s="40"/>
      <c r="L1402" s="70"/>
      <c r="M1402" s="70"/>
      <c r="N1402" s="40"/>
      <c r="O1402" s="40"/>
      <c r="P1402" s="40"/>
      <c r="Q1402" s="40"/>
      <c r="R1402" s="72"/>
      <c r="S1402" s="40"/>
      <c r="T1402" s="40"/>
      <c r="U1402" s="40"/>
      <c r="V1402" s="40"/>
      <c r="W1402" s="40"/>
      <c r="X1402" s="40"/>
      <c r="Y1402" s="40"/>
      <c r="Z1402" s="40"/>
      <c r="AA1402" s="40"/>
      <c r="AB1402" s="40"/>
      <c r="AC1402" s="40"/>
      <c r="AD1402" s="40"/>
      <c r="AE1402" s="23"/>
    </row>
    <row r="1403" spans="1:31">
      <c r="A1403" s="23"/>
      <c r="B1403" s="40"/>
      <c r="C1403" s="40"/>
      <c r="D1403" s="23"/>
      <c r="E1403" s="23"/>
      <c r="F1403" s="23"/>
      <c r="G1403" s="40"/>
      <c r="H1403" s="40"/>
      <c r="I1403" s="40"/>
      <c r="J1403" s="70"/>
      <c r="K1403" s="40"/>
      <c r="L1403" s="70"/>
      <c r="M1403" s="70"/>
      <c r="N1403" s="40"/>
      <c r="O1403" s="40"/>
      <c r="P1403" s="40"/>
      <c r="Q1403" s="40"/>
      <c r="R1403" s="72"/>
      <c r="S1403" s="40"/>
      <c r="T1403" s="40"/>
      <c r="U1403" s="40"/>
      <c r="V1403" s="40"/>
      <c r="W1403" s="40"/>
      <c r="X1403" s="40"/>
      <c r="Y1403" s="40"/>
      <c r="Z1403" s="40"/>
      <c r="AA1403" s="40"/>
      <c r="AB1403" s="40"/>
      <c r="AC1403" s="40"/>
      <c r="AD1403" s="40"/>
      <c r="AE1403" s="23"/>
    </row>
    <row r="1404" spans="1:31">
      <c r="A1404" s="23"/>
      <c r="B1404" s="40"/>
      <c r="C1404" s="40"/>
      <c r="D1404" s="23"/>
      <c r="E1404" s="23"/>
      <c r="F1404" s="23"/>
      <c r="G1404" s="40"/>
      <c r="H1404" s="40"/>
      <c r="I1404" s="40"/>
      <c r="J1404" s="70"/>
      <c r="K1404" s="40"/>
      <c r="L1404" s="70"/>
      <c r="M1404" s="70"/>
      <c r="N1404" s="40"/>
      <c r="O1404" s="40"/>
      <c r="P1404" s="40"/>
      <c r="Q1404" s="40"/>
      <c r="R1404" s="72"/>
      <c r="S1404" s="40"/>
      <c r="T1404" s="40"/>
      <c r="U1404" s="40"/>
      <c r="V1404" s="40"/>
      <c r="W1404" s="40"/>
      <c r="X1404" s="40"/>
      <c r="Y1404" s="40"/>
      <c r="Z1404" s="40"/>
      <c r="AA1404" s="40"/>
      <c r="AB1404" s="40"/>
      <c r="AC1404" s="40"/>
      <c r="AD1404" s="40"/>
      <c r="AE1404" s="23"/>
    </row>
    <row r="1405" spans="1:31">
      <c r="A1405" s="23"/>
      <c r="B1405" s="40"/>
      <c r="C1405" s="40"/>
      <c r="D1405" s="23"/>
      <c r="E1405" s="23"/>
      <c r="F1405" s="23"/>
      <c r="G1405" s="40"/>
      <c r="H1405" s="40"/>
      <c r="I1405" s="40"/>
      <c r="J1405" s="70"/>
      <c r="K1405" s="40"/>
      <c r="L1405" s="70"/>
      <c r="M1405" s="70"/>
      <c r="N1405" s="40"/>
      <c r="O1405" s="40"/>
      <c r="P1405" s="40"/>
      <c r="Q1405" s="40"/>
      <c r="R1405" s="72"/>
      <c r="S1405" s="40"/>
      <c r="T1405" s="40"/>
      <c r="U1405" s="40"/>
      <c r="V1405" s="40"/>
      <c r="W1405" s="40"/>
      <c r="X1405" s="40"/>
      <c r="Y1405" s="40"/>
      <c r="Z1405" s="40"/>
      <c r="AA1405" s="40"/>
      <c r="AB1405" s="40"/>
      <c r="AC1405" s="40"/>
      <c r="AD1405" s="40"/>
      <c r="AE1405" s="23"/>
    </row>
    <row r="1406" spans="1:31">
      <c r="A1406" s="23"/>
      <c r="B1406" s="40"/>
      <c r="C1406" s="40"/>
      <c r="D1406" s="23"/>
      <c r="E1406" s="23"/>
      <c r="F1406" s="23"/>
      <c r="G1406" s="40"/>
      <c r="H1406" s="40"/>
      <c r="I1406" s="40"/>
      <c r="J1406" s="70"/>
      <c r="K1406" s="40"/>
      <c r="L1406" s="70"/>
      <c r="M1406" s="70"/>
      <c r="N1406" s="40"/>
      <c r="O1406" s="40"/>
      <c r="P1406" s="40"/>
      <c r="Q1406" s="40"/>
      <c r="R1406" s="72"/>
      <c r="S1406" s="40"/>
      <c r="T1406" s="40"/>
      <c r="U1406" s="40"/>
      <c r="V1406" s="40"/>
      <c r="W1406" s="40"/>
      <c r="X1406" s="40"/>
      <c r="Y1406" s="40"/>
      <c r="Z1406" s="40"/>
      <c r="AA1406" s="40"/>
      <c r="AB1406" s="40"/>
      <c r="AC1406" s="40"/>
      <c r="AD1406" s="40"/>
      <c r="AE1406" s="23"/>
    </row>
    <row r="1407" spans="1:31">
      <c r="A1407" s="23"/>
      <c r="B1407" s="40"/>
      <c r="C1407" s="40"/>
      <c r="D1407" s="23"/>
      <c r="E1407" s="23"/>
      <c r="F1407" s="23"/>
      <c r="G1407" s="40"/>
      <c r="H1407" s="40"/>
      <c r="I1407" s="40"/>
      <c r="J1407" s="70"/>
      <c r="K1407" s="40"/>
      <c r="L1407" s="70"/>
      <c r="M1407" s="70"/>
      <c r="N1407" s="40"/>
      <c r="O1407" s="40"/>
      <c r="P1407" s="40"/>
      <c r="Q1407" s="40"/>
      <c r="R1407" s="72"/>
      <c r="S1407" s="40"/>
      <c r="T1407" s="40"/>
      <c r="U1407" s="40"/>
      <c r="V1407" s="40"/>
      <c r="W1407" s="40"/>
      <c r="X1407" s="40"/>
      <c r="Y1407" s="40"/>
      <c r="Z1407" s="40"/>
      <c r="AA1407" s="40"/>
      <c r="AB1407" s="40"/>
      <c r="AC1407" s="40"/>
      <c r="AD1407" s="40"/>
      <c r="AE1407" s="23"/>
    </row>
    <row r="1408" spans="1:31">
      <c r="A1408" s="23"/>
      <c r="B1408" s="40"/>
      <c r="C1408" s="40"/>
      <c r="D1408" s="23"/>
      <c r="E1408" s="23"/>
      <c r="F1408" s="23"/>
      <c r="G1408" s="40"/>
      <c r="H1408" s="40"/>
      <c r="I1408" s="40"/>
      <c r="J1408" s="70"/>
      <c r="K1408" s="40"/>
      <c r="L1408" s="70"/>
      <c r="M1408" s="70"/>
      <c r="N1408" s="40"/>
      <c r="O1408" s="40"/>
      <c r="P1408" s="40"/>
      <c r="Q1408" s="40"/>
      <c r="R1408" s="72"/>
      <c r="S1408" s="40"/>
      <c r="T1408" s="40"/>
      <c r="U1408" s="40"/>
      <c r="V1408" s="40"/>
      <c r="W1408" s="40"/>
      <c r="X1408" s="40"/>
      <c r="Y1408" s="40"/>
      <c r="Z1408" s="40"/>
      <c r="AA1408" s="40"/>
      <c r="AB1408" s="40"/>
      <c r="AC1408" s="40"/>
      <c r="AD1408" s="40"/>
      <c r="AE1408" s="23"/>
    </row>
    <row r="1409" spans="1:31">
      <c r="A1409" s="23"/>
      <c r="B1409" s="40"/>
      <c r="C1409" s="40"/>
      <c r="D1409" s="23"/>
      <c r="E1409" s="23"/>
      <c r="F1409" s="23"/>
      <c r="G1409" s="40"/>
      <c r="H1409" s="40"/>
      <c r="I1409" s="40"/>
      <c r="J1409" s="70"/>
      <c r="K1409" s="40"/>
      <c r="L1409" s="70"/>
      <c r="M1409" s="70"/>
      <c r="N1409" s="40"/>
      <c r="O1409" s="40"/>
      <c r="P1409" s="40"/>
      <c r="Q1409" s="40"/>
      <c r="R1409" s="72"/>
      <c r="S1409" s="40"/>
      <c r="T1409" s="40"/>
      <c r="U1409" s="40"/>
      <c r="V1409" s="40"/>
      <c r="W1409" s="40"/>
      <c r="X1409" s="40"/>
      <c r="Y1409" s="40"/>
      <c r="Z1409" s="40"/>
      <c r="AA1409" s="40"/>
      <c r="AB1409" s="40"/>
      <c r="AC1409" s="40"/>
      <c r="AD1409" s="40"/>
      <c r="AE1409" s="23"/>
    </row>
    <row r="1410" spans="1:31">
      <c r="A1410" s="23"/>
      <c r="B1410" s="40"/>
      <c r="C1410" s="40"/>
      <c r="D1410" s="23"/>
      <c r="E1410" s="23"/>
      <c r="F1410" s="23"/>
      <c r="G1410" s="40"/>
      <c r="H1410" s="40"/>
      <c r="I1410" s="40"/>
      <c r="J1410" s="70"/>
      <c r="K1410" s="40"/>
      <c r="L1410" s="70"/>
      <c r="M1410" s="70"/>
      <c r="N1410" s="40"/>
      <c r="O1410" s="40"/>
      <c r="P1410" s="40"/>
      <c r="Q1410" s="40"/>
      <c r="R1410" s="72"/>
      <c r="S1410" s="40"/>
      <c r="T1410" s="40"/>
      <c r="U1410" s="40"/>
      <c r="V1410" s="40"/>
      <c r="W1410" s="40"/>
      <c r="X1410" s="40"/>
      <c r="Y1410" s="40"/>
      <c r="Z1410" s="40"/>
      <c r="AA1410" s="40"/>
      <c r="AB1410" s="40"/>
      <c r="AC1410" s="40"/>
      <c r="AD1410" s="40"/>
      <c r="AE1410" s="23"/>
    </row>
    <row r="1411" spans="1:31">
      <c r="A1411" s="23"/>
      <c r="B1411" s="40"/>
      <c r="C1411" s="40"/>
      <c r="D1411" s="23"/>
      <c r="E1411" s="23"/>
      <c r="F1411" s="23"/>
      <c r="G1411" s="40"/>
      <c r="H1411" s="40"/>
      <c r="I1411" s="40"/>
      <c r="J1411" s="70"/>
      <c r="K1411" s="40"/>
      <c r="L1411" s="70"/>
      <c r="M1411" s="70"/>
      <c r="N1411" s="40"/>
      <c r="O1411" s="40"/>
      <c r="P1411" s="40"/>
      <c r="Q1411" s="40"/>
      <c r="R1411" s="72"/>
      <c r="S1411" s="40"/>
      <c r="T1411" s="40"/>
      <c r="U1411" s="40"/>
      <c r="V1411" s="40"/>
      <c r="W1411" s="40"/>
      <c r="X1411" s="40"/>
      <c r="Y1411" s="40"/>
      <c r="Z1411" s="40"/>
      <c r="AA1411" s="40"/>
      <c r="AB1411" s="40"/>
      <c r="AC1411" s="40"/>
      <c r="AD1411" s="40"/>
      <c r="AE1411" s="23"/>
    </row>
    <row r="1412" spans="1:31" ht="24" customHeight="1">
      <c r="A1412" s="23"/>
      <c r="B1412" s="40"/>
      <c r="C1412" s="40"/>
      <c r="D1412" s="23"/>
      <c r="E1412" s="23"/>
      <c r="F1412" s="23"/>
      <c r="G1412" s="40"/>
      <c r="H1412" s="40"/>
      <c r="I1412" s="40"/>
      <c r="J1412" s="70"/>
      <c r="K1412" s="40"/>
      <c r="L1412" s="70"/>
      <c r="M1412" s="70"/>
      <c r="N1412" s="40"/>
      <c r="O1412" s="40"/>
      <c r="P1412" s="40"/>
      <c r="Q1412" s="40"/>
      <c r="R1412" s="72"/>
      <c r="S1412" s="40"/>
      <c r="T1412" s="40"/>
      <c r="U1412" s="40"/>
      <c r="V1412" s="40"/>
      <c r="W1412" s="40"/>
      <c r="X1412" s="40"/>
      <c r="Y1412" s="40"/>
      <c r="Z1412" s="40"/>
      <c r="AA1412" s="40"/>
      <c r="AB1412" s="40"/>
      <c r="AC1412" s="40"/>
      <c r="AD1412" s="40"/>
      <c r="AE1412" s="23"/>
    </row>
    <row r="1413" spans="1:31">
      <c r="A1413" s="23"/>
      <c r="B1413" s="40"/>
      <c r="C1413" s="40"/>
      <c r="D1413" s="23"/>
      <c r="E1413" s="23"/>
      <c r="F1413" s="23"/>
      <c r="G1413" s="40"/>
      <c r="H1413" s="40"/>
      <c r="I1413" s="40"/>
      <c r="J1413" s="70"/>
      <c r="K1413" s="40"/>
      <c r="L1413" s="70"/>
      <c r="M1413" s="70"/>
      <c r="N1413" s="40"/>
      <c r="O1413" s="40"/>
      <c r="P1413" s="40"/>
      <c r="Q1413" s="40"/>
      <c r="R1413" s="72"/>
      <c r="S1413" s="40"/>
      <c r="T1413" s="40"/>
      <c r="U1413" s="40"/>
      <c r="V1413" s="40"/>
      <c r="W1413" s="40"/>
      <c r="X1413" s="40"/>
      <c r="Y1413" s="40"/>
      <c r="Z1413" s="40"/>
      <c r="AA1413" s="40"/>
      <c r="AB1413" s="40"/>
      <c r="AC1413" s="40"/>
      <c r="AD1413" s="40"/>
      <c r="AE1413" s="23"/>
    </row>
    <row r="1414" spans="1:31">
      <c r="A1414" s="23"/>
      <c r="B1414" s="40"/>
      <c r="C1414" s="40"/>
      <c r="D1414" s="23"/>
      <c r="E1414" s="23"/>
      <c r="F1414" s="23"/>
      <c r="G1414" s="40"/>
      <c r="H1414" s="40"/>
      <c r="I1414" s="40"/>
      <c r="J1414" s="70"/>
      <c r="K1414" s="40"/>
      <c r="L1414" s="70"/>
      <c r="M1414" s="70"/>
      <c r="N1414" s="40"/>
      <c r="O1414" s="40"/>
      <c r="P1414" s="40"/>
      <c r="Q1414" s="40"/>
      <c r="R1414" s="72"/>
      <c r="S1414" s="40"/>
      <c r="T1414" s="40"/>
      <c r="U1414" s="40"/>
      <c r="V1414" s="40"/>
      <c r="W1414" s="40"/>
      <c r="X1414" s="40"/>
      <c r="Y1414" s="40"/>
      <c r="Z1414" s="40"/>
      <c r="AA1414" s="40"/>
      <c r="AB1414" s="40"/>
      <c r="AC1414" s="40"/>
      <c r="AD1414" s="40"/>
      <c r="AE1414" s="23"/>
    </row>
    <row r="1415" spans="1:31">
      <c r="A1415" s="23"/>
      <c r="B1415" s="40"/>
      <c r="C1415" s="40"/>
      <c r="D1415" s="23"/>
      <c r="E1415" s="23"/>
      <c r="F1415" s="23"/>
      <c r="G1415" s="40"/>
      <c r="H1415" s="40"/>
      <c r="I1415" s="40"/>
      <c r="J1415" s="70"/>
      <c r="K1415" s="40"/>
      <c r="L1415" s="70"/>
      <c r="M1415" s="70"/>
      <c r="N1415" s="40"/>
      <c r="O1415" s="40"/>
      <c r="P1415" s="40"/>
      <c r="Q1415" s="40"/>
      <c r="R1415" s="72"/>
      <c r="S1415" s="40"/>
      <c r="T1415" s="40"/>
      <c r="U1415" s="40"/>
      <c r="V1415" s="40"/>
      <c r="W1415" s="40"/>
      <c r="X1415" s="40"/>
      <c r="Y1415" s="40"/>
      <c r="Z1415" s="40"/>
      <c r="AA1415" s="40"/>
      <c r="AB1415" s="40"/>
      <c r="AC1415" s="40"/>
      <c r="AD1415" s="40"/>
      <c r="AE1415" s="23"/>
    </row>
    <row r="1416" spans="1:31">
      <c r="A1416" s="23"/>
      <c r="B1416" s="40"/>
      <c r="C1416" s="40"/>
      <c r="D1416" s="23"/>
      <c r="E1416" s="23"/>
      <c r="F1416" s="23"/>
      <c r="G1416" s="40"/>
      <c r="H1416" s="40"/>
      <c r="I1416" s="40"/>
      <c r="J1416" s="70"/>
      <c r="K1416" s="40"/>
      <c r="L1416" s="70"/>
      <c r="M1416" s="70"/>
      <c r="N1416" s="40"/>
      <c r="O1416" s="40"/>
      <c r="P1416" s="40"/>
      <c r="Q1416" s="40"/>
      <c r="R1416" s="72"/>
      <c r="S1416" s="40"/>
      <c r="T1416" s="40"/>
      <c r="U1416" s="40"/>
      <c r="V1416" s="40"/>
      <c r="W1416" s="40"/>
      <c r="X1416" s="40"/>
      <c r="Y1416" s="40"/>
      <c r="Z1416" s="40"/>
      <c r="AA1416" s="40"/>
      <c r="AB1416" s="40"/>
      <c r="AC1416" s="40"/>
      <c r="AD1416" s="40"/>
      <c r="AE1416" s="23"/>
    </row>
    <row r="1417" spans="1:31" ht="24" customHeight="1">
      <c r="A1417" s="23"/>
      <c r="B1417" s="40"/>
      <c r="C1417" s="40"/>
      <c r="D1417" s="23"/>
      <c r="E1417" s="23"/>
      <c r="F1417" s="23"/>
      <c r="G1417" s="40"/>
      <c r="H1417" s="40"/>
      <c r="I1417" s="40"/>
      <c r="J1417" s="70"/>
      <c r="K1417" s="40"/>
      <c r="L1417" s="70"/>
      <c r="M1417" s="70"/>
      <c r="N1417" s="40"/>
      <c r="O1417" s="40"/>
      <c r="P1417" s="40"/>
      <c r="Q1417" s="40"/>
      <c r="R1417" s="72"/>
      <c r="S1417" s="40"/>
      <c r="T1417" s="40"/>
      <c r="U1417" s="40"/>
      <c r="V1417" s="40"/>
      <c r="W1417" s="40"/>
      <c r="X1417" s="40"/>
      <c r="Y1417" s="40"/>
      <c r="Z1417" s="40"/>
      <c r="AA1417" s="40"/>
      <c r="AB1417" s="40"/>
      <c r="AC1417" s="40"/>
      <c r="AD1417" s="40"/>
      <c r="AE1417" s="23"/>
    </row>
    <row r="1418" spans="1:31">
      <c r="A1418" s="23"/>
      <c r="B1418" s="40"/>
      <c r="C1418" s="40"/>
      <c r="D1418" s="23"/>
      <c r="E1418" s="23"/>
      <c r="F1418" s="23"/>
      <c r="G1418" s="40"/>
      <c r="H1418" s="40"/>
      <c r="I1418" s="40"/>
      <c r="J1418" s="70"/>
      <c r="K1418" s="40"/>
      <c r="L1418" s="70"/>
      <c r="M1418" s="70"/>
      <c r="N1418" s="40"/>
      <c r="O1418" s="40"/>
      <c r="P1418" s="40"/>
      <c r="Q1418" s="40"/>
      <c r="R1418" s="72"/>
      <c r="S1418" s="40"/>
      <c r="T1418" s="40"/>
      <c r="U1418" s="40"/>
      <c r="V1418" s="40"/>
      <c r="W1418" s="40"/>
      <c r="X1418" s="40"/>
      <c r="Y1418" s="40"/>
      <c r="Z1418" s="40"/>
      <c r="AA1418" s="40"/>
      <c r="AB1418" s="40"/>
      <c r="AC1418" s="40"/>
      <c r="AD1418" s="40"/>
      <c r="AE1418" s="23"/>
    </row>
    <row r="1419" spans="1:31">
      <c r="A1419" s="23"/>
      <c r="B1419" s="40"/>
      <c r="C1419" s="40"/>
      <c r="D1419" s="23"/>
      <c r="E1419" s="23"/>
      <c r="F1419" s="23"/>
      <c r="G1419" s="40"/>
      <c r="H1419" s="40"/>
      <c r="I1419" s="40"/>
      <c r="J1419" s="70"/>
      <c r="K1419" s="40"/>
      <c r="L1419" s="70"/>
      <c r="M1419" s="70"/>
      <c r="N1419" s="40"/>
      <c r="O1419" s="40"/>
      <c r="P1419" s="40"/>
      <c r="Q1419" s="40"/>
      <c r="R1419" s="72"/>
      <c r="S1419" s="40"/>
      <c r="T1419" s="40"/>
      <c r="U1419" s="40"/>
      <c r="V1419" s="40"/>
      <c r="W1419" s="40"/>
      <c r="X1419" s="40"/>
      <c r="Y1419" s="40"/>
      <c r="Z1419" s="40"/>
      <c r="AA1419" s="40"/>
      <c r="AB1419" s="40"/>
      <c r="AC1419" s="40"/>
      <c r="AD1419" s="40"/>
      <c r="AE1419" s="23"/>
    </row>
    <row r="1420" spans="1:31">
      <c r="A1420" s="23"/>
      <c r="B1420" s="40"/>
      <c r="C1420" s="40"/>
      <c r="D1420" s="23"/>
      <c r="E1420" s="23"/>
      <c r="F1420" s="23"/>
      <c r="G1420" s="40"/>
      <c r="H1420" s="40"/>
      <c r="I1420" s="40"/>
      <c r="J1420" s="70"/>
      <c r="K1420" s="40"/>
      <c r="L1420" s="70"/>
      <c r="M1420" s="70"/>
      <c r="N1420" s="40"/>
      <c r="O1420" s="40"/>
      <c r="P1420" s="40"/>
      <c r="Q1420" s="40"/>
      <c r="R1420" s="72"/>
      <c r="S1420" s="40"/>
      <c r="T1420" s="40"/>
      <c r="U1420" s="40"/>
      <c r="V1420" s="40"/>
      <c r="W1420" s="40"/>
      <c r="X1420" s="40"/>
      <c r="Y1420" s="40"/>
      <c r="Z1420" s="40"/>
      <c r="AA1420" s="40"/>
      <c r="AB1420" s="40"/>
      <c r="AC1420" s="40"/>
      <c r="AD1420" s="40"/>
      <c r="AE1420" s="23"/>
    </row>
    <row r="1421" spans="1:31">
      <c r="A1421" s="23"/>
      <c r="B1421" s="40"/>
      <c r="C1421" s="40"/>
      <c r="D1421" s="23"/>
      <c r="E1421" s="23"/>
      <c r="F1421" s="23"/>
      <c r="G1421" s="40"/>
      <c r="H1421" s="40"/>
      <c r="I1421" s="40"/>
      <c r="J1421" s="70"/>
      <c r="K1421" s="40"/>
      <c r="L1421" s="70"/>
      <c r="M1421" s="70"/>
      <c r="N1421" s="40"/>
      <c r="O1421" s="40"/>
      <c r="P1421" s="40"/>
      <c r="Q1421" s="40"/>
      <c r="R1421" s="72"/>
      <c r="S1421" s="40"/>
      <c r="T1421" s="40"/>
      <c r="U1421" s="40"/>
      <c r="V1421" s="40"/>
      <c r="W1421" s="40"/>
      <c r="X1421" s="40"/>
      <c r="Y1421" s="40"/>
      <c r="Z1421" s="40"/>
      <c r="AA1421" s="40"/>
      <c r="AB1421" s="40"/>
      <c r="AC1421" s="40"/>
      <c r="AD1421" s="40"/>
      <c r="AE1421" s="23"/>
    </row>
    <row r="1422" spans="1:31" ht="24" customHeight="1">
      <c r="A1422" s="23"/>
      <c r="B1422" s="40"/>
      <c r="C1422" s="40"/>
      <c r="D1422" s="23"/>
      <c r="E1422" s="23"/>
      <c r="F1422" s="23"/>
      <c r="G1422" s="40"/>
      <c r="H1422" s="40"/>
      <c r="I1422" s="40"/>
      <c r="J1422" s="70"/>
      <c r="K1422" s="40"/>
      <c r="L1422" s="70"/>
      <c r="M1422" s="70"/>
      <c r="N1422" s="40"/>
      <c r="O1422" s="40"/>
      <c r="P1422" s="40"/>
      <c r="Q1422" s="40"/>
      <c r="R1422" s="72"/>
      <c r="S1422" s="40"/>
      <c r="T1422" s="40"/>
      <c r="U1422" s="40"/>
      <c r="V1422" s="40"/>
      <c r="W1422" s="40"/>
      <c r="X1422" s="40"/>
      <c r="Y1422" s="40"/>
      <c r="Z1422" s="40"/>
      <c r="AA1422" s="40"/>
      <c r="AB1422" s="40"/>
      <c r="AC1422" s="40"/>
      <c r="AD1422" s="40"/>
      <c r="AE1422" s="23"/>
    </row>
    <row r="1423" spans="1:31">
      <c r="A1423" s="23"/>
      <c r="B1423" s="40"/>
      <c r="C1423" s="40"/>
      <c r="D1423" s="23"/>
      <c r="E1423" s="23"/>
      <c r="F1423" s="23"/>
      <c r="G1423" s="40"/>
      <c r="H1423" s="40"/>
      <c r="I1423" s="40"/>
      <c r="J1423" s="70"/>
      <c r="K1423" s="40"/>
      <c r="L1423" s="70"/>
      <c r="M1423" s="70"/>
      <c r="N1423" s="40"/>
      <c r="O1423" s="40"/>
      <c r="P1423" s="40"/>
      <c r="Q1423" s="40"/>
      <c r="R1423" s="72"/>
      <c r="S1423" s="40"/>
      <c r="T1423" s="40"/>
      <c r="U1423" s="40"/>
      <c r="V1423" s="40"/>
      <c r="W1423" s="40"/>
      <c r="X1423" s="40"/>
      <c r="Y1423" s="40"/>
      <c r="Z1423" s="40"/>
      <c r="AA1423" s="40"/>
      <c r="AB1423" s="40"/>
      <c r="AC1423" s="40"/>
      <c r="AD1423" s="40"/>
      <c r="AE1423" s="23"/>
    </row>
    <row r="1424" spans="1:31">
      <c r="A1424" s="23"/>
      <c r="B1424" s="40"/>
      <c r="C1424" s="40"/>
      <c r="D1424" s="23"/>
      <c r="E1424" s="23"/>
      <c r="F1424" s="23"/>
      <c r="G1424" s="40"/>
      <c r="H1424" s="40"/>
      <c r="I1424" s="40"/>
      <c r="J1424" s="70"/>
      <c r="K1424" s="40"/>
      <c r="L1424" s="70"/>
      <c r="M1424" s="70"/>
      <c r="N1424" s="40"/>
      <c r="O1424" s="40"/>
      <c r="P1424" s="40"/>
      <c r="Q1424" s="40"/>
      <c r="R1424" s="72"/>
      <c r="S1424" s="40"/>
      <c r="T1424" s="40"/>
      <c r="U1424" s="40"/>
      <c r="V1424" s="40"/>
      <c r="W1424" s="40"/>
      <c r="X1424" s="40"/>
      <c r="Y1424" s="40"/>
      <c r="Z1424" s="40"/>
      <c r="AA1424" s="40"/>
      <c r="AB1424" s="40"/>
      <c r="AC1424" s="40"/>
      <c r="AD1424" s="40"/>
      <c r="AE1424" s="23"/>
    </row>
    <row r="1425" spans="1:31">
      <c r="A1425" s="23"/>
      <c r="B1425" s="40"/>
      <c r="C1425" s="40"/>
      <c r="D1425" s="23"/>
      <c r="E1425" s="23"/>
      <c r="F1425" s="23"/>
      <c r="G1425" s="40"/>
      <c r="H1425" s="40"/>
      <c r="I1425" s="40"/>
      <c r="J1425" s="70"/>
      <c r="K1425" s="40"/>
      <c r="L1425" s="70"/>
      <c r="M1425" s="70"/>
      <c r="N1425" s="40"/>
      <c r="O1425" s="40"/>
      <c r="P1425" s="40"/>
      <c r="Q1425" s="40"/>
      <c r="R1425" s="72"/>
      <c r="S1425" s="40"/>
      <c r="T1425" s="40"/>
      <c r="U1425" s="40"/>
      <c r="V1425" s="40"/>
      <c r="W1425" s="40"/>
      <c r="X1425" s="40"/>
      <c r="Y1425" s="40"/>
      <c r="Z1425" s="40"/>
      <c r="AA1425" s="40"/>
      <c r="AB1425" s="40"/>
      <c r="AC1425" s="40"/>
      <c r="AD1425" s="40"/>
      <c r="AE1425" s="23"/>
    </row>
    <row r="1426" spans="1:31">
      <c r="A1426" s="23"/>
      <c r="B1426" s="40"/>
      <c r="C1426" s="40"/>
      <c r="D1426" s="23"/>
      <c r="E1426" s="23"/>
      <c r="F1426" s="23"/>
      <c r="G1426" s="40"/>
      <c r="H1426" s="40"/>
      <c r="I1426" s="40"/>
      <c r="J1426" s="70"/>
      <c r="K1426" s="40"/>
      <c r="L1426" s="70"/>
      <c r="M1426" s="70"/>
      <c r="N1426" s="40"/>
      <c r="O1426" s="40"/>
      <c r="P1426" s="40"/>
      <c r="Q1426" s="40"/>
      <c r="R1426" s="72"/>
      <c r="S1426" s="40"/>
      <c r="T1426" s="40"/>
      <c r="U1426" s="40"/>
      <c r="V1426" s="40"/>
      <c r="W1426" s="40"/>
      <c r="X1426" s="40"/>
      <c r="Y1426" s="40"/>
      <c r="Z1426" s="40"/>
      <c r="AA1426" s="40"/>
      <c r="AB1426" s="40"/>
      <c r="AC1426" s="40"/>
      <c r="AD1426" s="40"/>
      <c r="AE1426" s="23"/>
    </row>
    <row r="1427" spans="1:31">
      <c r="A1427" s="23"/>
      <c r="B1427" s="40"/>
      <c r="C1427" s="40"/>
      <c r="D1427" s="23"/>
      <c r="E1427" s="23"/>
      <c r="F1427" s="23"/>
      <c r="G1427" s="40"/>
      <c r="H1427" s="40"/>
      <c r="I1427" s="40"/>
      <c r="J1427" s="70"/>
      <c r="K1427" s="40"/>
      <c r="L1427" s="70"/>
      <c r="M1427" s="70"/>
      <c r="N1427" s="40"/>
      <c r="O1427" s="40"/>
      <c r="P1427" s="40"/>
      <c r="Q1427" s="40"/>
      <c r="R1427" s="72"/>
      <c r="S1427" s="40"/>
      <c r="T1427" s="40"/>
      <c r="U1427" s="40"/>
      <c r="V1427" s="40"/>
      <c r="W1427" s="40"/>
      <c r="X1427" s="40"/>
      <c r="Y1427" s="40"/>
      <c r="Z1427" s="40"/>
      <c r="AA1427" s="40"/>
      <c r="AB1427" s="40"/>
      <c r="AC1427" s="40"/>
      <c r="AD1427" s="40"/>
      <c r="AE1427" s="23"/>
    </row>
    <row r="1428" spans="1:31">
      <c r="A1428" s="23"/>
      <c r="B1428" s="40"/>
      <c r="C1428" s="40"/>
      <c r="D1428" s="23"/>
      <c r="E1428" s="23"/>
      <c r="F1428" s="23"/>
      <c r="G1428" s="40"/>
      <c r="H1428" s="40"/>
      <c r="I1428" s="40"/>
      <c r="J1428" s="70"/>
      <c r="K1428" s="40"/>
      <c r="L1428" s="70"/>
      <c r="M1428" s="70"/>
      <c r="N1428" s="40"/>
      <c r="O1428" s="40"/>
      <c r="P1428" s="40"/>
      <c r="Q1428" s="40"/>
      <c r="R1428" s="72"/>
      <c r="S1428" s="40"/>
      <c r="T1428" s="40"/>
      <c r="U1428" s="40"/>
      <c r="V1428" s="40"/>
      <c r="W1428" s="40"/>
      <c r="X1428" s="40"/>
      <c r="Y1428" s="40"/>
      <c r="Z1428" s="40"/>
      <c r="AA1428" s="40"/>
      <c r="AB1428" s="40"/>
      <c r="AC1428" s="40"/>
      <c r="AD1428" s="40"/>
      <c r="AE1428" s="23"/>
    </row>
    <row r="1429" spans="1:31">
      <c r="A1429" s="23"/>
      <c r="B1429" s="40"/>
      <c r="C1429" s="40"/>
      <c r="D1429" s="23"/>
      <c r="E1429" s="23"/>
      <c r="F1429" s="23"/>
      <c r="G1429" s="40"/>
      <c r="H1429" s="40"/>
      <c r="I1429" s="40"/>
      <c r="J1429" s="70"/>
      <c r="K1429" s="40"/>
      <c r="L1429" s="70"/>
      <c r="M1429" s="70"/>
      <c r="N1429" s="40"/>
      <c r="O1429" s="40"/>
      <c r="P1429" s="40"/>
      <c r="Q1429" s="40"/>
      <c r="R1429" s="72"/>
      <c r="S1429" s="40"/>
      <c r="T1429" s="40"/>
      <c r="U1429" s="40"/>
      <c r="V1429" s="40"/>
      <c r="W1429" s="40"/>
      <c r="X1429" s="40"/>
      <c r="Y1429" s="40"/>
      <c r="Z1429" s="40"/>
      <c r="AA1429" s="40"/>
      <c r="AB1429" s="40"/>
      <c r="AC1429" s="40"/>
      <c r="AD1429" s="40"/>
      <c r="AE1429" s="23"/>
    </row>
    <row r="1430" spans="1:31">
      <c r="A1430" s="23"/>
      <c r="B1430" s="40"/>
      <c r="C1430" s="40"/>
      <c r="D1430" s="23"/>
      <c r="E1430" s="23"/>
      <c r="F1430" s="23"/>
      <c r="G1430" s="40"/>
      <c r="H1430" s="40"/>
      <c r="I1430" s="40"/>
      <c r="J1430" s="70"/>
      <c r="K1430" s="40"/>
      <c r="L1430" s="70"/>
      <c r="M1430" s="70"/>
      <c r="N1430" s="40"/>
      <c r="O1430" s="40"/>
      <c r="P1430" s="40"/>
      <c r="Q1430" s="40"/>
      <c r="R1430" s="72"/>
      <c r="S1430" s="40"/>
      <c r="T1430" s="40"/>
      <c r="U1430" s="40"/>
      <c r="V1430" s="40"/>
      <c r="W1430" s="40"/>
      <c r="X1430" s="40"/>
      <c r="Y1430" s="40"/>
      <c r="Z1430" s="40"/>
      <c r="AA1430" s="40"/>
      <c r="AB1430" s="40"/>
      <c r="AC1430" s="40"/>
      <c r="AD1430" s="40"/>
      <c r="AE1430" s="23"/>
    </row>
    <row r="1431" spans="1:31">
      <c r="A1431" s="23"/>
      <c r="B1431" s="40"/>
      <c r="C1431" s="40"/>
      <c r="D1431" s="23"/>
      <c r="E1431" s="23"/>
      <c r="F1431" s="23"/>
      <c r="G1431" s="40"/>
      <c r="H1431" s="40"/>
      <c r="I1431" s="40"/>
      <c r="J1431" s="70"/>
      <c r="K1431" s="40"/>
      <c r="L1431" s="70"/>
      <c r="M1431" s="70"/>
      <c r="N1431" s="40"/>
      <c r="O1431" s="40"/>
      <c r="P1431" s="40"/>
      <c r="Q1431" s="40"/>
      <c r="R1431" s="72"/>
      <c r="S1431" s="40"/>
      <c r="T1431" s="40"/>
      <c r="U1431" s="40"/>
      <c r="V1431" s="40"/>
      <c r="W1431" s="40"/>
      <c r="X1431" s="40"/>
      <c r="Y1431" s="40"/>
      <c r="Z1431" s="40"/>
      <c r="AA1431" s="40"/>
      <c r="AB1431" s="40"/>
      <c r="AC1431" s="40"/>
      <c r="AD1431" s="40"/>
      <c r="AE1431" s="23"/>
    </row>
    <row r="1432" spans="1:31">
      <c r="A1432" s="23"/>
      <c r="B1432" s="40"/>
      <c r="C1432" s="40"/>
      <c r="D1432" s="23"/>
      <c r="E1432" s="23"/>
      <c r="F1432" s="23"/>
      <c r="G1432" s="40"/>
      <c r="H1432" s="40"/>
      <c r="I1432" s="40"/>
      <c r="J1432" s="70"/>
      <c r="K1432" s="40"/>
      <c r="L1432" s="70"/>
      <c r="M1432" s="70"/>
      <c r="N1432" s="40"/>
      <c r="O1432" s="40"/>
      <c r="P1432" s="40"/>
      <c r="Q1432" s="40"/>
      <c r="R1432" s="72"/>
      <c r="S1432" s="40"/>
      <c r="T1432" s="40"/>
      <c r="U1432" s="40"/>
      <c r="V1432" s="40"/>
      <c r="W1432" s="40"/>
      <c r="X1432" s="40"/>
      <c r="Y1432" s="40"/>
      <c r="Z1432" s="40"/>
      <c r="AA1432" s="40"/>
      <c r="AB1432" s="40"/>
      <c r="AC1432" s="40"/>
      <c r="AD1432" s="40"/>
      <c r="AE1432" s="23"/>
    </row>
    <row r="1433" spans="1:31" ht="24" customHeight="1">
      <c r="A1433" s="23"/>
      <c r="B1433" s="40"/>
      <c r="C1433" s="40"/>
      <c r="D1433" s="23"/>
      <c r="E1433" s="23"/>
      <c r="F1433" s="23"/>
      <c r="G1433" s="40"/>
      <c r="H1433" s="40"/>
      <c r="I1433" s="40"/>
      <c r="J1433" s="70"/>
      <c r="K1433" s="40"/>
      <c r="L1433" s="70"/>
      <c r="M1433" s="70"/>
      <c r="N1433" s="40"/>
      <c r="O1433" s="40"/>
      <c r="P1433" s="40"/>
      <c r="Q1433" s="40"/>
      <c r="R1433" s="72"/>
      <c r="S1433" s="40"/>
      <c r="T1433" s="40"/>
      <c r="U1433" s="40"/>
      <c r="V1433" s="40"/>
      <c r="W1433" s="40"/>
      <c r="X1433" s="40"/>
      <c r="Y1433" s="40"/>
      <c r="Z1433" s="40"/>
      <c r="AA1433" s="40"/>
      <c r="AB1433" s="40"/>
      <c r="AC1433" s="40"/>
      <c r="AD1433" s="40"/>
      <c r="AE1433" s="23"/>
    </row>
    <row r="1434" spans="1:31">
      <c r="A1434" s="23"/>
      <c r="B1434" s="40"/>
      <c r="C1434" s="40"/>
      <c r="D1434" s="23"/>
      <c r="E1434" s="23"/>
      <c r="F1434" s="23"/>
      <c r="G1434" s="40"/>
      <c r="H1434" s="40"/>
      <c r="I1434" s="40"/>
      <c r="J1434" s="70"/>
      <c r="K1434" s="40"/>
      <c r="L1434" s="70"/>
      <c r="M1434" s="70"/>
      <c r="N1434" s="40"/>
      <c r="O1434" s="40"/>
      <c r="P1434" s="40"/>
      <c r="Q1434" s="40"/>
      <c r="R1434" s="72"/>
      <c r="S1434" s="40"/>
      <c r="T1434" s="40"/>
      <c r="U1434" s="40"/>
      <c r="V1434" s="40"/>
      <c r="W1434" s="40"/>
      <c r="X1434" s="40"/>
      <c r="Y1434" s="40"/>
      <c r="Z1434" s="40"/>
      <c r="AA1434" s="40"/>
      <c r="AB1434" s="40"/>
      <c r="AC1434" s="40"/>
      <c r="AD1434" s="40"/>
      <c r="AE1434" s="23"/>
    </row>
    <row r="1435" spans="1:31">
      <c r="A1435" s="23"/>
      <c r="B1435" s="40"/>
      <c r="C1435" s="40"/>
      <c r="D1435" s="23"/>
      <c r="E1435" s="23"/>
      <c r="F1435" s="23"/>
      <c r="G1435" s="40"/>
      <c r="H1435" s="40"/>
      <c r="I1435" s="40"/>
      <c r="J1435" s="70"/>
      <c r="K1435" s="40"/>
      <c r="L1435" s="70"/>
      <c r="M1435" s="70"/>
      <c r="N1435" s="40"/>
      <c r="O1435" s="40"/>
      <c r="P1435" s="40"/>
      <c r="Q1435" s="40"/>
      <c r="R1435" s="72"/>
      <c r="S1435" s="40"/>
      <c r="T1435" s="40"/>
      <c r="U1435" s="40"/>
      <c r="V1435" s="40"/>
      <c r="W1435" s="40"/>
      <c r="X1435" s="40"/>
      <c r="Y1435" s="40"/>
      <c r="Z1435" s="40"/>
      <c r="AA1435" s="40"/>
      <c r="AB1435" s="40"/>
      <c r="AC1435" s="40"/>
      <c r="AD1435" s="40"/>
      <c r="AE1435" s="23"/>
    </row>
    <row r="1436" spans="1:31">
      <c r="A1436" s="23"/>
      <c r="B1436" s="40"/>
      <c r="C1436" s="40"/>
      <c r="D1436" s="23"/>
      <c r="E1436" s="23"/>
      <c r="F1436" s="23"/>
      <c r="G1436" s="40"/>
      <c r="H1436" s="40"/>
      <c r="I1436" s="40"/>
      <c r="J1436" s="70"/>
      <c r="K1436" s="40"/>
      <c r="L1436" s="70"/>
      <c r="M1436" s="70"/>
      <c r="N1436" s="40"/>
      <c r="O1436" s="40"/>
      <c r="P1436" s="40"/>
      <c r="Q1436" s="40"/>
      <c r="R1436" s="72"/>
      <c r="S1436" s="40"/>
      <c r="T1436" s="40"/>
      <c r="U1436" s="40"/>
      <c r="V1436" s="40"/>
      <c r="W1436" s="40"/>
      <c r="X1436" s="40"/>
      <c r="Y1436" s="40"/>
      <c r="Z1436" s="40"/>
      <c r="AA1436" s="40"/>
      <c r="AB1436" s="40"/>
      <c r="AC1436" s="40"/>
      <c r="AD1436" s="40"/>
      <c r="AE1436" s="23"/>
    </row>
    <row r="1437" spans="1:31">
      <c r="A1437" s="23"/>
      <c r="B1437" s="40"/>
      <c r="C1437" s="40"/>
      <c r="D1437" s="23"/>
      <c r="E1437" s="23"/>
      <c r="F1437" s="23"/>
      <c r="G1437" s="40"/>
      <c r="H1437" s="40"/>
      <c r="I1437" s="40"/>
      <c r="J1437" s="70"/>
      <c r="K1437" s="40"/>
      <c r="L1437" s="70"/>
      <c r="M1437" s="70"/>
      <c r="N1437" s="40"/>
      <c r="O1437" s="40"/>
      <c r="P1437" s="40"/>
      <c r="Q1437" s="40"/>
      <c r="R1437" s="72"/>
      <c r="S1437" s="40"/>
      <c r="T1437" s="40"/>
      <c r="U1437" s="40"/>
      <c r="V1437" s="40"/>
      <c r="W1437" s="40"/>
      <c r="X1437" s="40"/>
      <c r="Y1437" s="40"/>
      <c r="Z1437" s="40"/>
      <c r="AA1437" s="40"/>
      <c r="AB1437" s="40"/>
      <c r="AC1437" s="40"/>
      <c r="AD1437" s="40"/>
      <c r="AE1437" s="23"/>
    </row>
    <row r="1438" spans="1:31" ht="24" customHeight="1">
      <c r="A1438" s="23"/>
      <c r="B1438" s="40"/>
      <c r="C1438" s="40"/>
      <c r="D1438" s="23"/>
      <c r="E1438" s="23"/>
      <c r="F1438" s="23"/>
      <c r="G1438" s="40"/>
      <c r="H1438" s="40"/>
      <c r="I1438" s="40"/>
      <c r="J1438" s="70"/>
      <c r="K1438" s="40"/>
      <c r="L1438" s="70"/>
      <c r="M1438" s="70"/>
      <c r="N1438" s="40"/>
      <c r="O1438" s="40"/>
      <c r="P1438" s="40"/>
      <c r="Q1438" s="40"/>
      <c r="R1438" s="72"/>
      <c r="S1438" s="40"/>
      <c r="T1438" s="40"/>
      <c r="U1438" s="40"/>
      <c r="V1438" s="40"/>
      <c r="W1438" s="40"/>
      <c r="X1438" s="40"/>
      <c r="Y1438" s="40"/>
      <c r="Z1438" s="40"/>
      <c r="AA1438" s="40"/>
      <c r="AB1438" s="40"/>
      <c r="AC1438" s="40"/>
      <c r="AD1438" s="40"/>
      <c r="AE1438" s="23"/>
    </row>
    <row r="1439" spans="1:31">
      <c r="A1439" s="23"/>
      <c r="B1439" s="40"/>
      <c r="C1439" s="40"/>
      <c r="D1439" s="23"/>
      <c r="E1439" s="23"/>
      <c r="F1439" s="23"/>
      <c r="G1439" s="40"/>
      <c r="H1439" s="40"/>
      <c r="I1439" s="40"/>
      <c r="J1439" s="70"/>
      <c r="K1439" s="40"/>
      <c r="L1439" s="70"/>
      <c r="M1439" s="70"/>
      <c r="N1439" s="40"/>
      <c r="O1439" s="40"/>
      <c r="P1439" s="40"/>
      <c r="Q1439" s="40"/>
      <c r="R1439" s="72"/>
      <c r="S1439" s="40"/>
      <c r="T1439" s="40"/>
      <c r="U1439" s="40"/>
      <c r="V1439" s="40"/>
      <c r="W1439" s="40"/>
      <c r="X1439" s="40"/>
      <c r="Y1439" s="40"/>
      <c r="Z1439" s="40"/>
      <c r="AA1439" s="40"/>
      <c r="AB1439" s="40"/>
      <c r="AC1439" s="40"/>
      <c r="AD1439" s="40"/>
      <c r="AE1439" s="23"/>
    </row>
    <row r="1440" spans="1:31">
      <c r="A1440" s="23"/>
      <c r="B1440" s="40"/>
      <c r="C1440" s="40"/>
      <c r="D1440" s="23"/>
      <c r="E1440" s="23"/>
      <c r="F1440" s="23"/>
      <c r="G1440" s="40"/>
      <c r="H1440" s="40"/>
      <c r="I1440" s="40"/>
      <c r="J1440" s="70"/>
      <c r="K1440" s="40"/>
      <c r="L1440" s="70"/>
      <c r="M1440" s="70"/>
      <c r="N1440" s="40"/>
      <c r="O1440" s="40"/>
      <c r="P1440" s="40"/>
      <c r="Q1440" s="40"/>
      <c r="R1440" s="72"/>
      <c r="S1440" s="40"/>
      <c r="T1440" s="40"/>
      <c r="U1440" s="40"/>
      <c r="V1440" s="40"/>
      <c r="W1440" s="40"/>
      <c r="X1440" s="40"/>
      <c r="Y1440" s="40"/>
      <c r="Z1440" s="40"/>
      <c r="AA1440" s="40"/>
      <c r="AB1440" s="40"/>
      <c r="AC1440" s="40"/>
      <c r="AD1440" s="40"/>
      <c r="AE1440" s="23"/>
    </row>
    <row r="1441" spans="1:31">
      <c r="A1441" s="23"/>
      <c r="B1441" s="40"/>
      <c r="C1441" s="40"/>
      <c r="D1441" s="23"/>
      <c r="E1441" s="23"/>
      <c r="F1441" s="23"/>
      <c r="G1441" s="40"/>
      <c r="H1441" s="40"/>
      <c r="I1441" s="40"/>
      <c r="J1441" s="70"/>
      <c r="K1441" s="40"/>
      <c r="L1441" s="70"/>
      <c r="M1441" s="70"/>
      <c r="N1441" s="40"/>
      <c r="O1441" s="40"/>
      <c r="P1441" s="40"/>
      <c r="Q1441" s="40"/>
      <c r="R1441" s="72"/>
      <c r="S1441" s="40"/>
      <c r="T1441" s="40"/>
      <c r="U1441" s="40"/>
      <c r="V1441" s="40"/>
      <c r="W1441" s="40"/>
      <c r="X1441" s="40"/>
      <c r="Y1441" s="40"/>
      <c r="Z1441" s="40"/>
      <c r="AA1441" s="40"/>
      <c r="AB1441" s="40"/>
      <c r="AC1441" s="40"/>
      <c r="AD1441" s="40"/>
      <c r="AE1441" s="23"/>
    </row>
    <row r="1442" spans="1:31">
      <c r="A1442" s="23"/>
      <c r="B1442" s="40"/>
      <c r="C1442" s="40"/>
      <c r="D1442" s="23"/>
      <c r="E1442" s="23"/>
      <c r="F1442" s="23"/>
      <c r="G1442" s="40"/>
      <c r="H1442" s="40"/>
      <c r="I1442" s="40"/>
      <c r="J1442" s="70"/>
      <c r="K1442" s="40"/>
      <c r="L1442" s="70"/>
      <c r="M1442" s="70"/>
      <c r="N1442" s="40"/>
      <c r="O1442" s="40"/>
      <c r="P1442" s="40"/>
      <c r="Q1442" s="40"/>
      <c r="R1442" s="72"/>
      <c r="S1442" s="40"/>
      <c r="T1442" s="40"/>
      <c r="U1442" s="40"/>
      <c r="V1442" s="40"/>
      <c r="W1442" s="40"/>
      <c r="X1442" s="40"/>
      <c r="Y1442" s="40"/>
      <c r="Z1442" s="40"/>
      <c r="AA1442" s="40"/>
      <c r="AB1442" s="40"/>
      <c r="AC1442" s="40"/>
      <c r="AD1442" s="40"/>
      <c r="AE1442" s="23"/>
    </row>
    <row r="1443" spans="1:31" ht="24" customHeight="1">
      <c r="A1443" s="23"/>
      <c r="B1443" s="40"/>
      <c r="C1443" s="40"/>
      <c r="D1443" s="23"/>
      <c r="E1443" s="23"/>
      <c r="F1443" s="23"/>
      <c r="G1443" s="40"/>
      <c r="H1443" s="40"/>
      <c r="I1443" s="40"/>
      <c r="J1443" s="70"/>
      <c r="K1443" s="40"/>
      <c r="L1443" s="70"/>
      <c r="M1443" s="70"/>
      <c r="N1443" s="40"/>
      <c r="O1443" s="40"/>
      <c r="P1443" s="40"/>
      <c r="Q1443" s="40"/>
      <c r="R1443" s="72"/>
      <c r="S1443" s="40"/>
      <c r="T1443" s="40"/>
      <c r="U1443" s="40"/>
      <c r="V1443" s="40"/>
      <c r="W1443" s="40"/>
      <c r="X1443" s="40"/>
      <c r="Y1443" s="40"/>
      <c r="Z1443" s="40"/>
      <c r="AA1443" s="40"/>
      <c r="AB1443" s="40"/>
      <c r="AC1443" s="40"/>
      <c r="AD1443" s="40"/>
      <c r="AE1443" s="23"/>
    </row>
    <row r="1444" spans="1:31">
      <c r="A1444" s="23"/>
      <c r="B1444" s="40"/>
      <c r="C1444" s="40"/>
      <c r="D1444" s="23"/>
      <c r="E1444" s="23"/>
      <c r="F1444" s="23"/>
      <c r="G1444" s="40"/>
      <c r="H1444" s="40"/>
      <c r="I1444" s="40"/>
      <c r="J1444" s="70"/>
      <c r="K1444" s="40"/>
      <c r="L1444" s="70"/>
      <c r="M1444" s="70"/>
      <c r="N1444" s="40"/>
      <c r="O1444" s="40"/>
      <c r="P1444" s="40"/>
      <c r="Q1444" s="40"/>
      <c r="R1444" s="72"/>
      <c r="S1444" s="40"/>
      <c r="T1444" s="40"/>
      <c r="U1444" s="40"/>
      <c r="V1444" s="40"/>
      <c r="W1444" s="40"/>
      <c r="X1444" s="40"/>
      <c r="Y1444" s="40"/>
      <c r="Z1444" s="40"/>
      <c r="AA1444" s="40"/>
      <c r="AB1444" s="40"/>
      <c r="AC1444" s="40"/>
      <c r="AD1444" s="40"/>
      <c r="AE1444" s="23"/>
    </row>
    <row r="1445" spans="1:31">
      <c r="A1445" s="23"/>
      <c r="B1445" s="40"/>
      <c r="C1445" s="40"/>
      <c r="D1445" s="23"/>
      <c r="E1445" s="23"/>
      <c r="F1445" s="23"/>
      <c r="G1445" s="40"/>
      <c r="H1445" s="40"/>
      <c r="I1445" s="40"/>
      <c r="J1445" s="70"/>
      <c r="K1445" s="40"/>
      <c r="L1445" s="70"/>
      <c r="M1445" s="70"/>
      <c r="N1445" s="40"/>
      <c r="O1445" s="40"/>
      <c r="P1445" s="40"/>
      <c r="Q1445" s="40"/>
      <c r="R1445" s="72"/>
      <c r="S1445" s="40"/>
      <c r="T1445" s="40"/>
      <c r="U1445" s="40"/>
      <c r="V1445" s="40"/>
      <c r="W1445" s="40"/>
      <c r="X1445" s="40"/>
      <c r="Y1445" s="40"/>
      <c r="Z1445" s="40"/>
      <c r="AA1445" s="40"/>
      <c r="AB1445" s="40"/>
      <c r="AC1445" s="40"/>
      <c r="AD1445" s="40"/>
      <c r="AE1445" s="23"/>
    </row>
    <row r="1446" spans="1:31">
      <c r="A1446" s="23"/>
      <c r="B1446" s="40"/>
      <c r="C1446" s="40"/>
      <c r="D1446" s="23"/>
      <c r="E1446" s="23"/>
      <c r="F1446" s="23"/>
      <c r="G1446" s="40"/>
      <c r="H1446" s="40"/>
      <c r="I1446" s="40"/>
      <c r="J1446" s="70"/>
      <c r="K1446" s="40"/>
      <c r="L1446" s="70"/>
      <c r="M1446" s="70"/>
      <c r="N1446" s="40"/>
      <c r="O1446" s="40"/>
      <c r="P1446" s="40"/>
      <c r="Q1446" s="40"/>
      <c r="R1446" s="72"/>
      <c r="S1446" s="40"/>
      <c r="T1446" s="40"/>
      <c r="U1446" s="40"/>
      <c r="V1446" s="40"/>
      <c r="W1446" s="40"/>
      <c r="X1446" s="40"/>
      <c r="Y1446" s="40"/>
      <c r="Z1446" s="40"/>
      <c r="AA1446" s="40"/>
      <c r="AB1446" s="40"/>
      <c r="AC1446" s="40"/>
      <c r="AD1446" s="40"/>
      <c r="AE1446" s="23"/>
    </row>
    <row r="1447" spans="1:31">
      <c r="A1447" s="23"/>
      <c r="B1447" s="40"/>
      <c r="C1447" s="40"/>
      <c r="D1447" s="23"/>
      <c r="E1447" s="23"/>
      <c r="F1447" s="23"/>
      <c r="G1447" s="40"/>
      <c r="H1447" s="40"/>
      <c r="I1447" s="40"/>
      <c r="J1447" s="70"/>
      <c r="K1447" s="40"/>
      <c r="L1447" s="70"/>
      <c r="M1447" s="70"/>
      <c r="N1447" s="40"/>
      <c r="O1447" s="40"/>
      <c r="P1447" s="40"/>
      <c r="Q1447" s="40"/>
      <c r="R1447" s="72"/>
      <c r="S1447" s="40"/>
      <c r="T1447" s="40"/>
      <c r="U1447" s="40"/>
      <c r="V1447" s="40"/>
      <c r="W1447" s="40"/>
      <c r="X1447" s="40"/>
      <c r="Y1447" s="40"/>
      <c r="Z1447" s="40"/>
      <c r="AA1447" s="40"/>
      <c r="AB1447" s="40"/>
      <c r="AC1447" s="40"/>
      <c r="AD1447" s="40"/>
      <c r="AE1447" s="23"/>
    </row>
    <row r="1448" spans="1:31">
      <c r="A1448" s="23"/>
      <c r="B1448" s="40"/>
      <c r="C1448" s="40"/>
      <c r="D1448" s="23"/>
      <c r="E1448" s="23"/>
      <c r="F1448" s="23"/>
      <c r="G1448" s="40"/>
      <c r="H1448" s="40"/>
      <c r="I1448" s="40"/>
      <c r="J1448" s="70"/>
      <c r="K1448" s="40"/>
      <c r="L1448" s="70"/>
      <c r="M1448" s="70"/>
      <c r="N1448" s="40"/>
      <c r="O1448" s="40"/>
      <c r="P1448" s="40"/>
      <c r="Q1448" s="40"/>
      <c r="R1448" s="72"/>
      <c r="S1448" s="40"/>
      <c r="T1448" s="40"/>
      <c r="U1448" s="40"/>
      <c r="V1448" s="40"/>
      <c r="W1448" s="40"/>
      <c r="X1448" s="40"/>
      <c r="Y1448" s="40"/>
      <c r="Z1448" s="40"/>
      <c r="AA1448" s="40"/>
      <c r="AB1448" s="40"/>
      <c r="AC1448" s="40"/>
      <c r="AD1448" s="40"/>
      <c r="AE1448" s="23"/>
    </row>
    <row r="1449" spans="1:31">
      <c r="A1449" s="23"/>
      <c r="B1449" s="40"/>
      <c r="C1449" s="40"/>
      <c r="D1449" s="23"/>
      <c r="E1449" s="23"/>
      <c r="F1449" s="23"/>
      <c r="G1449" s="40"/>
      <c r="H1449" s="40"/>
      <c r="I1449" s="40"/>
      <c r="J1449" s="70"/>
      <c r="K1449" s="40"/>
      <c r="L1449" s="70"/>
      <c r="M1449" s="70"/>
      <c r="N1449" s="40"/>
      <c r="O1449" s="40"/>
      <c r="P1449" s="40"/>
      <c r="Q1449" s="40"/>
      <c r="R1449" s="72"/>
      <c r="S1449" s="40"/>
      <c r="T1449" s="40"/>
      <c r="U1449" s="40"/>
      <c r="V1449" s="40"/>
      <c r="W1449" s="40"/>
      <c r="X1449" s="40"/>
      <c r="Y1449" s="40"/>
      <c r="Z1449" s="40"/>
      <c r="AA1449" s="40"/>
      <c r="AB1449" s="40"/>
      <c r="AC1449" s="40"/>
      <c r="AD1449" s="40"/>
      <c r="AE1449" s="23"/>
    </row>
    <row r="1450" spans="1:31">
      <c r="A1450" s="23"/>
      <c r="B1450" s="40"/>
      <c r="C1450" s="40"/>
      <c r="D1450" s="23"/>
      <c r="E1450" s="23"/>
      <c r="F1450" s="23"/>
      <c r="G1450" s="40"/>
      <c r="H1450" s="40"/>
      <c r="I1450" s="40"/>
      <c r="J1450" s="70"/>
      <c r="K1450" s="40"/>
      <c r="L1450" s="70"/>
      <c r="M1450" s="70"/>
      <c r="N1450" s="40"/>
      <c r="O1450" s="40"/>
      <c r="P1450" s="40"/>
      <c r="Q1450" s="40"/>
      <c r="R1450" s="72"/>
      <c r="S1450" s="40"/>
      <c r="T1450" s="40"/>
      <c r="U1450" s="40"/>
      <c r="V1450" s="40"/>
      <c r="W1450" s="40"/>
      <c r="X1450" s="40"/>
      <c r="Y1450" s="40"/>
      <c r="Z1450" s="40"/>
      <c r="AA1450" s="40"/>
      <c r="AB1450" s="40"/>
      <c r="AC1450" s="40"/>
      <c r="AD1450" s="40"/>
      <c r="AE1450" s="23"/>
    </row>
    <row r="1451" spans="1:31">
      <c r="A1451" s="23"/>
      <c r="B1451" s="40"/>
      <c r="C1451" s="40"/>
      <c r="D1451" s="23"/>
      <c r="E1451" s="23"/>
      <c r="F1451" s="23"/>
      <c r="G1451" s="40"/>
      <c r="H1451" s="40"/>
      <c r="I1451" s="40"/>
      <c r="J1451" s="70"/>
      <c r="K1451" s="40"/>
      <c r="L1451" s="70"/>
      <c r="M1451" s="70"/>
      <c r="N1451" s="40"/>
      <c r="O1451" s="40"/>
      <c r="P1451" s="40"/>
      <c r="Q1451" s="40"/>
      <c r="R1451" s="72"/>
      <c r="S1451" s="40"/>
      <c r="T1451" s="40"/>
      <c r="U1451" s="40"/>
      <c r="V1451" s="40"/>
      <c r="W1451" s="40"/>
      <c r="X1451" s="40"/>
      <c r="Y1451" s="40"/>
      <c r="Z1451" s="40"/>
      <c r="AA1451" s="40"/>
      <c r="AB1451" s="40"/>
      <c r="AC1451" s="40"/>
      <c r="AD1451" s="40"/>
      <c r="AE1451" s="23"/>
    </row>
    <row r="1452" spans="1:31">
      <c r="A1452" s="23"/>
      <c r="B1452" s="40"/>
      <c r="C1452" s="40"/>
      <c r="D1452" s="23"/>
      <c r="E1452" s="23"/>
      <c r="F1452" s="23"/>
      <c r="G1452" s="40"/>
      <c r="H1452" s="40"/>
      <c r="I1452" s="40"/>
      <c r="J1452" s="70"/>
      <c r="K1452" s="40"/>
      <c r="L1452" s="70"/>
      <c r="M1452" s="70"/>
      <c r="N1452" s="40"/>
      <c r="O1452" s="40"/>
      <c r="P1452" s="40"/>
      <c r="Q1452" s="40"/>
      <c r="R1452" s="72"/>
      <c r="S1452" s="40"/>
      <c r="T1452" s="40"/>
      <c r="U1452" s="40"/>
      <c r="V1452" s="40"/>
      <c r="W1452" s="40"/>
      <c r="X1452" s="40"/>
      <c r="Y1452" s="40"/>
      <c r="Z1452" s="40"/>
      <c r="AA1452" s="40"/>
      <c r="AB1452" s="40"/>
      <c r="AC1452" s="40"/>
      <c r="AD1452" s="40"/>
      <c r="AE1452" s="23"/>
    </row>
    <row r="1453" spans="1:31">
      <c r="A1453" s="23"/>
      <c r="B1453" s="40"/>
      <c r="C1453" s="40"/>
      <c r="D1453" s="23"/>
      <c r="E1453" s="23"/>
      <c r="F1453" s="23"/>
      <c r="G1453" s="40"/>
      <c r="H1453" s="40"/>
      <c r="I1453" s="40"/>
      <c r="J1453" s="70"/>
      <c r="K1453" s="40"/>
      <c r="L1453" s="70"/>
      <c r="M1453" s="70"/>
      <c r="N1453" s="40"/>
      <c r="O1453" s="40"/>
      <c r="P1453" s="40"/>
      <c r="Q1453" s="40"/>
      <c r="R1453" s="72"/>
      <c r="S1453" s="40"/>
      <c r="T1453" s="40"/>
      <c r="U1453" s="40"/>
      <c r="V1453" s="40"/>
      <c r="W1453" s="40"/>
      <c r="X1453" s="40"/>
      <c r="Y1453" s="40"/>
      <c r="Z1453" s="40"/>
      <c r="AA1453" s="40"/>
      <c r="AB1453" s="40"/>
      <c r="AC1453" s="40"/>
      <c r="AD1453" s="40"/>
      <c r="AE1453" s="23"/>
    </row>
    <row r="1454" spans="1:31">
      <c r="A1454" s="23"/>
      <c r="B1454" s="40"/>
      <c r="C1454" s="40"/>
      <c r="D1454" s="23"/>
      <c r="E1454" s="23"/>
      <c r="F1454" s="23"/>
      <c r="G1454" s="40"/>
      <c r="H1454" s="40"/>
      <c r="I1454" s="40"/>
      <c r="J1454" s="70"/>
      <c r="K1454" s="40"/>
      <c r="L1454" s="70"/>
      <c r="M1454" s="70"/>
      <c r="N1454" s="40"/>
      <c r="O1454" s="40"/>
      <c r="P1454" s="40"/>
      <c r="Q1454" s="40"/>
      <c r="R1454" s="72"/>
      <c r="S1454" s="40"/>
      <c r="T1454" s="40"/>
      <c r="U1454" s="40"/>
      <c r="V1454" s="40"/>
      <c r="W1454" s="40"/>
      <c r="X1454" s="40"/>
      <c r="Y1454" s="40"/>
      <c r="Z1454" s="40"/>
      <c r="AA1454" s="40"/>
      <c r="AB1454" s="40"/>
      <c r="AC1454" s="40"/>
      <c r="AD1454" s="40"/>
      <c r="AE1454" s="23"/>
    </row>
    <row r="1455" spans="1:31">
      <c r="A1455" s="23"/>
      <c r="B1455" s="40"/>
      <c r="C1455" s="40"/>
      <c r="D1455" s="23"/>
      <c r="E1455" s="23"/>
      <c r="F1455" s="23"/>
      <c r="G1455" s="40"/>
      <c r="H1455" s="40"/>
      <c r="I1455" s="40"/>
      <c r="J1455" s="70"/>
      <c r="K1455" s="40"/>
      <c r="L1455" s="70"/>
      <c r="M1455" s="70"/>
      <c r="N1455" s="40"/>
      <c r="O1455" s="40"/>
      <c r="P1455" s="40"/>
      <c r="Q1455" s="40"/>
      <c r="R1455" s="72"/>
      <c r="S1455" s="40"/>
      <c r="T1455" s="40"/>
      <c r="U1455" s="40"/>
      <c r="V1455" s="40"/>
      <c r="W1455" s="40"/>
      <c r="X1455" s="40"/>
      <c r="Y1455" s="40"/>
      <c r="Z1455" s="40"/>
      <c r="AA1455" s="40"/>
      <c r="AB1455" s="40"/>
      <c r="AC1455" s="40"/>
      <c r="AD1455" s="40"/>
      <c r="AE1455" s="23"/>
    </row>
    <row r="1456" spans="1:31">
      <c r="A1456" s="23"/>
      <c r="B1456" s="40"/>
      <c r="C1456" s="40"/>
      <c r="D1456" s="23"/>
      <c r="E1456" s="23"/>
      <c r="F1456" s="23"/>
      <c r="G1456" s="40"/>
      <c r="H1456" s="40"/>
      <c r="I1456" s="40"/>
      <c r="J1456" s="70"/>
      <c r="K1456" s="40"/>
      <c r="L1456" s="70"/>
      <c r="M1456" s="70"/>
      <c r="N1456" s="40"/>
      <c r="O1456" s="40"/>
      <c r="P1456" s="40"/>
      <c r="Q1456" s="40"/>
      <c r="R1456" s="72"/>
      <c r="S1456" s="40"/>
      <c r="T1456" s="40"/>
      <c r="U1456" s="40"/>
      <c r="V1456" s="40"/>
      <c r="W1456" s="40"/>
      <c r="X1456" s="40"/>
      <c r="Y1456" s="40"/>
      <c r="Z1456" s="40"/>
      <c r="AA1456" s="40"/>
      <c r="AB1456" s="40"/>
      <c r="AC1456" s="40"/>
      <c r="AD1456" s="40"/>
      <c r="AE1456" s="23"/>
    </row>
    <row r="1457" spans="1:31" ht="24" customHeight="1">
      <c r="A1457" s="23"/>
      <c r="B1457" s="40"/>
      <c r="C1457" s="40"/>
      <c r="D1457" s="23"/>
      <c r="E1457" s="23"/>
      <c r="F1457" s="23"/>
      <c r="G1457" s="40"/>
      <c r="H1457" s="40"/>
      <c r="I1457" s="40"/>
      <c r="J1457" s="70"/>
      <c r="K1457" s="40"/>
      <c r="L1457" s="70"/>
      <c r="M1457" s="70"/>
      <c r="N1457" s="40"/>
      <c r="O1457" s="40"/>
      <c r="P1457" s="40"/>
      <c r="Q1457" s="40"/>
      <c r="R1457" s="72"/>
      <c r="S1457" s="40"/>
      <c r="T1457" s="40"/>
      <c r="U1457" s="40"/>
      <c r="V1457" s="40"/>
      <c r="W1457" s="40"/>
      <c r="X1457" s="40"/>
      <c r="Y1457" s="40"/>
      <c r="Z1457" s="40"/>
      <c r="AA1457" s="40"/>
      <c r="AB1457" s="40"/>
      <c r="AC1457" s="40"/>
      <c r="AD1457" s="40"/>
      <c r="AE1457" s="23"/>
    </row>
    <row r="1458" spans="1:31">
      <c r="A1458" s="23"/>
      <c r="B1458" s="40"/>
      <c r="C1458" s="40"/>
      <c r="D1458" s="23"/>
      <c r="E1458" s="23"/>
      <c r="F1458" s="23"/>
      <c r="G1458" s="40"/>
      <c r="H1458" s="40"/>
      <c r="I1458" s="40"/>
      <c r="J1458" s="70"/>
      <c r="K1458" s="40"/>
      <c r="L1458" s="70"/>
      <c r="M1458" s="70"/>
      <c r="N1458" s="40"/>
      <c r="O1458" s="70"/>
      <c r="P1458" s="23"/>
      <c r="Q1458" s="23"/>
      <c r="R1458" s="72"/>
      <c r="S1458" s="23"/>
      <c r="T1458" s="23"/>
      <c r="U1458" s="23"/>
      <c r="V1458" s="23"/>
      <c r="W1458" s="23"/>
      <c r="X1458" s="23"/>
      <c r="Y1458" s="23"/>
      <c r="Z1458" s="23"/>
      <c r="AA1458" s="23"/>
      <c r="AB1458" s="23"/>
      <c r="AC1458" s="23"/>
      <c r="AD1458" s="23"/>
      <c r="AE1458" s="23"/>
    </row>
    <row r="1459" spans="1:31">
      <c r="A1459" s="23"/>
      <c r="B1459" s="40"/>
      <c r="C1459" s="40"/>
      <c r="D1459" s="23"/>
      <c r="E1459" s="23"/>
      <c r="F1459" s="23"/>
      <c r="G1459" s="40"/>
      <c r="H1459" s="40"/>
      <c r="I1459" s="40"/>
      <c r="J1459" s="70"/>
      <c r="K1459" s="40"/>
      <c r="L1459" s="70"/>
      <c r="M1459" s="70"/>
      <c r="N1459" s="40"/>
      <c r="O1459" s="70"/>
      <c r="P1459" s="23"/>
      <c r="Q1459" s="23"/>
      <c r="R1459" s="72"/>
      <c r="S1459" s="23"/>
      <c r="T1459" s="23"/>
      <c r="U1459" s="23"/>
      <c r="V1459" s="23"/>
      <c r="W1459" s="23"/>
      <c r="X1459" s="23"/>
      <c r="Y1459" s="23"/>
      <c r="Z1459" s="23"/>
      <c r="AA1459" s="23"/>
      <c r="AB1459" s="23"/>
      <c r="AC1459" s="23"/>
      <c r="AD1459" s="23"/>
      <c r="AE1459" s="23"/>
    </row>
    <row r="1460" spans="1:31">
      <c r="A1460" s="23"/>
      <c r="B1460" s="40"/>
      <c r="C1460" s="40"/>
      <c r="D1460" s="23"/>
      <c r="E1460" s="23"/>
      <c r="F1460" s="23"/>
      <c r="G1460" s="40"/>
      <c r="H1460" s="40"/>
      <c r="I1460" s="40"/>
      <c r="J1460" s="70"/>
      <c r="K1460" s="40"/>
      <c r="L1460" s="70"/>
      <c r="M1460" s="70"/>
      <c r="N1460" s="40"/>
      <c r="O1460" s="70"/>
      <c r="P1460" s="23"/>
      <c r="Q1460" s="23"/>
      <c r="R1460" s="72"/>
      <c r="S1460" s="23"/>
      <c r="T1460" s="23"/>
      <c r="U1460" s="23"/>
      <c r="V1460" s="23"/>
      <c r="W1460" s="23"/>
      <c r="X1460" s="23"/>
      <c r="Y1460" s="23"/>
      <c r="Z1460" s="23"/>
      <c r="AA1460" s="23"/>
      <c r="AB1460" s="23"/>
      <c r="AC1460" s="23"/>
      <c r="AD1460" s="23"/>
      <c r="AE1460" s="23"/>
    </row>
    <row r="1461" spans="1:31">
      <c r="A1461" s="23"/>
      <c r="B1461" s="40"/>
      <c r="C1461" s="40"/>
      <c r="D1461" s="23"/>
      <c r="E1461" s="23"/>
      <c r="F1461" s="23"/>
      <c r="G1461" s="40"/>
      <c r="H1461" s="40"/>
      <c r="I1461" s="40"/>
      <c r="J1461" s="70"/>
      <c r="K1461" s="40"/>
      <c r="L1461" s="70"/>
      <c r="M1461" s="70"/>
      <c r="N1461" s="40"/>
      <c r="O1461" s="70"/>
      <c r="P1461" s="23"/>
      <c r="Q1461" s="23"/>
      <c r="R1461" s="72"/>
      <c r="S1461" s="23"/>
      <c r="T1461" s="23"/>
      <c r="U1461" s="23"/>
      <c r="V1461" s="23"/>
      <c r="W1461" s="23"/>
      <c r="X1461" s="23"/>
      <c r="Y1461" s="23"/>
      <c r="Z1461" s="23"/>
      <c r="AA1461" s="23"/>
      <c r="AB1461" s="23"/>
      <c r="AC1461" s="23"/>
      <c r="AD1461" s="23"/>
      <c r="AE1461" s="23"/>
    </row>
    <row r="1462" spans="1:31" ht="24" customHeight="1">
      <c r="A1462" s="23"/>
      <c r="B1462" s="40"/>
      <c r="C1462" s="40"/>
      <c r="D1462" s="23"/>
      <c r="E1462" s="23"/>
      <c r="F1462" s="23"/>
      <c r="G1462" s="40"/>
      <c r="H1462" s="40"/>
      <c r="I1462" s="40"/>
      <c r="J1462" s="70"/>
      <c r="K1462" s="40"/>
      <c r="L1462" s="70"/>
      <c r="M1462" s="70"/>
      <c r="N1462" s="40"/>
      <c r="O1462" s="70"/>
      <c r="P1462" s="23"/>
      <c r="Q1462" s="23"/>
      <c r="R1462" s="72"/>
      <c r="S1462" s="23"/>
      <c r="T1462" s="23"/>
      <c r="U1462" s="23"/>
      <c r="V1462" s="23"/>
      <c r="W1462" s="23"/>
      <c r="X1462" s="23"/>
      <c r="Y1462" s="23"/>
      <c r="Z1462" s="23"/>
      <c r="AA1462" s="23"/>
      <c r="AB1462" s="23"/>
      <c r="AC1462" s="23"/>
      <c r="AD1462" s="23"/>
      <c r="AE1462" s="23"/>
    </row>
    <row r="1463" spans="1:31">
      <c r="A1463" s="23"/>
      <c r="B1463" s="40"/>
      <c r="C1463" s="40"/>
      <c r="D1463" s="23"/>
      <c r="E1463" s="23"/>
      <c r="F1463" s="23"/>
      <c r="G1463" s="40"/>
      <c r="H1463" s="40"/>
      <c r="I1463" s="40"/>
      <c r="J1463" s="70"/>
      <c r="K1463" s="40"/>
      <c r="L1463" s="70"/>
      <c r="M1463" s="70"/>
      <c r="N1463" s="40"/>
      <c r="O1463" s="70"/>
      <c r="P1463" s="23"/>
      <c r="Q1463" s="23"/>
      <c r="R1463" s="72"/>
      <c r="S1463" s="23"/>
      <c r="T1463" s="23"/>
      <c r="U1463" s="23"/>
      <c r="V1463" s="23"/>
      <c r="W1463" s="23"/>
      <c r="X1463" s="23"/>
      <c r="Y1463" s="23"/>
      <c r="Z1463" s="23"/>
      <c r="AA1463" s="23"/>
      <c r="AB1463" s="23"/>
      <c r="AC1463" s="23"/>
      <c r="AD1463" s="23"/>
      <c r="AE1463" s="23"/>
    </row>
    <row r="1464" spans="1:31">
      <c r="A1464" s="23"/>
      <c r="B1464" s="40"/>
      <c r="C1464" s="40"/>
      <c r="D1464" s="23"/>
      <c r="E1464" s="23"/>
      <c r="F1464" s="23"/>
      <c r="G1464" s="40"/>
      <c r="H1464" s="40"/>
      <c r="I1464" s="40"/>
      <c r="J1464" s="70"/>
      <c r="K1464" s="40"/>
      <c r="L1464" s="70"/>
      <c r="M1464" s="70"/>
      <c r="N1464" s="40"/>
      <c r="O1464" s="70"/>
      <c r="P1464" s="23"/>
      <c r="Q1464" s="23"/>
      <c r="R1464" s="72"/>
      <c r="S1464" s="23"/>
      <c r="T1464" s="23"/>
      <c r="U1464" s="23"/>
      <c r="V1464" s="23"/>
      <c r="W1464" s="23"/>
      <c r="X1464" s="23"/>
      <c r="Y1464" s="23"/>
      <c r="Z1464" s="23"/>
      <c r="AA1464" s="23"/>
      <c r="AB1464" s="23"/>
      <c r="AC1464" s="23"/>
      <c r="AD1464" s="23"/>
      <c r="AE1464" s="23"/>
    </row>
    <row r="1465" spans="1:31">
      <c r="A1465" s="23"/>
      <c r="B1465" s="40"/>
      <c r="C1465" s="40"/>
      <c r="D1465" s="23"/>
      <c r="E1465" s="23"/>
      <c r="F1465" s="23"/>
      <c r="G1465" s="40"/>
      <c r="H1465" s="40"/>
      <c r="I1465" s="40"/>
      <c r="J1465" s="70"/>
      <c r="K1465" s="40"/>
      <c r="L1465" s="70"/>
      <c r="M1465" s="70"/>
      <c r="N1465" s="40"/>
      <c r="O1465" s="70"/>
      <c r="P1465" s="23"/>
      <c r="Q1465" s="23"/>
      <c r="R1465" s="72"/>
      <c r="S1465" s="23"/>
      <c r="T1465" s="23"/>
      <c r="U1465" s="23"/>
      <c r="V1465" s="23"/>
      <c r="W1465" s="23"/>
      <c r="X1465" s="23"/>
      <c r="Y1465" s="23"/>
      <c r="Z1465" s="23"/>
      <c r="AA1465" s="23"/>
      <c r="AB1465" s="23"/>
      <c r="AC1465" s="23"/>
      <c r="AD1465" s="23"/>
      <c r="AE1465" s="23"/>
    </row>
    <row r="1466" spans="1:31">
      <c r="A1466" s="23"/>
      <c r="B1466" s="40"/>
      <c r="C1466" s="40"/>
      <c r="D1466" s="23"/>
      <c r="E1466" s="23"/>
      <c r="F1466" s="23"/>
      <c r="G1466" s="40"/>
      <c r="H1466" s="40"/>
      <c r="I1466" s="40"/>
      <c r="J1466" s="70"/>
      <c r="K1466" s="40"/>
      <c r="L1466" s="70"/>
      <c r="M1466" s="70"/>
      <c r="N1466" s="40"/>
      <c r="O1466" s="70"/>
      <c r="P1466" s="23"/>
      <c r="Q1466" s="23"/>
      <c r="R1466" s="72"/>
      <c r="S1466" s="23"/>
      <c r="T1466" s="23"/>
      <c r="U1466" s="23"/>
      <c r="V1466" s="23"/>
      <c r="W1466" s="23"/>
      <c r="X1466" s="23"/>
      <c r="Y1466" s="23"/>
      <c r="Z1466" s="23"/>
      <c r="AA1466" s="23"/>
      <c r="AB1466" s="23"/>
      <c r="AC1466" s="23"/>
      <c r="AD1466" s="23"/>
      <c r="AE1466" s="23"/>
    </row>
    <row r="1467" spans="1:31" ht="24" customHeight="1">
      <c r="A1467" s="23"/>
      <c r="B1467" s="40"/>
      <c r="C1467" s="40"/>
      <c r="D1467" s="23"/>
      <c r="E1467" s="23"/>
      <c r="F1467" s="23"/>
      <c r="G1467" s="40"/>
      <c r="H1467" s="40"/>
      <c r="I1467" s="40"/>
      <c r="J1467" s="70"/>
      <c r="K1467" s="40"/>
      <c r="L1467" s="70"/>
      <c r="M1467" s="70"/>
      <c r="N1467" s="40"/>
      <c r="O1467" s="70"/>
      <c r="P1467" s="23"/>
      <c r="Q1467" s="23"/>
      <c r="R1467" s="72"/>
      <c r="S1467" s="23"/>
      <c r="T1467" s="23"/>
      <c r="U1467" s="23"/>
      <c r="V1467" s="23"/>
      <c r="W1467" s="23"/>
      <c r="X1467" s="23"/>
      <c r="Y1467" s="23"/>
      <c r="Z1467" s="23"/>
      <c r="AA1467" s="23"/>
      <c r="AB1467" s="23"/>
      <c r="AC1467" s="23"/>
      <c r="AD1467" s="23"/>
      <c r="AE1467" s="23"/>
    </row>
    <row r="1468" spans="1:31">
      <c r="A1468" s="23"/>
      <c r="B1468" s="40"/>
      <c r="C1468" s="40"/>
      <c r="D1468" s="23"/>
      <c r="E1468" s="23"/>
      <c r="F1468" s="23"/>
      <c r="G1468" s="40"/>
      <c r="H1468" s="40"/>
      <c r="I1468" s="40"/>
      <c r="J1468" s="70"/>
      <c r="K1468" s="40"/>
      <c r="L1468" s="70"/>
      <c r="M1468" s="70"/>
      <c r="N1468" s="40"/>
      <c r="O1468" s="70"/>
      <c r="P1468" s="23"/>
      <c r="Q1468" s="23"/>
      <c r="R1468" s="72"/>
      <c r="S1468" s="23"/>
      <c r="T1468" s="23"/>
      <c r="U1468" s="23"/>
      <c r="V1468" s="23"/>
      <c r="W1468" s="23"/>
      <c r="X1468" s="23"/>
      <c r="Y1468" s="23"/>
      <c r="Z1468" s="23"/>
      <c r="AA1468" s="23"/>
      <c r="AB1468" s="23"/>
      <c r="AC1468" s="23"/>
      <c r="AD1468" s="23"/>
      <c r="AE1468" s="23"/>
    </row>
    <row r="1469" spans="1:31">
      <c r="A1469" s="23"/>
      <c r="B1469" s="40"/>
      <c r="C1469" s="40"/>
      <c r="D1469" s="23"/>
      <c r="E1469" s="23"/>
      <c r="F1469" s="23"/>
      <c r="G1469" s="40"/>
      <c r="H1469" s="40"/>
      <c r="I1469" s="40"/>
      <c r="J1469" s="70"/>
      <c r="K1469" s="40"/>
      <c r="L1469" s="70"/>
      <c r="M1469" s="70"/>
      <c r="N1469" s="40"/>
      <c r="O1469" s="70"/>
      <c r="P1469" s="23"/>
      <c r="Q1469" s="23"/>
      <c r="R1469" s="72"/>
      <c r="S1469" s="23"/>
      <c r="T1469" s="23"/>
      <c r="U1469" s="23"/>
      <c r="V1469" s="23"/>
      <c r="W1469" s="23"/>
      <c r="X1469" s="23"/>
      <c r="Y1469" s="23"/>
      <c r="Z1469" s="23"/>
      <c r="AA1469" s="23"/>
      <c r="AB1469" s="23"/>
      <c r="AC1469" s="23"/>
      <c r="AD1469" s="23"/>
      <c r="AE1469" s="23"/>
    </row>
    <row r="1470" spans="1:31">
      <c r="A1470" s="23"/>
      <c r="B1470" s="40"/>
      <c r="C1470" s="40"/>
      <c r="D1470" s="23"/>
      <c r="E1470" s="23"/>
      <c r="F1470" s="23"/>
      <c r="G1470" s="40"/>
      <c r="H1470" s="40"/>
      <c r="I1470" s="40"/>
      <c r="J1470" s="70"/>
      <c r="K1470" s="40"/>
      <c r="L1470" s="70"/>
      <c r="M1470" s="70"/>
      <c r="N1470" s="40"/>
      <c r="O1470" s="70"/>
      <c r="P1470" s="23"/>
      <c r="Q1470" s="23"/>
      <c r="R1470" s="72"/>
      <c r="S1470" s="23"/>
      <c r="T1470" s="23"/>
      <c r="U1470" s="23"/>
      <c r="V1470" s="23"/>
      <c r="W1470" s="23"/>
      <c r="X1470" s="23"/>
      <c r="Y1470" s="23"/>
      <c r="Z1470" s="23"/>
      <c r="AA1470" s="23"/>
      <c r="AB1470" s="23"/>
      <c r="AC1470" s="23"/>
      <c r="AD1470" s="23"/>
      <c r="AE1470" s="23"/>
    </row>
    <row r="1471" spans="1:31">
      <c r="A1471" s="23"/>
      <c r="B1471" s="40"/>
      <c r="C1471" s="40"/>
      <c r="D1471" s="23"/>
      <c r="E1471" s="23"/>
      <c r="F1471" s="23"/>
      <c r="G1471" s="40"/>
      <c r="H1471" s="40"/>
      <c r="I1471" s="40"/>
      <c r="J1471" s="70"/>
      <c r="K1471" s="40"/>
      <c r="L1471" s="70"/>
      <c r="M1471" s="70"/>
      <c r="N1471" s="40"/>
      <c r="O1471" s="70"/>
      <c r="P1471" s="23"/>
      <c r="Q1471" s="23"/>
      <c r="R1471" s="72"/>
      <c r="S1471" s="23"/>
      <c r="T1471" s="23"/>
      <c r="U1471" s="23"/>
      <c r="V1471" s="23"/>
      <c r="W1471" s="23"/>
      <c r="X1471" s="23"/>
      <c r="Y1471" s="23"/>
      <c r="Z1471" s="23"/>
      <c r="AA1471" s="23"/>
      <c r="AB1471" s="23"/>
      <c r="AC1471" s="23"/>
      <c r="AD1471" s="23"/>
      <c r="AE1471" s="23"/>
    </row>
    <row r="1472" spans="1:31">
      <c r="A1472" s="23"/>
      <c r="B1472" s="40"/>
      <c r="C1472" s="40"/>
      <c r="D1472" s="23"/>
      <c r="E1472" s="23"/>
      <c r="F1472" s="23"/>
      <c r="G1472" s="40"/>
      <c r="H1472" s="40"/>
      <c r="I1472" s="40"/>
      <c r="J1472" s="70"/>
      <c r="K1472" s="40"/>
      <c r="L1472" s="70"/>
      <c r="M1472" s="70"/>
      <c r="N1472" s="40"/>
      <c r="O1472" s="70"/>
      <c r="P1472" s="23"/>
      <c r="Q1472" s="23"/>
      <c r="R1472" s="72"/>
      <c r="S1472" s="23"/>
      <c r="T1472" s="23"/>
      <c r="U1472" s="23"/>
      <c r="V1472" s="23"/>
      <c r="W1472" s="23"/>
      <c r="X1472" s="23"/>
      <c r="Y1472" s="23"/>
      <c r="Z1472" s="23"/>
      <c r="AA1472" s="23"/>
      <c r="AB1472" s="23"/>
      <c r="AC1472" s="23"/>
      <c r="AD1472" s="23"/>
      <c r="AE1472" s="23"/>
    </row>
    <row r="1473" spans="1:31">
      <c r="A1473" s="23"/>
      <c r="B1473" s="40"/>
      <c r="C1473" s="40"/>
      <c r="D1473" s="23"/>
      <c r="E1473" s="23"/>
      <c r="F1473" s="23"/>
      <c r="G1473" s="40"/>
      <c r="H1473" s="40"/>
      <c r="I1473" s="40"/>
      <c r="J1473" s="70"/>
      <c r="K1473" s="40"/>
      <c r="L1473" s="70"/>
      <c r="M1473" s="70"/>
      <c r="N1473" s="40"/>
      <c r="O1473" s="70"/>
      <c r="P1473" s="23"/>
      <c r="Q1473" s="23"/>
      <c r="R1473" s="72"/>
      <c r="S1473" s="23"/>
      <c r="T1473" s="23"/>
      <c r="U1473" s="23"/>
      <c r="V1473" s="23"/>
      <c r="W1473" s="23"/>
      <c r="X1473" s="23"/>
      <c r="Y1473" s="23"/>
      <c r="Z1473" s="23"/>
      <c r="AA1473" s="23"/>
      <c r="AB1473" s="23"/>
      <c r="AC1473" s="23"/>
      <c r="AD1473" s="23"/>
      <c r="AE1473" s="23"/>
    </row>
    <row r="1474" spans="1:31">
      <c r="A1474" s="23"/>
      <c r="B1474" s="40"/>
      <c r="C1474" s="40"/>
      <c r="D1474" s="23"/>
      <c r="E1474" s="23"/>
      <c r="F1474" s="23"/>
      <c r="G1474" s="40"/>
      <c r="H1474" s="40"/>
      <c r="I1474" s="40"/>
      <c r="J1474" s="70"/>
      <c r="K1474" s="40"/>
      <c r="L1474" s="70"/>
      <c r="M1474" s="70"/>
      <c r="N1474" s="40"/>
      <c r="O1474" s="70"/>
      <c r="P1474" s="23"/>
      <c r="Q1474" s="23"/>
      <c r="R1474" s="72"/>
      <c r="S1474" s="23"/>
      <c r="T1474" s="23"/>
      <c r="U1474" s="23"/>
      <c r="V1474" s="23"/>
      <c r="W1474" s="23"/>
      <c r="X1474" s="23"/>
      <c r="Y1474" s="23"/>
      <c r="Z1474" s="23"/>
      <c r="AA1474" s="23"/>
      <c r="AB1474" s="23"/>
      <c r="AC1474" s="23"/>
      <c r="AD1474" s="23"/>
      <c r="AE1474" s="23"/>
    </row>
    <row r="1475" spans="1:31">
      <c r="A1475" s="23"/>
      <c r="B1475" s="40"/>
      <c r="C1475" s="40"/>
      <c r="D1475" s="23"/>
      <c r="E1475" s="23"/>
      <c r="F1475" s="23"/>
      <c r="G1475" s="40"/>
      <c r="H1475" s="40"/>
      <c r="I1475" s="40"/>
      <c r="J1475" s="70"/>
      <c r="K1475" s="40"/>
      <c r="L1475" s="70"/>
      <c r="M1475" s="70"/>
      <c r="N1475" s="40"/>
      <c r="O1475" s="70"/>
      <c r="P1475" s="23"/>
      <c r="Q1475" s="23"/>
      <c r="R1475" s="72"/>
      <c r="S1475" s="23"/>
      <c r="T1475" s="23"/>
      <c r="U1475" s="23"/>
      <c r="V1475" s="23"/>
      <c r="W1475" s="23"/>
      <c r="X1475" s="23"/>
      <c r="Y1475" s="23"/>
      <c r="Z1475" s="23"/>
      <c r="AA1475" s="23"/>
      <c r="AB1475" s="23"/>
      <c r="AC1475" s="23"/>
      <c r="AD1475" s="23"/>
      <c r="AE1475" s="23"/>
    </row>
    <row r="1476" spans="1:31">
      <c r="A1476" s="23"/>
      <c r="B1476" s="40"/>
      <c r="C1476" s="40"/>
      <c r="D1476" s="23"/>
      <c r="E1476" s="23"/>
      <c r="F1476" s="23"/>
      <c r="G1476" s="40"/>
      <c r="H1476" s="40"/>
      <c r="I1476" s="40"/>
      <c r="J1476" s="70"/>
      <c r="K1476" s="40"/>
      <c r="L1476" s="70"/>
      <c r="M1476" s="70"/>
      <c r="N1476" s="40"/>
      <c r="O1476" s="70"/>
      <c r="P1476" s="23"/>
      <c r="Q1476" s="23"/>
      <c r="R1476" s="72"/>
      <c r="S1476" s="23"/>
      <c r="T1476" s="23"/>
      <c r="U1476" s="23"/>
      <c r="V1476" s="23"/>
      <c r="W1476" s="23"/>
      <c r="X1476" s="23"/>
      <c r="Y1476" s="23"/>
      <c r="Z1476" s="23"/>
      <c r="AA1476" s="23"/>
      <c r="AB1476" s="23"/>
      <c r="AC1476" s="23"/>
      <c r="AD1476" s="23"/>
      <c r="AE1476" s="23"/>
    </row>
    <row r="1477" spans="1:31">
      <c r="A1477" s="23"/>
      <c r="B1477" s="40"/>
      <c r="C1477" s="40"/>
      <c r="D1477" s="23"/>
      <c r="E1477" s="23"/>
      <c r="F1477" s="23"/>
      <c r="G1477" s="40"/>
      <c r="H1477" s="40"/>
      <c r="I1477" s="40"/>
      <c r="J1477" s="70"/>
      <c r="K1477" s="40"/>
      <c r="L1477" s="70"/>
      <c r="M1477" s="70"/>
      <c r="N1477" s="40"/>
      <c r="O1477" s="70"/>
      <c r="P1477" s="23"/>
      <c r="Q1477" s="23"/>
      <c r="R1477" s="72"/>
      <c r="S1477" s="23"/>
      <c r="T1477" s="23"/>
      <c r="U1477" s="23"/>
      <c r="V1477" s="23"/>
      <c r="W1477" s="23"/>
      <c r="X1477" s="23"/>
      <c r="Y1477" s="23"/>
      <c r="Z1477" s="23"/>
      <c r="AA1477" s="23"/>
      <c r="AB1477" s="23"/>
      <c r="AC1477" s="23"/>
      <c r="AD1477" s="23"/>
      <c r="AE1477" s="23"/>
    </row>
    <row r="1478" spans="1:31" ht="24" customHeight="1">
      <c r="A1478" s="23"/>
      <c r="B1478" s="40"/>
      <c r="C1478" s="40"/>
      <c r="D1478" s="23"/>
      <c r="E1478" s="23"/>
      <c r="F1478" s="23"/>
      <c r="G1478" s="40"/>
      <c r="H1478" s="40"/>
      <c r="I1478" s="40"/>
      <c r="J1478" s="70"/>
      <c r="K1478" s="40"/>
      <c r="L1478" s="70"/>
      <c r="M1478" s="70"/>
      <c r="N1478" s="40"/>
      <c r="O1478" s="70"/>
      <c r="P1478" s="23"/>
      <c r="Q1478" s="23"/>
      <c r="R1478" s="72"/>
      <c r="S1478" s="23"/>
      <c r="T1478" s="23"/>
      <c r="U1478" s="23"/>
      <c r="V1478" s="23"/>
      <c r="W1478" s="23"/>
      <c r="X1478" s="23"/>
      <c r="Y1478" s="23"/>
      <c r="Z1478" s="23"/>
      <c r="AA1478" s="23"/>
      <c r="AB1478" s="23"/>
      <c r="AC1478" s="23"/>
      <c r="AD1478" s="23"/>
      <c r="AE1478" s="23"/>
    </row>
    <row r="1479" spans="1:31">
      <c r="A1479" s="23"/>
      <c r="B1479" s="40"/>
      <c r="C1479" s="40"/>
      <c r="D1479" s="23"/>
      <c r="E1479" s="23"/>
      <c r="F1479" s="23"/>
      <c r="G1479" s="40"/>
      <c r="H1479" s="40"/>
      <c r="I1479" s="40"/>
      <c r="J1479" s="70"/>
      <c r="K1479" s="40"/>
      <c r="L1479" s="70"/>
      <c r="M1479" s="70"/>
      <c r="N1479" s="40"/>
      <c r="O1479" s="70"/>
      <c r="P1479" s="23"/>
      <c r="Q1479" s="23"/>
      <c r="R1479" s="72"/>
      <c r="S1479" s="23"/>
      <c r="T1479" s="23"/>
      <c r="U1479" s="23"/>
      <c r="V1479" s="23"/>
      <c r="W1479" s="23"/>
      <c r="X1479" s="23"/>
      <c r="Y1479" s="23"/>
      <c r="Z1479" s="23"/>
      <c r="AA1479" s="23"/>
      <c r="AB1479" s="23"/>
      <c r="AC1479" s="23"/>
      <c r="AD1479" s="23"/>
      <c r="AE1479" s="23"/>
    </row>
    <row r="1480" spans="1:31">
      <c r="A1480" s="23"/>
      <c r="B1480" s="40"/>
      <c r="C1480" s="40"/>
      <c r="D1480" s="23"/>
      <c r="E1480" s="23"/>
      <c r="F1480" s="23"/>
      <c r="G1480" s="40"/>
      <c r="H1480" s="40"/>
      <c r="I1480" s="40"/>
      <c r="J1480" s="70"/>
      <c r="K1480" s="40"/>
      <c r="L1480" s="70"/>
      <c r="M1480" s="70"/>
      <c r="N1480" s="40"/>
      <c r="O1480" s="70"/>
      <c r="P1480" s="23"/>
      <c r="Q1480" s="23"/>
      <c r="R1480" s="72"/>
      <c r="S1480" s="23"/>
      <c r="T1480" s="23"/>
      <c r="U1480" s="23"/>
      <c r="V1480" s="23"/>
      <c r="W1480" s="23"/>
      <c r="X1480" s="23"/>
      <c r="Y1480" s="23"/>
      <c r="Z1480" s="23"/>
      <c r="AA1480" s="23"/>
      <c r="AB1480" s="23"/>
      <c r="AC1480" s="23"/>
      <c r="AD1480" s="23"/>
      <c r="AE1480" s="23"/>
    </row>
    <row r="1481" spans="1:31">
      <c r="A1481" s="23"/>
      <c r="B1481" s="40"/>
      <c r="C1481" s="40"/>
      <c r="D1481" s="23"/>
      <c r="E1481" s="23"/>
      <c r="F1481" s="23"/>
      <c r="G1481" s="40"/>
      <c r="H1481" s="40"/>
      <c r="I1481" s="40"/>
      <c r="J1481" s="70"/>
      <c r="K1481" s="40"/>
      <c r="L1481" s="70"/>
      <c r="M1481" s="70"/>
      <c r="N1481" s="40"/>
      <c r="O1481" s="70"/>
      <c r="P1481" s="23"/>
      <c r="Q1481" s="23"/>
      <c r="R1481" s="72"/>
      <c r="S1481" s="23"/>
      <c r="T1481" s="23"/>
      <c r="U1481" s="23"/>
      <c r="V1481" s="23"/>
      <c r="W1481" s="23"/>
      <c r="X1481" s="23"/>
      <c r="Y1481" s="23"/>
      <c r="Z1481" s="23"/>
      <c r="AA1481" s="23"/>
      <c r="AB1481" s="23"/>
      <c r="AC1481" s="23"/>
      <c r="AD1481" s="23"/>
      <c r="AE1481" s="23"/>
    </row>
    <row r="1482" spans="1:31">
      <c r="A1482" s="23"/>
      <c r="B1482" s="40"/>
      <c r="C1482" s="40"/>
      <c r="D1482" s="23"/>
      <c r="E1482" s="23"/>
      <c r="F1482" s="23"/>
      <c r="G1482" s="40"/>
      <c r="H1482" s="40"/>
      <c r="I1482" s="40"/>
      <c r="J1482" s="70"/>
      <c r="K1482" s="40"/>
      <c r="L1482" s="70"/>
      <c r="M1482" s="70"/>
      <c r="N1482" s="40"/>
      <c r="O1482" s="70"/>
      <c r="P1482" s="23"/>
      <c r="Q1482" s="23"/>
      <c r="R1482" s="72"/>
      <c r="S1482" s="23"/>
      <c r="T1482" s="23"/>
      <c r="U1482" s="23"/>
      <c r="V1482" s="23"/>
      <c r="W1482" s="23"/>
      <c r="X1482" s="23"/>
      <c r="Y1482" s="23"/>
      <c r="Z1482" s="23"/>
      <c r="AA1482" s="23"/>
      <c r="AB1482" s="23"/>
      <c r="AC1482" s="23"/>
      <c r="AD1482" s="23"/>
      <c r="AE1482" s="23"/>
    </row>
    <row r="1483" spans="1:31" ht="24" customHeight="1">
      <c r="A1483" s="23"/>
      <c r="B1483" s="40"/>
      <c r="C1483" s="40"/>
      <c r="D1483" s="23"/>
      <c r="E1483" s="23"/>
      <c r="F1483" s="23"/>
      <c r="G1483" s="40"/>
      <c r="H1483" s="40"/>
      <c r="I1483" s="40"/>
      <c r="J1483" s="70"/>
      <c r="K1483" s="40"/>
      <c r="L1483" s="70"/>
      <c r="M1483" s="70"/>
      <c r="N1483" s="40"/>
      <c r="O1483" s="70"/>
      <c r="P1483" s="23"/>
      <c r="Q1483" s="23"/>
      <c r="R1483" s="72"/>
      <c r="S1483" s="23"/>
      <c r="T1483" s="23"/>
      <c r="U1483" s="23"/>
      <c r="V1483" s="23"/>
      <c r="W1483" s="23"/>
      <c r="X1483" s="23"/>
      <c r="Y1483" s="23"/>
      <c r="Z1483" s="23"/>
      <c r="AA1483" s="23"/>
      <c r="AB1483" s="23"/>
      <c r="AC1483" s="23"/>
      <c r="AD1483" s="23"/>
      <c r="AE1483" s="23"/>
    </row>
    <row r="1484" spans="1:31">
      <c r="A1484" s="23"/>
      <c r="B1484" s="40"/>
      <c r="C1484" s="40"/>
      <c r="D1484" s="23"/>
      <c r="E1484" s="23"/>
      <c r="F1484" s="23"/>
      <c r="G1484" s="40"/>
      <c r="H1484" s="40"/>
      <c r="I1484" s="40"/>
      <c r="J1484" s="70"/>
      <c r="K1484" s="40"/>
      <c r="L1484" s="70"/>
      <c r="M1484" s="70"/>
      <c r="N1484" s="40"/>
      <c r="O1484" s="70"/>
      <c r="P1484" s="23"/>
      <c r="Q1484" s="23"/>
      <c r="R1484" s="72"/>
      <c r="S1484" s="23"/>
      <c r="T1484" s="23"/>
      <c r="U1484" s="23"/>
      <c r="V1484" s="23"/>
      <c r="W1484" s="23"/>
      <c r="X1484" s="23"/>
      <c r="Y1484" s="23"/>
      <c r="Z1484" s="23"/>
      <c r="AA1484" s="23"/>
      <c r="AB1484" s="23"/>
      <c r="AC1484" s="23"/>
      <c r="AD1484" s="23"/>
      <c r="AE1484" s="23"/>
    </row>
    <row r="1485" spans="1:31">
      <c r="A1485" s="23"/>
      <c r="B1485" s="40"/>
      <c r="C1485" s="40"/>
      <c r="D1485" s="23"/>
      <c r="E1485" s="23"/>
      <c r="F1485" s="23"/>
      <c r="G1485" s="40"/>
      <c r="H1485" s="40"/>
      <c r="I1485" s="40"/>
      <c r="J1485" s="70"/>
      <c r="K1485" s="40"/>
      <c r="L1485" s="70"/>
      <c r="M1485" s="70"/>
      <c r="N1485" s="40"/>
      <c r="O1485" s="70"/>
      <c r="P1485" s="23"/>
      <c r="Q1485" s="23"/>
      <c r="R1485" s="72"/>
      <c r="S1485" s="23"/>
      <c r="T1485" s="23"/>
      <c r="U1485" s="23"/>
      <c r="V1485" s="23"/>
      <c r="W1485" s="23"/>
      <c r="X1485" s="23"/>
      <c r="Y1485" s="23"/>
      <c r="Z1485" s="23"/>
      <c r="AA1485" s="23"/>
      <c r="AB1485" s="23"/>
      <c r="AC1485" s="23"/>
      <c r="AD1485" s="23"/>
      <c r="AE1485" s="23"/>
    </row>
    <row r="1486" spans="1:31">
      <c r="A1486" s="23"/>
      <c r="B1486" s="40"/>
      <c r="C1486" s="40"/>
      <c r="D1486" s="23"/>
      <c r="E1486" s="23"/>
      <c r="F1486" s="23"/>
      <c r="G1486" s="40"/>
      <c r="H1486" s="40"/>
      <c r="I1486" s="40"/>
      <c r="J1486" s="70"/>
      <c r="K1486" s="40"/>
      <c r="L1486" s="70"/>
      <c r="M1486" s="70"/>
      <c r="N1486" s="40"/>
      <c r="O1486" s="70"/>
      <c r="P1486" s="23"/>
      <c r="Q1486" s="23"/>
      <c r="R1486" s="72"/>
      <c r="S1486" s="23"/>
      <c r="T1486" s="23"/>
      <c r="U1486" s="23"/>
      <c r="V1486" s="23"/>
      <c r="W1486" s="23"/>
      <c r="X1486" s="23"/>
      <c r="Y1486" s="23"/>
      <c r="Z1486" s="23"/>
      <c r="AA1486" s="23"/>
      <c r="AB1486" s="23"/>
      <c r="AC1486" s="23"/>
      <c r="AD1486" s="23"/>
      <c r="AE1486" s="23"/>
    </row>
    <row r="1487" spans="1:31">
      <c r="A1487" s="23"/>
      <c r="B1487" s="40"/>
      <c r="C1487" s="40"/>
      <c r="D1487" s="23"/>
      <c r="E1487" s="23"/>
      <c r="F1487" s="23"/>
      <c r="G1487" s="40"/>
      <c r="H1487" s="40"/>
      <c r="I1487" s="40"/>
      <c r="J1487" s="70"/>
      <c r="K1487" s="40"/>
      <c r="L1487" s="70"/>
      <c r="M1487" s="70"/>
      <c r="N1487" s="40"/>
      <c r="O1487" s="70"/>
      <c r="P1487" s="23"/>
      <c r="Q1487" s="23"/>
      <c r="R1487" s="72"/>
      <c r="S1487" s="23"/>
      <c r="T1487" s="23"/>
      <c r="U1487" s="23"/>
      <c r="V1487" s="23"/>
      <c r="W1487" s="23"/>
      <c r="X1487" s="23"/>
      <c r="Y1487" s="23"/>
      <c r="Z1487" s="23"/>
      <c r="AA1487" s="23"/>
      <c r="AB1487" s="23"/>
      <c r="AC1487" s="23"/>
      <c r="AD1487" s="23"/>
      <c r="AE1487" s="23"/>
    </row>
    <row r="1488" spans="1:31" ht="24" customHeight="1">
      <c r="A1488" s="23"/>
      <c r="B1488" s="40"/>
      <c r="C1488" s="40"/>
      <c r="D1488" s="23"/>
      <c r="E1488" s="23"/>
      <c r="F1488" s="23"/>
      <c r="G1488" s="40"/>
      <c r="H1488" s="40"/>
      <c r="I1488" s="40"/>
      <c r="J1488" s="70"/>
      <c r="K1488" s="40"/>
      <c r="L1488" s="70"/>
      <c r="M1488" s="70"/>
      <c r="N1488" s="40"/>
      <c r="O1488" s="70"/>
      <c r="P1488" s="23"/>
      <c r="Q1488" s="23"/>
      <c r="R1488" s="72"/>
      <c r="S1488" s="23"/>
      <c r="T1488" s="23"/>
      <c r="U1488" s="23"/>
      <c r="V1488" s="23"/>
      <c r="W1488" s="23"/>
      <c r="X1488" s="23"/>
      <c r="Y1488" s="23"/>
      <c r="Z1488" s="23"/>
      <c r="AA1488" s="23"/>
      <c r="AB1488" s="23"/>
      <c r="AC1488" s="23"/>
      <c r="AD1488" s="23"/>
      <c r="AE1488" s="23"/>
    </row>
    <row r="1489" spans="1:31">
      <c r="A1489" s="23"/>
      <c r="B1489" s="40"/>
      <c r="C1489" s="40"/>
      <c r="D1489" s="23"/>
      <c r="E1489" s="23"/>
      <c r="F1489" s="23"/>
      <c r="G1489" s="40"/>
      <c r="H1489" s="40"/>
      <c r="I1489" s="40"/>
      <c r="J1489" s="70"/>
      <c r="K1489" s="40"/>
      <c r="L1489" s="70"/>
      <c r="M1489" s="70"/>
      <c r="N1489" s="40"/>
      <c r="O1489" s="70"/>
      <c r="P1489" s="23"/>
      <c r="Q1489" s="23"/>
      <c r="R1489" s="72"/>
      <c r="S1489" s="23"/>
      <c r="T1489" s="23"/>
      <c r="U1489" s="23"/>
      <c r="V1489" s="23"/>
      <c r="W1489" s="23"/>
      <c r="X1489" s="23"/>
      <c r="Y1489" s="23"/>
      <c r="Z1489" s="23"/>
      <c r="AA1489" s="23"/>
      <c r="AB1489" s="23"/>
      <c r="AC1489" s="23"/>
      <c r="AD1489" s="23"/>
      <c r="AE1489" s="23"/>
    </row>
    <row r="1490" spans="1:31">
      <c r="A1490" s="23"/>
      <c r="B1490" s="40"/>
      <c r="C1490" s="40"/>
      <c r="D1490" s="23"/>
      <c r="E1490" s="23"/>
      <c r="F1490" s="23"/>
      <c r="G1490" s="40"/>
      <c r="H1490" s="40"/>
      <c r="I1490" s="40"/>
      <c r="J1490" s="70"/>
      <c r="K1490" s="40"/>
      <c r="L1490" s="70"/>
      <c r="M1490" s="70"/>
      <c r="N1490" s="40"/>
      <c r="O1490" s="70"/>
      <c r="P1490" s="23"/>
      <c r="Q1490" s="23"/>
      <c r="R1490" s="72"/>
      <c r="S1490" s="23"/>
      <c r="T1490" s="23"/>
      <c r="U1490" s="23"/>
      <c r="V1490" s="23"/>
      <c r="W1490" s="23"/>
      <c r="X1490" s="23"/>
      <c r="Y1490" s="23"/>
      <c r="Z1490" s="23"/>
      <c r="AA1490" s="23"/>
      <c r="AB1490" s="23"/>
      <c r="AC1490" s="23"/>
      <c r="AD1490" s="23"/>
      <c r="AE1490" s="23"/>
    </row>
    <row r="1491" spans="1:31">
      <c r="A1491" s="23"/>
      <c r="B1491" s="40"/>
      <c r="C1491" s="40"/>
      <c r="D1491" s="23"/>
      <c r="E1491" s="23"/>
      <c r="F1491" s="23"/>
      <c r="G1491" s="40"/>
      <c r="H1491" s="40"/>
      <c r="I1491" s="40"/>
      <c r="J1491" s="70"/>
      <c r="K1491" s="40"/>
      <c r="L1491" s="70"/>
      <c r="M1491" s="70"/>
      <c r="N1491" s="40"/>
      <c r="O1491" s="70"/>
      <c r="P1491" s="23"/>
      <c r="Q1491" s="23"/>
      <c r="R1491" s="72"/>
      <c r="S1491" s="23"/>
      <c r="T1491" s="23"/>
      <c r="U1491" s="23"/>
      <c r="V1491" s="23"/>
      <c r="W1491" s="23"/>
      <c r="X1491" s="23"/>
      <c r="Y1491" s="23"/>
      <c r="Z1491" s="23"/>
      <c r="AA1491" s="23"/>
      <c r="AB1491" s="23"/>
      <c r="AC1491" s="23"/>
      <c r="AD1491" s="23"/>
      <c r="AE1491" s="23"/>
    </row>
    <row r="1492" spans="1:31">
      <c r="A1492" s="23"/>
      <c r="B1492" s="40"/>
      <c r="C1492" s="40"/>
      <c r="D1492" s="23"/>
      <c r="E1492" s="23"/>
      <c r="F1492" s="23"/>
      <c r="G1492" s="40"/>
      <c r="H1492" s="40"/>
      <c r="I1492" s="40"/>
      <c r="J1492" s="70"/>
      <c r="K1492" s="40"/>
      <c r="L1492" s="70"/>
      <c r="M1492" s="70"/>
      <c r="N1492" s="40"/>
      <c r="O1492" s="70"/>
      <c r="P1492" s="23"/>
      <c r="Q1492" s="23"/>
      <c r="R1492" s="72"/>
      <c r="S1492" s="23"/>
      <c r="T1492" s="23"/>
      <c r="U1492" s="23"/>
      <c r="V1492" s="23"/>
      <c r="W1492" s="23"/>
      <c r="X1492" s="23"/>
      <c r="Y1492" s="23"/>
      <c r="Z1492" s="23"/>
      <c r="AA1492" s="23"/>
      <c r="AB1492" s="23"/>
      <c r="AC1492" s="23"/>
      <c r="AD1492" s="23"/>
      <c r="AE1492" s="23"/>
    </row>
    <row r="1493" spans="1:31">
      <c r="A1493" s="23"/>
      <c r="B1493" s="40"/>
      <c r="C1493" s="40"/>
      <c r="D1493" s="23"/>
      <c r="E1493" s="23"/>
      <c r="F1493" s="23"/>
      <c r="G1493" s="40"/>
      <c r="H1493" s="40"/>
      <c r="I1493" s="40"/>
      <c r="J1493" s="70"/>
      <c r="K1493" s="40"/>
      <c r="L1493" s="70"/>
      <c r="M1493" s="70"/>
      <c r="N1493" s="40"/>
      <c r="O1493" s="70"/>
      <c r="P1493" s="23"/>
      <c r="Q1493" s="23"/>
      <c r="R1493" s="72"/>
      <c r="S1493" s="23"/>
      <c r="T1493" s="23"/>
      <c r="U1493" s="23"/>
      <c r="V1493" s="23"/>
      <c r="W1493" s="23"/>
      <c r="X1493" s="23"/>
      <c r="Y1493" s="23"/>
      <c r="Z1493" s="23"/>
      <c r="AA1493" s="23"/>
      <c r="AB1493" s="23"/>
      <c r="AC1493" s="23"/>
      <c r="AD1493" s="23"/>
      <c r="AE1493" s="23"/>
    </row>
    <row r="1494" spans="1:31">
      <c r="A1494" s="23"/>
      <c r="B1494" s="40"/>
      <c r="C1494" s="40"/>
      <c r="D1494" s="23"/>
      <c r="E1494" s="23"/>
      <c r="F1494" s="23"/>
      <c r="G1494" s="40"/>
      <c r="H1494" s="40"/>
      <c r="I1494" s="40"/>
      <c r="J1494" s="70"/>
      <c r="K1494" s="40"/>
      <c r="L1494" s="70"/>
      <c r="M1494" s="70"/>
      <c r="N1494" s="40"/>
      <c r="O1494" s="70"/>
      <c r="P1494" s="23"/>
      <c r="Q1494" s="23"/>
      <c r="R1494" s="72"/>
      <c r="S1494" s="23"/>
      <c r="T1494" s="23"/>
      <c r="U1494" s="23"/>
      <c r="V1494" s="23"/>
      <c r="W1494" s="23"/>
      <c r="X1494" s="23"/>
      <c r="Y1494" s="23"/>
      <c r="Z1494" s="23"/>
      <c r="AA1494" s="23"/>
      <c r="AB1494" s="23"/>
      <c r="AC1494" s="23"/>
      <c r="AD1494" s="23"/>
      <c r="AE1494" s="23"/>
    </row>
    <row r="1495" spans="1:31">
      <c r="A1495" s="23"/>
      <c r="B1495" s="40"/>
      <c r="C1495" s="40"/>
      <c r="D1495" s="23"/>
      <c r="E1495" s="23"/>
      <c r="F1495" s="23"/>
      <c r="G1495" s="40"/>
      <c r="H1495" s="40"/>
      <c r="I1495" s="40"/>
      <c r="J1495" s="70"/>
      <c r="K1495" s="40"/>
      <c r="L1495" s="70"/>
      <c r="M1495" s="70"/>
      <c r="N1495" s="40"/>
      <c r="O1495" s="70"/>
      <c r="P1495" s="23"/>
      <c r="Q1495" s="23"/>
      <c r="R1495" s="72"/>
      <c r="S1495" s="23"/>
      <c r="T1495" s="23"/>
      <c r="U1495" s="23"/>
      <c r="V1495" s="23"/>
      <c r="W1495" s="23"/>
      <c r="X1495" s="23"/>
      <c r="Y1495" s="23"/>
      <c r="Z1495" s="23"/>
      <c r="AA1495" s="23"/>
      <c r="AB1495" s="23"/>
      <c r="AC1495" s="23"/>
      <c r="AD1495" s="23"/>
      <c r="AE1495" s="23"/>
    </row>
    <row r="1496" spans="1:31">
      <c r="A1496" s="23"/>
      <c r="B1496" s="40"/>
      <c r="C1496" s="40"/>
      <c r="D1496" s="23"/>
      <c r="E1496" s="23"/>
      <c r="F1496" s="23"/>
      <c r="G1496" s="40"/>
      <c r="H1496" s="40"/>
      <c r="I1496" s="40"/>
      <c r="J1496" s="70"/>
      <c r="K1496" s="40"/>
      <c r="L1496" s="70"/>
      <c r="M1496" s="70"/>
      <c r="N1496" s="40"/>
      <c r="O1496" s="70"/>
      <c r="P1496" s="23"/>
      <c r="Q1496" s="23"/>
      <c r="R1496" s="72"/>
      <c r="S1496" s="23"/>
      <c r="T1496" s="23"/>
      <c r="U1496" s="23"/>
      <c r="V1496" s="23"/>
      <c r="W1496" s="23"/>
      <c r="X1496" s="23"/>
      <c r="Y1496" s="23"/>
      <c r="Z1496" s="23"/>
      <c r="AA1496" s="23"/>
      <c r="AB1496" s="23"/>
      <c r="AC1496" s="23"/>
      <c r="AD1496" s="23"/>
      <c r="AE1496" s="23"/>
    </row>
    <row r="1497" spans="1:31">
      <c r="A1497" s="23"/>
      <c r="B1497" s="40"/>
      <c r="C1497" s="40"/>
      <c r="D1497" s="23"/>
      <c r="E1497" s="23"/>
      <c r="F1497" s="23"/>
      <c r="G1497" s="40"/>
      <c r="H1497" s="40"/>
      <c r="I1497" s="40"/>
      <c r="J1497" s="70"/>
      <c r="K1497" s="40"/>
      <c r="L1497" s="70"/>
      <c r="M1497" s="70"/>
      <c r="N1497" s="40"/>
      <c r="O1497" s="70"/>
      <c r="P1497" s="23"/>
      <c r="Q1497" s="23"/>
      <c r="R1497" s="72"/>
      <c r="S1497" s="23"/>
      <c r="T1497" s="23"/>
      <c r="U1497" s="23"/>
      <c r="V1497" s="23"/>
      <c r="W1497" s="23"/>
      <c r="X1497" s="23"/>
      <c r="Y1497" s="23"/>
      <c r="Z1497" s="23"/>
      <c r="AA1497" s="23"/>
      <c r="AB1497" s="23"/>
      <c r="AC1497" s="23"/>
      <c r="AD1497" s="23"/>
      <c r="AE1497" s="23"/>
    </row>
    <row r="1498" spans="1:31">
      <c r="A1498" s="23"/>
      <c r="B1498" s="40"/>
      <c r="C1498" s="40"/>
      <c r="D1498" s="23"/>
      <c r="E1498" s="23"/>
      <c r="F1498" s="23"/>
      <c r="G1498" s="40"/>
      <c r="H1498" s="40"/>
      <c r="I1498" s="40"/>
      <c r="J1498" s="70"/>
      <c r="K1498" s="40"/>
      <c r="L1498" s="70"/>
      <c r="M1498" s="70"/>
      <c r="N1498" s="40"/>
      <c r="O1498" s="70"/>
      <c r="P1498" s="23"/>
      <c r="Q1498" s="23"/>
      <c r="R1498" s="72"/>
      <c r="S1498" s="23"/>
      <c r="T1498" s="23"/>
      <c r="U1498" s="23"/>
      <c r="V1498" s="23"/>
      <c r="W1498" s="23"/>
      <c r="X1498" s="23"/>
      <c r="Y1498" s="23"/>
      <c r="Z1498" s="23"/>
      <c r="AA1498" s="23"/>
      <c r="AB1498" s="23"/>
      <c r="AC1498" s="23"/>
      <c r="AD1498" s="23"/>
      <c r="AE1498" s="23"/>
    </row>
    <row r="1499" spans="1:31" ht="24" customHeight="1">
      <c r="A1499" s="23"/>
      <c r="B1499" s="40"/>
      <c r="C1499" s="40"/>
      <c r="D1499" s="23"/>
      <c r="E1499" s="23"/>
      <c r="F1499" s="23"/>
      <c r="G1499" s="40"/>
      <c r="H1499" s="40"/>
      <c r="I1499" s="40"/>
      <c r="J1499" s="70"/>
      <c r="K1499" s="40"/>
      <c r="L1499" s="70"/>
      <c r="M1499" s="70"/>
      <c r="N1499" s="40"/>
      <c r="O1499" s="70"/>
      <c r="P1499" s="23"/>
      <c r="Q1499" s="23"/>
      <c r="R1499" s="72"/>
      <c r="S1499" s="23"/>
      <c r="T1499" s="23"/>
      <c r="U1499" s="23"/>
      <c r="V1499" s="23"/>
      <c r="W1499" s="23"/>
      <c r="X1499" s="23"/>
      <c r="Y1499" s="23"/>
      <c r="Z1499" s="23"/>
      <c r="AA1499" s="23"/>
      <c r="AB1499" s="23"/>
      <c r="AC1499" s="23"/>
      <c r="AD1499" s="23"/>
      <c r="AE1499" s="23"/>
    </row>
    <row r="1500" spans="1:31">
      <c r="A1500" s="23"/>
      <c r="B1500" s="40"/>
      <c r="C1500" s="40"/>
      <c r="D1500" s="23"/>
      <c r="E1500" s="23"/>
      <c r="F1500" s="23"/>
      <c r="G1500" s="40"/>
      <c r="H1500" s="40"/>
      <c r="I1500" s="40"/>
      <c r="J1500" s="70"/>
      <c r="K1500" s="40"/>
      <c r="L1500" s="70"/>
      <c r="M1500" s="70"/>
      <c r="N1500" s="40"/>
      <c r="O1500" s="70"/>
      <c r="P1500" s="23"/>
      <c r="Q1500" s="23"/>
      <c r="R1500" s="72"/>
      <c r="S1500" s="23"/>
      <c r="T1500" s="23"/>
      <c r="U1500" s="23"/>
      <c r="V1500" s="23"/>
      <c r="W1500" s="23"/>
      <c r="X1500" s="23"/>
      <c r="Y1500" s="23"/>
      <c r="Z1500" s="23"/>
      <c r="AA1500" s="23"/>
      <c r="AB1500" s="23"/>
      <c r="AC1500" s="23"/>
      <c r="AD1500" s="23"/>
      <c r="AE1500" s="23"/>
    </row>
    <row r="1501" spans="1:31">
      <c r="A1501" s="23"/>
      <c r="B1501" s="40"/>
      <c r="C1501" s="40"/>
      <c r="D1501" s="23"/>
      <c r="E1501" s="23"/>
      <c r="F1501" s="23"/>
      <c r="G1501" s="40"/>
      <c r="H1501" s="40"/>
      <c r="I1501" s="40"/>
      <c r="J1501" s="70"/>
      <c r="K1501" s="40"/>
      <c r="L1501" s="70"/>
      <c r="M1501" s="70"/>
      <c r="N1501" s="40"/>
      <c r="O1501" s="70"/>
      <c r="P1501" s="23"/>
      <c r="Q1501" s="23"/>
      <c r="R1501" s="72"/>
      <c r="S1501" s="23"/>
      <c r="T1501" s="23"/>
      <c r="U1501" s="23"/>
      <c r="V1501" s="23"/>
      <c r="W1501" s="23"/>
      <c r="X1501" s="23"/>
      <c r="Y1501" s="23"/>
      <c r="Z1501" s="23"/>
      <c r="AA1501" s="23"/>
      <c r="AB1501" s="23"/>
      <c r="AC1501" s="23"/>
      <c r="AD1501" s="23"/>
      <c r="AE1501" s="23"/>
    </row>
    <row r="1502" spans="1:31">
      <c r="A1502" s="23"/>
      <c r="B1502" s="40"/>
      <c r="C1502" s="40"/>
      <c r="D1502" s="23"/>
      <c r="E1502" s="23"/>
      <c r="F1502" s="23"/>
      <c r="G1502" s="40"/>
      <c r="H1502" s="40"/>
      <c r="I1502" s="40"/>
      <c r="J1502" s="70"/>
      <c r="K1502" s="40"/>
      <c r="L1502" s="70"/>
      <c r="M1502" s="70"/>
      <c r="N1502" s="40"/>
      <c r="O1502" s="70"/>
      <c r="P1502" s="23"/>
      <c r="Q1502" s="23"/>
      <c r="R1502" s="72"/>
      <c r="S1502" s="23"/>
      <c r="T1502" s="23"/>
      <c r="U1502" s="23"/>
      <c r="V1502" s="23"/>
      <c r="W1502" s="23"/>
      <c r="X1502" s="23"/>
      <c r="Y1502" s="23"/>
      <c r="Z1502" s="23"/>
      <c r="AA1502" s="23"/>
      <c r="AB1502" s="23"/>
      <c r="AC1502" s="23"/>
      <c r="AD1502" s="23"/>
      <c r="AE1502" s="23"/>
    </row>
    <row r="1503" spans="1:31">
      <c r="A1503" s="23"/>
      <c r="B1503" s="40"/>
      <c r="C1503" s="40"/>
      <c r="D1503" s="23"/>
      <c r="E1503" s="23"/>
      <c r="F1503" s="23"/>
      <c r="G1503" s="40"/>
      <c r="H1503" s="40"/>
      <c r="I1503" s="40"/>
      <c r="J1503" s="70"/>
      <c r="K1503" s="40"/>
      <c r="L1503" s="70"/>
      <c r="M1503" s="70"/>
      <c r="N1503" s="40"/>
      <c r="O1503" s="70"/>
      <c r="P1503" s="23"/>
      <c r="Q1503" s="23"/>
      <c r="R1503" s="72"/>
      <c r="S1503" s="23"/>
      <c r="T1503" s="23"/>
      <c r="U1503" s="23"/>
      <c r="V1503" s="23"/>
      <c r="W1503" s="23"/>
      <c r="X1503" s="23"/>
      <c r="Y1503" s="23"/>
      <c r="Z1503" s="23"/>
      <c r="AA1503" s="23"/>
      <c r="AB1503" s="23"/>
      <c r="AC1503" s="23"/>
      <c r="AD1503" s="23"/>
      <c r="AE1503" s="23"/>
    </row>
    <row r="1504" spans="1:31" ht="24" customHeight="1">
      <c r="A1504" s="23"/>
      <c r="B1504" s="40"/>
      <c r="C1504" s="40"/>
      <c r="D1504" s="23"/>
      <c r="E1504" s="23"/>
      <c r="F1504" s="23"/>
      <c r="G1504" s="40"/>
      <c r="H1504" s="40"/>
      <c r="I1504" s="40"/>
      <c r="J1504" s="70"/>
      <c r="K1504" s="40"/>
      <c r="L1504" s="70"/>
      <c r="M1504" s="70"/>
      <c r="N1504" s="40"/>
      <c r="O1504" s="70"/>
      <c r="P1504" s="23"/>
      <c r="Q1504" s="23"/>
      <c r="R1504" s="72"/>
      <c r="S1504" s="23"/>
      <c r="T1504" s="23"/>
      <c r="U1504" s="23"/>
      <c r="V1504" s="23"/>
      <c r="W1504" s="23"/>
      <c r="X1504" s="23"/>
      <c r="Y1504" s="23"/>
      <c r="Z1504" s="23"/>
      <c r="AA1504" s="23"/>
      <c r="AB1504" s="23"/>
      <c r="AC1504" s="23"/>
      <c r="AD1504" s="23"/>
      <c r="AE1504" s="23"/>
    </row>
    <row r="1505" spans="1:31">
      <c r="A1505" s="23"/>
      <c r="B1505" s="40"/>
      <c r="C1505" s="40"/>
      <c r="D1505" s="23"/>
      <c r="E1505" s="23"/>
      <c r="F1505" s="23"/>
      <c r="G1505" s="40"/>
      <c r="H1505" s="40"/>
      <c r="I1505" s="40"/>
      <c r="J1505" s="70"/>
      <c r="K1505" s="40"/>
      <c r="L1505" s="70"/>
      <c r="M1505" s="70"/>
      <c r="N1505" s="40"/>
      <c r="O1505" s="70"/>
      <c r="P1505" s="23"/>
      <c r="Q1505" s="23"/>
      <c r="R1505" s="72"/>
      <c r="S1505" s="23"/>
      <c r="T1505" s="23"/>
      <c r="U1505" s="23"/>
      <c r="V1505" s="23"/>
      <c r="W1505" s="23"/>
      <c r="X1505" s="23"/>
      <c r="Y1505" s="23"/>
      <c r="Z1505" s="23"/>
      <c r="AA1505" s="23"/>
      <c r="AB1505" s="23"/>
      <c r="AC1505" s="23"/>
      <c r="AD1505" s="23"/>
      <c r="AE1505" s="23"/>
    </row>
    <row r="1506" spans="1:31">
      <c r="A1506" s="23"/>
      <c r="B1506" s="40"/>
      <c r="C1506" s="40"/>
      <c r="D1506" s="23"/>
      <c r="E1506" s="23"/>
      <c r="F1506" s="23"/>
      <c r="G1506" s="40"/>
      <c r="H1506" s="40"/>
      <c r="I1506" s="40"/>
      <c r="J1506" s="70"/>
      <c r="K1506" s="40"/>
      <c r="L1506" s="70"/>
      <c r="M1506" s="70"/>
      <c r="N1506" s="40"/>
      <c r="O1506" s="70"/>
      <c r="P1506" s="23"/>
      <c r="Q1506" s="23"/>
      <c r="R1506" s="72"/>
      <c r="S1506" s="23"/>
      <c r="T1506" s="23"/>
      <c r="U1506" s="23"/>
      <c r="V1506" s="23"/>
      <c r="W1506" s="23"/>
      <c r="X1506" s="23"/>
      <c r="Y1506" s="23"/>
      <c r="Z1506" s="23"/>
      <c r="AA1506" s="23"/>
      <c r="AB1506" s="23"/>
      <c r="AC1506" s="23"/>
      <c r="AD1506" s="23"/>
      <c r="AE1506" s="23"/>
    </row>
    <row r="1507" spans="1:31">
      <c r="A1507" s="23"/>
      <c r="B1507" s="40"/>
      <c r="C1507" s="40"/>
      <c r="D1507" s="23"/>
      <c r="E1507" s="23"/>
      <c r="F1507" s="23"/>
      <c r="G1507" s="40"/>
      <c r="H1507" s="40"/>
      <c r="I1507" s="40"/>
      <c r="J1507" s="70"/>
      <c r="K1507" s="40"/>
      <c r="L1507" s="70"/>
      <c r="M1507" s="70"/>
      <c r="N1507" s="40"/>
      <c r="O1507" s="70"/>
      <c r="P1507" s="23"/>
      <c r="Q1507" s="23"/>
      <c r="R1507" s="72"/>
      <c r="S1507" s="23"/>
      <c r="T1507" s="23"/>
      <c r="U1507" s="23"/>
      <c r="V1507" s="23"/>
      <c r="W1507" s="23"/>
      <c r="X1507" s="23"/>
      <c r="Y1507" s="23"/>
      <c r="Z1507" s="23"/>
      <c r="AA1507" s="23"/>
      <c r="AB1507" s="23"/>
      <c r="AC1507" s="23"/>
      <c r="AD1507" s="23"/>
      <c r="AE1507" s="23"/>
    </row>
    <row r="1508" spans="1:31">
      <c r="A1508" s="23"/>
      <c r="B1508" s="40"/>
      <c r="C1508" s="40"/>
      <c r="D1508" s="23"/>
      <c r="E1508" s="23"/>
      <c r="F1508" s="23"/>
      <c r="G1508" s="40"/>
      <c r="H1508" s="40"/>
      <c r="I1508" s="40"/>
      <c r="J1508" s="70"/>
      <c r="K1508" s="40"/>
      <c r="L1508" s="70"/>
      <c r="M1508" s="70"/>
      <c r="N1508" s="40"/>
      <c r="O1508" s="70"/>
      <c r="P1508" s="23"/>
      <c r="Q1508" s="23"/>
      <c r="R1508" s="72"/>
      <c r="S1508" s="23"/>
      <c r="T1508" s="23"/>
      <c r="U1508" s="23"/>
      <c r="V1508" s="23"/>
      <c r="W1508" s="23"/>
      <c r="X1508" s="23"/>
      <c r="Y1508" s="23"/>
      <c r="Z1508" s="23"/>
      <c r="AA1508" s="23"/>
      <c r="AB1508" s="23"/>
      <c r="AC1508" s="23"/>
      <c r="AD1508" s="23"/>
      <c r="AE1508" s="23"/>
    </row>
    <row r="1509" spans="1:31" ht="24" customHeight="1">
      <c r="A1509" s="23"/>
      <c r="B1509" s="40"/>
      <c r="C1509" s="40"/>
      <c r="D1509" s="23"/>
      <c r="E1509" s="23"/>
      <c r="F1509" s="23"/>
      <c r="G1509" s="40"/>
      <c r="H1509" s="40"/>
      <c r="I1509" s="40"/>
      <c r="J1509" s="70"/>
      <c r="K1509" s="40"/>
      <c r="L1509" s="70"/>
      <c r="M1509" s="70"/>
      <c r="N1509" s="40"/>
      <c r="O1509" s="70"/>
      <c r="P1509" s="23"/>
      <c r="Q1509" s="23"/>
      <c r="R1509" s="72"/>
      <c r="S1509" s="23"/>
      <c r="T1509" s="23"/>
      <c r="U1509" s="23"/>
      <c r="V1509" s="23"/>
      <c r="W1509" s="23"/>
      <c r="X1509" s="23"/>
      <c r="Y1509" s="23"/>
      <c r="Z1509" s="23"/>
      <c r="AA1509" s="23"/>
      <c r="AB1509" s="23"/>
      <c r="AC1509" s="23"/>
      <c r="AD1509" s="23"/>
      <c r="AE1509" s="23"/>
    </row>
    <row r="1510" spans="1:31">
      <c r="A1510" s="23"/>
      <c r="B1510" s="40"/>
      <c r="C1510" s="40"/>
      <c r="D1510" s="23"/>
      <c r="E1510" s="23"/>
      <c r="F1510" s="23"/>
      <c r="G1510" s="40"/>
      <c r="H1510" s="40"/>
      <c r="I1510" s="40"/>
      <c r="J1510" s="70"/>
      <c r="K1510" s="40"/>
      <c r="L1510" s="70"/>
      <c r="M1510" s="70"/>
      <c r="N1510" s="40"/>
      <c r="O1510" s="70"/>
      <c r="P1510" s="23"/>
      <c r="Q1510" s="23"/>
      <c r="R1510" s="72"/>
      <c r="S1510" s="23"/>
      <c r="T1510" s="23"/>
      <c r="U1510" s="23"/>
      <c r="V1510" s="23"/>
      <c r="W1510" s="23"/>
      <c r="X1510" s="23"/>
      <c r="Y1510" s="23"/>
      <c r="Z1510" s="23"/>
      <c r="AA1510" s="23"/>
      <c r="AB1510" s="23"/>
      <c r="AC1510" s="23"/>
      <c r="AD1510" s="23"/>
      <c r="AE1510" s="23"/>
    </row>
    <row r="1511" spans="1:31">
      <c r="A1511" s="23"/>
      <c r="B1511" s="40"/>
      <c r="C1511" s="40"/>
      <c r="D1511" s="23"/>
      <c r="E1511" s="23"/>
      <c r="F1511" s="23"/>
      <c r="G1511" s="40"/>
      <c r="H1511" s="40"/>
      <c r="I1511" s="40"/>
      <c r="J1511" s="70"/>
      <c r="K1511" s="40"/>
      <c r="L1511" s="70"/>
      <c r="M1511" s="70"/>
      <c r="N1511" s="40"/>
      <c r="O1511" s="70"/>
      <c r="P1511" s="23"/>
      <c r="Q1511" s="23"/>
      <c r="R1511" s="72"/>
      <c r="S1511" s="23"/>
      <c r="T1511" s="23"/>
      <c r="U1511" s="23"/>
      <c r="V1511" s="23"/>
      <c r="W1511" s="23"/>
      <c r="X1511" s="23"/>
      <c r="Y1511" s="23"/>
      <c r="Z1511" s="23"/>
      <c r="AA1511" s="23"/>
      <c r="AB1511" s="23"/>
      <c r="AC1511" s="23"/>
      <c r="AD1511" s="23"/>
      <c r="AE1511" s="23"/>
    </row>
    <row r="1512" spans="1:31">
      <c r="A1512" s="23"/>
      <c r="B1512" s="40"/>
      <c r="C1512" s="40"/>
      <c r="D1512" s="23"/>
      <c r="E1512" s="23"/>
      <c r="F1512" s="23"/>
      <c r="G1512" s="40"/>
      <c r="H1512" s="40"/>
      <c r="I1512" s="40"/>
      <c r="J1512" s="70"/>
      <c r="K1512" s="40"/>
      <c r="L1512" s="70"/>
      <c r="M1512" s="70"/>
      <c r="N1512" s="40"/>
      <c r="O1512" s="70"/>
      <c r="P1512" s="23"/>
      <c r="Q1512" s="23"/>
      <c r="R1512" s="72"/>
      <c r="S1512" s="23"/>
      <c r="T1512" s="23"/>
      <c r="U1512" s="23"/>
      <c r="V1512" s="23"/>
      <c r="W1512" s="23"/>
      <c r="X1512" s="23"/>
      <c r="Y1512" s="23"/>
      <c r="Z1512" s="23"/>
      <c r="AA1512" s="23"/>
      <c r="AB1512" s="23"/>
      <c r="AC1512" s="23"/>
      <c r="AD1512" s="23"/>
      <c r="AE1512" s="23"/>
    </row>
    <row r="1513" spans="1:31">
      <c r="A1513" s="23"/>
      <c r="B1513" s="40"/>
      <c r="C1513" s="40"/>
      <c r="D1513" s="23"/>
      <c r="E1513" s="23"/>
      <c r="F1513" s="23"/>
      <c r="G1513" s="40"/>
      <c r="H1513" s="40"/>
      <c r="I1513" s="40"/>
      <c r="J1513" s="70"/>
      <c r="K1513" s="40"/>
      <c r="L1513" s="70"/>
      <c r="M1513" s="70"/>
      <c r="N1513" s="40"/>
      <c r="O1513" s="70"/>
      <c r="P1513" s="23"/>
      <c r="Q1513" s="23"/>
      <c r="R1513" s="72"/>
      <c r="S1513" s="23"/>
      <c r="T1513" s="23"/>
      <c r="U1513" s="23"/>
      <c r="V1513" s="23"/>
      <c r="W1513" s="23"/>
      <c r="X1513" s="23"/>
      <c r="Y1513" s="23"/>
      <c r="Z1513" s="23"/>
      <c r="AA1513" s="23"/>
      <c r="AB1513" s="23"/>
      <c r="AC1513" s="23"/>
      <c r="AD1513" s="23"/>
      <c r="AE1513" s="23"/>
    </row>
    <row r="1514" spans="1:31">
      <c r="A1514" s="23"/>
      <c r="B1514" s="40"/>
      <c r="C1514" s="40"/>
      <c r="D1514" s="23"/>
      <c r="E1514" s="23"/>
      <c r="F1514" s="23"/>
      <c r="G1514" s="40"/>
      <c r="H1514" s="40"/>
      <c r="I1514" s="40"/>
      <c r="J1514" s="70"/>
      <c r="K1514" s="40"/>
      <c r="L1514" s="70"/>
      <c r="M1514" s="70"/>
      <c r="N1514" s="40"/>
      <c r="O1514" s="70"/>
      <c r="P1514" s="23"/>
      <c r="Q1514" s="23"/>
      <c r="R1514" s="72"/>
      <c r="S1514" s="23"/>
      <c r="T1514" s="23"/>
      <c r="U1514" s="23"/>
      <c r="V1514" s="23"/>
      <c r="W1514" s="23"/>
      <c r="X1514" s="23"/>
      <c r="Y1514" s="23"/>
      <c r="Z1514" s="23"/>
      <c r="AA1514" s="23"/>
      <c r="AB1514" s="23"/>
      <c r="AC1514" s="23"/>
      <c r="AD1514" s="23"/>
      <c r="AE1514" s="23"/>
    </row>
    <row r="1515" spans="1:31">
      <c r="A1515" s="23"/>
      <c r="B1515" s="40"/>
      <c r="C1515" s="40"/>
      <c r="D1515" s="23"/>
      <c r="E1515" s="23"/>
      <c r="F1515" s="23"/>
      <c r="G1515" s="40"/>
      <c r="H1515" s="40"/>
      <c r="I1515" s="40"/>
      <c r="J1515" s="70"/>
      <c r="K1515" s="40"/>
      <c r="L1515" s="70"/>
      <c r="M1515" s="70"/>
      <c r="N1515" s="40"/>
      <c r="O1515" s="70"/>
      <c r="P1515" s="23"/>
      <c r="Q1515" s="23"/>
      <c r="R1515" s="72"/>
      <c r="S1515" s="23"/>
      <c r="T1515" s="23"/>
      <c r="U1515" s="23"/>
      <c r="V1515" s="23"/>
      <c r="W1515" s="23"/>
      <c r="X1515" s="23"/>
      <c r="Y1515" s="23"/>
      <c r="Z1515" s="23"/>
      <c r="AA1515" s="23"/>
      <c r="AB1515" s="23"/>
      <c r="AC1515" s="23"/>
      <c r="AD1515" s="23"/>
      <c r="AE1515" s="23"/>
    </row>
    <row r="1516" spans="1:31">
      <c r="A1516" s="23"/>
      <c r="B1516" s="40"/>
      <c r="C1516" s="40"/>
      <c r="D1516" s="23"/>
      <c r="E1516" s="23"/>
      <c r="F1516" s="23"/>
      <c r="G1516" s="40"/>
      <c r="H1516" s="40"/>
      <c r="I1516" s="40"/>
      <c r="J1516" s="70"/>
      <c r="K1516" s="40"/>
      <c r="L1516" s="70"/>
      <c r="M1516" s="70"/>
      <c r="N1516" s="40"/>
      <c r="O1516" s="70"/>
      <c r="P1516" s="23"/>
      <c r="Q1516" s="23"/>
      <c r="R1516" s="72"/>
      <c r="S1516" s="23"/>
      <c r="T1516" s="23"/>
      <c r="U1516" s="23"/>
      <c r="V1516" s="23"/>
      <c r="W1516" s="23"/>
      <c r="X1516" s="23"/>
      <c r="Y1516" s="23"/>
      <c r="Z1516" s="23"/>
      <c r="AA1516" s="23"/>
      <c r="AB1516" s="23"/>
      <c r="AC1516" s="23"/>
      <c r="AD1516" s="23"/>
      <c r="AE1516" s="23"/>
    </row>
    <row r="1517" spans="1:31">
      <c r="A1517" s="23"/>
      <c r="B1517" s="40"/>
      <c r="C1517" s="40"/>
      <c r="D1517" s="23"/>
      <c r="E1517" s="23"/>
      <c r="F1517" s="23"/>
      <c r="G1517" s="40"/>
      <c r="H1517" s="40"/>
      <c r="I1517" s="40"/>
      <c r="J1517" s="70"/>
      <c r="K1517" s="40"/>
      <c r="L1517" s="70"/>
      <c r="M1517" s="70"/>
      <c r="N1517" s="40"/>
      <c r="O1517" s="70"/>
      <c r="P1517" s="23"/>
      <c r="Q1517" s="23"/>
      <c r="R1517" s="72"/>
      <c r="S1517" s="23"/>
      <c r="T1517" s="23"/>
      <c r="U1517" s="23"/>
      <c r="V1517" s="23"/>
      <c r="W1517" s="23"/>
      <c r="X1517" s="23"/>
      <c r="Y1517" s="23"/>
      <c r="Z1517" s="23"/>
      <c r="AA1517" s="23"/>
      <c r="AB1517" s="23"/>
      <c r="AC1517" s="23"/>
      <c r="AD1517" s="23"/>
      <c r="AE1517" s="23"/>
    </row>
    <row r="1518" spans="1:31">
      <c r="A1518" s="23"/>
      <c r="B1518" s="40"/>
      <c r="C1518" s="40"/>
      <c r="D1518" s="23"/>
      <c r="E1518" s="23"/>
      <c r="F1518" s="23"/>
      <c r="G1518" s="40"/>
      <c r="H1518" s="40"/>
      <c r="I1518" s="40"/>
      <c r="J1518" s="70"/>
      <c r="K1518" s="70"/>
      <c r="L1518" s="70"/>
      <c r="M1518" s="70"/>
      <c r="N1518" s="70"/>
      <c r="O1518" s="70"/>
      <c r="P1518" s="23"/>
      <c r="Q1518" s="23"/>
      <c r="R1518" s="72"/>
      <c r="S1518" s="23"/>
      <c r="T1518" s="23"/>
      <c r="U1518" s="23"/>
      <c r="V1518" s="23"/>
      <c r="W1518" s="23"/>
      <c r="X1518" s="23"/>
      <c r="Y1518" s="23"/>
      <c r="Z1518" s="23"/>
      <c r="AA1518" s="23"/>
      <c r="AB1518" s="23"/>
      <c r="AC1518" s="23"/>
      <c r="AD1518" s="23"/>
      <c r="AE1518" s="23"/>
    </row>
    <row r="1519" spans="1:31">
      <c r="A1519" s="23"/>
      <c r="B1519" s="40"/>
      <c r="C1519" s="40"/>
      <c r="D1519" s="23"/>
      <c r="E1519" s="23"/>
      <c r="F1519" s="23"/>
      <c r="G1519" s="40"/>
      <c r="H1519" s="40"/>
      <c r="I1519" s="40"/>
      <c r="J1519" s="70"/>
      <c r="K1519" s="70"/>
      <c r="L1519" s="70"/>
      <c r="M1519" s="70"/>
      <c r="N1519" s="70"/>
      <c r="O1519" s="70"/>
      <c r="P1519" s="23"/>
      <c r="Q1519" s="23"/>
      <c r="R1519" s="72"/>
      <c r="S1519" s="23"/>
      <c r="T1519" s="23"/>
      <c r="U1519" s="23"/>
      <c r="V1519" s="23"/>
      <c r="W1519" s="23"/>
      <c r="X1519" s="23"/>
      <c r="Y1519" s="23"/>
      <c r="Z1519" s="23"/>
      <c r="AA1519" s="23"/>
      <c r="AB1519" s="23"/>
      <c r="AC1519" s="23"/>
      <c r="AD1519" s="23"/>
      <c r="AE1519" s="23"/>
    </row>
    <row r="1520" spans="1:31">
      <c r="A1520" s="23"/>
      <c r="B1520" s="40"/>
      <c r="C1520" s="40"/>
      <c r="D1520" s="23"/>
      <c r="E1520" s="23"/>
      <c r="F1520" s="23"/>
      <c r="G1520" s="40"/>
      <c r="H1520" s="40"/>
      <c r="I1520" s="40"/>
      <c r="J1520" s="70"/>
      <c r="K1520" s="70"/>
      <c r="L1520" s="70"/>
      <c r="M1520" s="70"/>
      <c r="N1520" s="70"/>
      <c r="O1520" s="70"/>
      <c r="P1520" s="23"/>
      <c r="Q1520" s="23"/>
      <c r="R1520" s="72"/>
      <c r="S1520" s="23"/>
      <c r="T1520" s="23"/>
      <c r="U1520" s="23"/>
      <c r="V1520" s="23"/>
      <c r="W1520" s="23"/>
      <c r="X1520" s="23"/>
      <c r="Y1520" s="23"/>
      <c r="Z1520" s="23"/>
      <c r="AA1520" s="23"/>
      <c r="AB1520" s="23"/>
      <c r="AC1520" s="23"/>
      <c r="AD1520" s="23"/>
      <c r="AE1520" s="23"/>
    </row>
    <row r="1521" spans="1:31">
      <c r="A1521" s="23"/>
      <c r="B1521" s="40"/>
      <c r="C1521" s="40"/>
      <c r="D1521" s="23"/>
      <c r="E1521" s="23"/>
      <c r="F1521" s="23"/>
      <c r="G1521" s="40"/>
      <c r="H1521" s="40"/>
      <c r="I1521" s="40"/>
      <c r="J1521" s="70"/>
      <c r="K1521" s="70"/>
      <c r="L1521" s="70"/>
      <c r="M1521" s="70"/>
      <c r="N1521" s="70"/>
      <c r="O1521" s="70"/>
      <c r="P1521" s="23"/>
      <c r="Q1521" s="23"/>
      <c r="R1521" s="72"/>
      <c r="S1521" s="23"/>
      <c r="T1521" s="23"/>
      <c r="U1521" s="23"/>
      <c r="V1521" s="23"/>
      <c r="W1521" s="23"/>
      <c r="X1521" s="23"/>
      <c r="Y1521" s="23"/>
      <c r="Z1521" s="23"/>
      <c r="AA1521" s="23"/>
      <c r="AB1521" s="23"/>
      <c r="AC1521" s="23"/>
      <c r="AD1521" s="23"/>
      <c r="AE1521" s="23"/>
    </row>
    <row r="1522" spans="1:31">
      <c r="A1522" s="23"/>
      <c r="B1522" s="40"/>
      <c r="C1522" s="40"/>
      <c r="D1522" s="23"/>
      <c r="E1522" s="23"/>
      <c r="F1522" s="23"/>
      <c r="G1522" s="40"/>
      <c r="H1522" s="40"/>
      <c r="I1522" s="40"/>
      <c r="J1522" s="70"/>
      <c r="K1522" s="70"/>
      <c r="L1522" s="70"/>
      <c r="M1522" s="70"/>
      <c r="N1522" s="70"/>
      <c r="O1522" s="70"/>
      <c r="P1522" s="23"/>
      <c r="Q1522" s="23"/>
      <c r="R1522" s="72"/>
      <c r="S1522" s="23"/>
      <c r="T1522" s="23"/>
      <c r="U1522" s="23"/>
      <c r="V1522" s="23"/>
      <c r="W1522" s="23"/>
      <c r="X1522" s="23"/>
      <c r="Y1522" s="23"/>
      <c r="Z1522" s="23"/>
      <c r="AA1522" s="23"/>
      <c r="AB1522" s="23"/>
      <c r="AC1522" s="23"/>
      <c r="AD1522" s="23"/>
      <c r="AE1522" s="23"/>
    </row>
    <row r="1523" spans="1:31">
      <c r="A1523" s="23"/>
      <c r="B1523" s="40"/>
      <c r="C1523" s="40"/>
      <c r="D1523" s="23"/>
      <c r="E1523" s="23"/>
      <c r="F1523" s="23"/>
      <c r="G1523" s="40"/>
      <c r="H1523" s="40"/>
      <c r="I1523" s="40"/>
      <c r="J1523" s="70"/>
      <c r="K1523" s="70"/>
      <c r="L1523" s="70"/>
      <c r="M1523" s="70"/>
      <c r="N1523" s="70"/>
      <c r="O1523" s="70"/>
      <c r="P1523" s="23"/>
      <c r="Q1523" s="23"/>
      <c r="R1523" s="72"/>
      <c r="S1523" s="23"/>
      <c r="T1523" s="23"/>
      <c r="U1523" s="23"/>
      <c r="V1523" s="23"/>
      <c r="W1523" s="23"/>
      <c r="X1523" s="23"/>
      <c r="Y1523" s="23"/>
      <c r="Z1523" s="23"/>
      <c r="AA1523" s="23"/>
      <c r="AB1523" s="23"/>
      <c r="AC1523" s="23"/>
      <c r="AD1523" s="23"/>
      <c r="AE1523" s="23"/>
    </row>
    <row r="1524" spans="1:31">
      <c r="A1524" s="23"/>
      <c r="B1524" s="40"/>
      <c r="C1524" s="40"/>
      <c r="D1524" s="23"/>
      <c r="E1524" s="23"/>
      <c r="F1524" s="23"/>
      <c r="G1524" s="40"/>
      <c r="H1524" s="40"/>
      <c r="I1524" s="40"/>
      <c r="J1524" s="70"/>
      <c r="K1524" s="70"/>
      <c r="L1524" s="70"/>
      <c r="M1524" s="70"/>
      <c r="N1524" s="70"/>
      <c r="O1524" s="70"/>
      <c r="P1524" s="23"/>
      <c r="Q1524" s="23"/>
      <c r="R1524" s="72"/>
      <c r="S1524" s="23"/>
      <c r="T1524" s="23"/>
      <c r="U1524" s="23"/>
      <c r="V1524" s="23"/>
      <c r="W1524" s="23"/>
      <c r="X1524" s="23"/>
      <c r="Y1524" s="23"/>
      <c r="Z1524" s="23"/>
      <c r="AA1524" s="23"/>
      <c r="AB1524" s="23"/>
      <c r="AC1524" s="23"/>
      <c r="AD1524" s="23"/>
      <c r="AE1524" s="23"/>
    </row>
    <row r="1525" spans="1:31">
      <c r="A1525" s="23"/>
      <c r="B1525" s="40"/>
      <c r="C1525" s="40"/>
      <c r="D1525" s="23"/>
      <c r="E1525" s="23"/>
      <c r="F1525" s="23"/>
      <c r="G1525" s="40"/>
      <c r="H1525" s="40"/>
      <c r="I1525" s="40"/>
      <c r="J1525" s="70"/>
      <c r="K1525" s="70"/>
      <c r="L1525" s="70"/>
      <c r="M1525" s="70"/>
      <c r="N1525" s="70"/>
      <c r="O1525" s="70"/>
      <c r="P1525" s="23"/>
      <c r="Q1525" s="23"/>
      <c r="R1525" s="72"/>
      <c r="S1525" s="23"/>
      <c r="T1525" s="23"/>
      <c r="U1525" s="23"/>
      <c r="V1525" s="23"/>
      <c r="W1525" s="23"/>
      <c r="X1525" s="23"/>
      <c r="Y1525" s="23"/>
      <c r="Z1525" s="23"/>
      <c r="AA1525" s="23"/>
      <c r="AB1525" s="23"/>
      <c r="AC1525" s="23"/>
      <c r="AD1525" s="23"/>
      <c r="AE1525" s="23"/>
    </row>
    <row r="1526" spans="1:31">
      <c r="A1526" s="23"/>
      <c r="B1526" s="40"/>
      <c r="C1526" s="40"/>
      <c r="D1526" s="23"/>
      <c r="E1526" s="23"/>
      <c r="F1526" s="23"/>
      <c r="G1526" s="40"/>
      <c r="H1526" s="40"/>
      <c r="I1526" s="40"/>
      <c r="J1526" s="70"/>
      <c r="K1526" s="70"/>
      <c r="L1526" s="70"/>
      <c r="M1526" s="70"/>
      <c r="N1526" s="70"/>
      <c r="O1526" s="70"/>
      <c r="P1526" s="23"/>
      <c r="Q1526" s="23"/>
      <c r="R1526" s="72"/>
      <c r="S1526" s="23"/>
      <c r="T1526" s="23"/>
      <c r="U1526" s="23"/>
      <c r="V1526" s="23"/>
      <c r="W1526" s="23"/>
      <c r="X1526" s="23"/>
      <c r="Y1526" s="23"/>
      <c r="Z1526" s="23"/>
      <c r="AA1526" s="23"/>
      <c r="AB1526" s="23"/>
      <c r="AC1526" s="23"/>
      <c r="AD1526" s="23"/>
      <c r="AE1526" s="23"/>
    </row>
    <row r="1527" spans="1:31">
      <c r="A1527" s="23"/>
      <c r="B1527" s="40"/>
      <c r="C1527" s="40"/>
      <c r="D1527" s="23"/>
      <c r="E1527" s="23"/>
      <c r="F1527" s="23"/>
      <c r="G1527" s="40"/>
      <c r="H1527" s="40"/>
      <c r="I1527" s="40"/>
      <c r="J1527" s="70"/>
      <c r="K1527" s="70"/>
      <c r="L1527" s="70"/>
      <c r="M1527" s="70"/>
      <c r="N1527" s="70"/>
      <c r="O1527" s="70"/>
      <c r="P1527" s="23"/>
      <c r="Q1527" s="23"/>
      <c r="R1527" s="72"/>
      <c r="S1527" s="23"/>
      <c r="T1527" s="23"/>
      <c r="U1527" s="23"/>
      <c r="V1527" s="23"/>
      <c r="W1527" s="23"/>
      <c r="X1527" s="23"/>
      <c r="Y1527" s="23"/>
      <c r="Z1527" s="23"/>
      <c r="AA1527" s="23"/>
      <c r="AB1527" s="23"/>
      <c r="AC1527" s="23"/>
      <c r="AD1527" s="23"/>
      <c r="AE1527" s="23"/>
    </row>
    <row r="1528" spans="1:31">
      <c r="A1528" s="23"/>
      <c r="B1528" s="40"/>
      <c r="C1528" s="40"/>
      <c r="D1528" s="23"/>
      <c r="E1528" s="23"/>
      <c r="F1528" s="23"/>
      <c r="G1528" s="40"/>
      <c r="H1528" s="40"/>
      <c r="I1528" s="40"/>
      <c r="J1528" s="70"/>
      <c r="K1528" s="70"/>
      <c r="L1528" s="70"/>
      <c r="M1528" s="70"/>
      <c r="N1528" s="70"/>
      <c r="O1528" s="70"/>
      <c r="P1528" s="23"/>
      <c r="Q1528" s="23"/>
      <c r="R1528" s="72"/>
      <c r="S1528" s="23"/>
      <c r="T1528" s="23"/>
      <c r="U1528" s="23"/>
      <c r="V1528" s="23"/>
      <c r="W1528" s="23"/>
      <c r="X1528" s="23"/>
      <c r="Y1528" s="23"/>
      <c r="Z1528" s="23"/>
      <c r="AA1528" s="23"/>
      <c r="AB1528" s="23"/>
      <c r="AC1528" s="23"/>
      <c r="AD1528" s="23"/>
      <c r="AE1528" s="23"/>
    </row>
    <row r="1529" spans="1:31" ht="24" customHeight="1">
      <c r="A1529" s="23"/>
      <c r="B1529" s="40"/>
      <c r="C1529" s="40"/>
      <c r="D1529" s="23"/>
      <c r="E1529" s="23"/>
      <c r="F1529" s="23"/>
      <c r="G1529" s="40"/>
      <c r="H1529" s="40"/>
      <c r="I1529" s="40"/>
      <c r="J1529" s="70"/>
      <c r="K1529" s="70"/>
      <c r="L1529" s="70"/>
      <c r="M1529" s="70"/>
      <c r="N1529" s="70"/>
      <c r="O1529" s="70"/>
      <c r="P1529" s="23"/>
      <c r="Q1529" s="23"/>
      <c r="R1529" s="72"/>
      <c r="S1529" s="23"/>
      <c r="T1529" s="23"/>
      <c r="U1529" s="23"/>
      <c r="V1529" s="23"/>
      <c r="W1529" s="23"/>
      <c r="X1529" s="23"/>
      <c r="Y1529" s="23"/>
      <c r="Z1529" s="23"/>
      <c r="AA1529" s="23"/>
      <c r="AB1529" s="23"/>
      <c r="AC1529" s="23"/>
      <c r="AD1529" s="23"/>
      <c r="AE1529" s="23"/>
    </row>
    <row r="1530" spans="1:31">
      <c r="A1530" s="23"/>
      <c r="B1530" s="40"/>
      <c r="C1530" s="40"/>
      <c r="D1530" s="23"/>
      <c r="E1530" s="23"/>
      <c r="F1530" s="23"/>
      <c r="G1530" s="40"/>
      <c r="H1530" s="40"/>
      <c r="I1530" s="40"/>
      <c r="J1530" s="70"/>
      <c r="K1530" s="70"/>
      <c r="L1530" s="70"/>
      <c r="M1530" s="70"/>
      <c r="N1530" s="70"/>
      <c r="O1530" s="70"/>
      <c r="P1530" s="23"/>
      <c r="Q1530" s="23"/>
      <c r="R1530" s="72"/>
      <c r="S1530" s="23"/>
      <c r="T1530" s="23"/>
      <c r="U1530" s="23"/>
      <c r="V1530" s="23"/>
      <c r="W1530" s="23"/>
      <c r="X1530" s="23"/>
      <c r="Y1530" s="23"/>
      <c r="Z1530" s="23"/>
      <c r="AA1530" s="23"/>
      <c r="AB1530" s="23"/>
      <c r="AC1530" s="23"/>
      <c r="AD1530" s="23"/>
      <c r="AE1530" s="23"/>
    </row>
    <row r="1531" spans="1:31">
      <c r="A1531" s="23"/>
      <c r="B1531" s="40"/>
      <c r="C1531" s="40"/>
      <c r="D1531" s="23"/>
      <c r="E1531" s="23"/>
      <c r="F1531" s="23"/>
      <c r="G1531" s="40"/>
      <c r="H1531" s="40"/>
      <c r="I1531" s="40"/>
      <c r="J1531" s="70"/>
      <c r="K1531" s="70"/>
      <c r="L1531" s="70"/>
      <c r="M1531" s="70"/>
      <c r="N1531" s="70"/>
      <c r="O1531" s="70"/>
      <c r="P1531" s="23"/>
      <c r="Q1531" s="23"/>
      <c r="R1531" s="72"/>
      <c r="S1531" s="23"/>
      <c r="T1531" s="23"/>
      <c r="U1531" s="23"/>
      <c r="V1531" s="23"/>
      <c r="W1531" s="23"/>
      <c r="X1531" s="23"/>
      <c r="Y1531" s="23"/>
      <c r="Z1531" s="23"/>
      <c r="AA1531" s="23"/>
      <c r="AB1531" s="23"/>
      <c r="AC1531" s="23"/>
      <c r="AD1531" s="23"/>
      <c r="AE1531" s="23"/>
    </row>
    <row r="1532" spans="1:31" ht="24" customHeight="1">
      <c r="A1532" s="23"/>
      <c r="B1532" s="40"/>
      <c r="C1532" s="40"/>
      <c r="D1532" s="23"/>
      <c r="E1532" s="23"/>
      <c r="F1532" s="23"/>
      <c r="G1532" s="40"/>
      <c r="H1532" s="40"/>
      <c r="I1532" s="40"/>
      <c r="J1532" s="70"/>
      <c r="K1532" s="70"/>
      <c r="L1532" s="70"/>
      <c r="M1532" s="70"/>
      <c r="N1532" s="70"/>
      <c r="O1532" s="70"/>
      <c r="P1532" s="23"/>
      <c r="Q1532" s="23"/>
      <c r="R1532" s="72"/>
      <c r="S1532" s="23"/>
      <c r="T1532" s="23"/>
      <c r="U1532" s="23"/>
      <c r="V1532" s="23"/>
      <c r="W1532" s="23"/>
      <c r="X1532" s="23"/>
      <c r="Y1532" s="23"/>
      <c r="Z1532" s="23"/>
      <c r="AA1532" s="23"/>
      <c r="AB1532" s="23"/>
      <c r="AC1532" s="23"/>
      <c r="AD1532" s="23"/>
      <c r="AE1532" s="23"/>
    </row>
    <row r="1533" spans="1:31">
      <c r="A1533" s="23"/>
      <c r="B1533" s="40"/>
      <c r="C1533" s="40"/>
      <c r="D1533" s="23"/>
      <c r="E1533" s="23"/>
      <c r="F1533" s="23"/>
      <c r="G1533" s="40"/>
      <c r="H1533" s="40"/>
      <c r="I1533" s="40"/>
      <c r="J1533" s="70"/>
      <c r="K1533" s="70"/>
      <c r="L1533" s="70"/>
      <c r="M1533" s="70"/>
      <c r="N1533" s="70"/>
      <c r="O1533" s="70"/>
      <c r="P1533" s="23"/>
      <c r="Q1533" s="23"/>
      <c r="R1533" s="72"/>
      <c r="S1533" s="23"/>
      <c r="T1533" s="23"/>
      <c r="U1533" s="23"/>
      <c r="V1533" s="23"/>
      <c r="W1533" s="23"/>
      <c r="X1533" s="23"/>
      <c r="Y1533" s="23"/>
      <c r="Z1533" s="23"/>
      <c r="AA1533" s="23"/>
      <c r="AB1533" s="23"/>
      <c r="AC1533" s="23"/>
      <c r="AD1533" s="23"/>
      <c r="AE1533" s="23"/>
    </row>
    <row r="1534" spans="1:31">
      <c r="A1534" s="23"/>
      <c r="B1534" s="40"/>
      <c r="C1534" s="40"/>
      <c r="D1534" s="23"/>
      <c r="E1534" s="23"/>
      <c r="F1534" s="23"/>
      <c r="G1534" s="40"/>
      <c r="H1534" s="40"/>
      <c r="I1534" s="40"/>
      <c r="J1534" s="70"/>
      <c r="K1534" s="70"/>
      <c r="L1534" s="70"/>
      <c r="M1534" s="70"/>
      <c r="N1534" s="70"/>
      <c r="O1534" s="70"/>
      <c r="P1534" s="23"/>
      <c r="Q1534" s="23"/>
      <c r="R1534" s="72"/>
      <c r="S1534" s="23"/>
      <c r="T1534" s="23"/>
      <c r="U1534" s="23"/>
      <c r="V1534" s="23"/>
      <c r="W1534" s="23"/>
      <c r="X1534" s="23"/>
      <c r="Y1534" s="23"/>
      <c r="Z1534" s="23"/>
      <c r="AA1534" s="23"/>
      <c r="AB1534" s="23"/>
      <c r="AC1534" s="23"/>
      <c r="AD1534" s="23"/>
      <c r="AE1534" s="23"/>
    </row>
    <row r="1535" spans="1:31">
      <c r="A1535" s="23"/>
      <c r="B1535" s="40"/>
      <c r="C1535" s="40"/>
      <c r="D1535" s="23"/>
      <c r="E1535" s="23"/>
      <c r="F1535" s="23"/>
      <c r="G1535" s="40"/>
      <c r="H1535" s="40"/>
      <c r="I1535" s="40"/>
      <c r="J1535" s="70"/>
      <c r="K1535" s="70"/>
      <c r="L1535" s="70"/>
      <c r="M1535" s="70"/>
      <c r="N1535" s="70"/>
      <c r="O1535" s="70"/>
      <c r="P1535" s="23"/>
      <c r="Q1535" s="23"/>
      <c r="R1535" s="72"/>
      <c r="S1535" s="23"/>
      <c r="T1535" s="23"/>
      <c r="U1535" s="23"/>
      <c r="V1535" s="23"/>
      <c r="W1535" s="23"/>
      <c r="X1535" s="23"/>
      <c r="Y1535" s="23"/>
      <c r="Z1535" s="23"/>
      <c r="AA1535" s="23"/>
      <c r="AB1535" s="23"/>
      <c r="AC1535" s="23"/>
      <c r="AD1535" s="23"/>
      <c r="AE1535" s="23"/>
    </row>
    <row r="1536" spans="1:31">
      <c r="A1536" s="23"/>
      <c r="B1536" s="40"/>
      <c r="C1536" s="40"/>
      <c r="D1536" s="23"/>
      <c r="E1536" s="23"/>
      <c r="F1536" s="23"/>
      <c r="G1536" s="40"/>
      <c r="H1536" s="40"/>
      <c r="I1536" s="40"/>
      <c r="J1536" s="70"/>
      <c r="K1536" s="70"/>
      <c r="L1536" s="70"/>
      <c r="M1536" s="70"/>
      <c r="N1536" s="70"/>
      <c r="O1536" s="70"/>
      <c r="P1536" s="23"/>
      <c r="Q1536" s="23"/>
      <c r="R1536" s="72"/>
      <c r="S1536" s="23"/>
      <c r="T1536" s="23"/>
      <c r="U1536" s="23"/>
      <c r="V1536" s="23"/>
      <c r="W1536" s="23"/>
      <c r="X1536" s="23"/>
      <c r="Y1536" s="23"/>
      <c r="Z1536" s="23"/>
      <c r="AA1536" s="23"/>
      <c r="AB1536" s="23"/>
      <c r="AC1536" s="23"/>
      <c r="AD1536" s="23"/>
      <c r="AE1536" s="23"/>
    </row>
    <row r="1537" spans="1:31">
      <c r="A1537" s="23"/>
      <c r="B1537" s="40"/>
      <c r="C1537" s="40"/>
      <c r="D1537" s="23"/>
      <c r="E1537" s="23"/>
      <c r="F1537" s="23"/>
      <c r="G1537" s="40"/>
      <c r="H1537" s="40"/>
      <c r="I1537" s="40"/>
      <c r="J1537" s="70"/>
      <c r="K1537" s="70"/>
      <c r="L1537" s="70"/>
      <c r="M1537" s="70"/>
      <c r="N1537" s="70"/>
      <c r="O1537" s="70"/>
      <c r="P1537" s="23"/>
      <c r="Q1537" s="23"/>
      <c r="R1537" s="72"/>
      <c r="S1537" s="23"/>
      <c r="T1537" s="23"/>
      <c r="U1537" s="23"/>
      <c r="V1537" s="23"/>
      <c r="W1537" s="23"/>
      <c r="X1537" s="23"/>
      <c r="Y1537" s="23"/>
      <c r="Z1537" s="23"/>
      <c r="AA1537" s="23"/>
      <c r="AB1537" s="23"/>
      <c r="AC1537" s="23"/>
      <c r="AD1537" s="23"/>
      <c r="AE1537" s="23"/>
    </row>
    <row r="1538" spans="1:31">
      <c r="A1538" s="23"/>
      <c r="B1538" s="40"/>
      <c r="C1538" s="40"/>
      <c r="D1538" s="23"/>
      <c r="E1538" s="23"/>
      <c r="F1538" s="23"/>
      <c r="G1538" s="40"/>
      <c r="H1538" s="40"/>
      <c r="I1538" s="40"/>
      <c r="J1538" s="70"/>
      <c r="K1538" s="70"/>
      <c r="L1538" s="70"/>
      <c r="M1538" s="70"/>
      <c r="N1538" s="70"/>
      <c r="O1538" s="70"/>
      <c r="P1538" s="23"/>
      <c r="Q1538" s="23"/>
      <c r="R1538" s="72"/>
      <c r="S1538" s="23"/>
      <c r="T1538" s="23"/>
      <c r="U1538" s="23"/>
      <c r="V1538" s="23"/>
      <c r="W1538" s="23"/>
      <c r="X1538" s="23"/>
      <c r="Y1538" s="23"/>
      <c r="Z1538" s="23"/>
      <c r="AA1538" s="23"/>
      <c r="AB1538" s="23"/>
      <c r="AC1538" s="23"/>
      <c r="AD1538" s="23"/>
      <c r="AE1538" s="23"/>
    </row>
    <row r="1539" spans="1:31">
      <c r="A1539" s="23"/>
      <c r="B1539" s="40"/>
      <c r="C1539" s="40"/>
      <c r="D1539" s="23"/>
      <c r="E1539" s="23"/>
      <c r="F1539" s="23"/>
      <c r="G1539" s="40"/>
      <c r="H1539" s="40"/>
      <c r="I1539" s="40"/>
      <c r="J1539" s="70"/>
      <c r="K1539" s="70"/>
      <c r="L1539" s="70"/>
      <c r="M1539" s="70"/>
      <c r="N1539" s="70"/>
      <c r="O1539" s="70"/>
      <c r="P1539" s="23"/>
      <c r="Q1539" s="23"/>
      <c r="R1539" s="72"/>
      <c r="S1539" s="23"/>
      <c r="T1539" s="23"/>
      <c r="U1539" s="23"/>
      <c r="V1539" s="23"/>
      <c r="W1539" s="23"/>
      <c r="X1539" s="23"/>
      <c r="Y1539" s="23"/>
      <c r="Z1539" s="23"/>
      <c r="AA1539" s="23"/>
      <c r="AB1539" s="23"/>
      <c r="AC1539" s="23"/>
      <c r="AD1539" s="23"/>
      <c r="AE1539" s="23"/>
    </row>
    <row r="1540" spans="1:31">
      <c r="A1540" s="23"/>
      <c r="B1540" s="40"/>
      <c r="C1540" s="40"/>
      <c r="D1540" s="23"/>
      <c r="E1540" s="23"/>
      <c r="F1540" s="23"/>
      <c r="G1540" s="40"/>
      <c r="H1540" s="40"/>
      <c r="I1540" s="40"/>
      <c r="J1540" s="70"/>
      <c r="K1540" s="70"/>
      <c r="L1540" s="70"/>
      <c r="M1540" s="70"/>
      <c r="N1540" s="70"/>
      <c r="O1540" s="70"/>
      <c r="P1540" s="23"/>
      <c r="Q1540" s="23"/>
      <c r="R1540" s="72"/>
      <c r="S1540" s="23"/>
      <c r="T1540" s="23"/>
      <c r="U1540" s="23"/>
      <c r="V1540" s="23"/>
      <c r="W1540" s="23"/>
      <c r="X1540" s="23"/>
      <c r="Y1540" s="23"/>
      <c r="Z1540" s="23"/>
      <c r="AA1540" s="23"/>
      <c r="AB1540" s="23"/>
      <c r="AC1540" s="23"/>
      <c r="AD1540" s="23"/>
      <c r="AE1540" s="23"/>
    </row>
    <row r="1541" spans="1:31" ht="24" customHeight="1">
      <c r="A1541" s="23"/>
      <c r="B1541" s="40"/>
      <c r="C1541" s="40"/>
      <c r="D1541" s="23"/>
      <c r="E1541" s="23"/>
      <c r="F1541" s="23"/>
      <c r="G1541" s="40"/>
      <c r="H1541" s="40"/>
      <c r="I1541" s="40"/>
      <c r="J1541" s="70"/>
      <c r="K1541" s="70"/>
      <c r="L1541" s="70"/>
      <c r="M1541" s="70"/>
      <c r="N1541" s="70"/>
      <c r="O1541" s="70"/>
      <c r="P1541" s="23"/>
      <c r="Q1541" s="23"/>
      <c r="R1541" s="72"/>
      <c r="S1541" s="23"/>
      <c r="T1541" s="23"/>
      <c r="U1541" s="23"/>
      <c r="V1541" s="23"/>
      <c r="W1541" s="23"/>
      <c r="X1541" s="23"/>
      <c r="Y1541" s="23"/>
      <c r="Z1541" s="23"/>
      <c r="AA1541" s="23"/>
      <c r="AB1541" s="23"/>
      <c r="AC1541" s="23"/>
      <c r="AD1541" s="23"/>
      <c r="AE1541" s="23"/>
    </row>
    <row r="1542" spans="1:31">
      <c r="A1542" s="23"/>
      <c r="B1542" s="40"/>
      <c r="C1542" s="40"/>
      <c r="D1542" s="23"/>
      <c r="E1542" s="23"/>
      <c r="F1542" s="23"/>
      <c r="G1542" s="40"/>
      <c r="H1542" s="40"/>
      <c r="I1542" s="40"/>
      <c r="J1542" s="70"/>
      <c r="K1542" s="70"/>
      <c r="L1542" s="70"/>
      <c r="M1542" s="70"/>
      <c r="N1542" s="70"/>
      <c r="O1542" s="70"/>
      <c r="P1542" s="23"/>
      <c r="Q1542" s="23"/>
      <c r="R1542" s="72"/>
      <c r="S1542" s="23"/>
      <c r="T1542" s="23"/>
      <c r="U1542" s="23"/>
      <c r="V1542" s="23"/>
      <c r="W1542" s="23"/>
      <c r="X1542" s="23"/>
      <c r="Y1542" s="23"/>
      <c r="Z1542" s="23"/>
      <c r="AA1542" s="23"/>
      <c r="AB1542" s="23"/>
      <c r="AC1542" s="23"/>
      <c r="AD1542" s="23"/>
      <c r="AE1542" s="23"/>
    </row>
    <row r="1543" spans="1:31">
      <c r="A1543" s="23"/>
      <c r="B1543" s="40"/>
      <c r="C1543" s="40"/>
      <c r="D1543" s="23"/>
      <c r="E1543" s="23"/>
      <c r="F1543" s="23"/>
      <c r="G1543" s="40"/>
      <c r="H1543" s="40"/>
      <c r="I1543" s="40"/>
      <c r="J1543" s="70"/>
      <c r="K1543" s="70"/>
      <c r="L1543" s="70"/>
      <c r="M1543" s="70"/>
      <c r="N1543" s="70"/>
      <c r="O1543" s="70"/>
      <c r="P1543" s="23"/>
      <c r="Q1543" s="23"/>
      <c r="R1543" s="72"/>
      <c r="S1543" s="23"/>
      <c r="T1543" s="23"/>
      <c r="U1543" s="23"/>
      <c r="V1543" s="23"/>
      <c r="W1543" s="23"/>
      <c r="X1543" s="23"/>
      <c r="Y1543" s="23"/>
      <c r="Z1543" s="23"/>
      <c r="AA1543" s="23"/>
      <c r="AB1543" s="23"/>
      <c r="AC1543" s="23"/>
      <c r="AD1543" s="23"/>
      <c r="AE1543" s="23"/>
    </row>
    <row r="1544" spans="1:31" ht="24" customHeight="1">
      <c r="A1544" s="23"/>
      <c r="B1544" s="40"/>
      <c r="C1544" s="40"/>
      <c r="D1544" s="23"/>
      <c r="E1544" s="23"/>
      <c r="F1544" s="23"/>
      <c r="G1544" s="40"/>
      <c r="H1544" s="40"/>
      <c r="I1544" s="40"/>
      <c r="J1544" s="70"/>
      <c r="K1544" s="70"/>
      <c r="L1544" s="70"/>
      <c r="M1544" s="70"/>
      <c r="N1544" s="70"/>
      <c r="O1544" s="70"/>
      <c r="P1544" s="23"/>
      <c r="Q1544" s="23"/>
      <c r="R1544" s="72"/>
      <c r="S1544" s="23"/>
      <c r="T1544" s="23"/>
      <c r="U1544" s="23"/>
      <c r="V1544" s="23"/>
      <c r="W1544" s="23"/>
      <c r="X1544" s="23"/>
      <c r="Y1544" s="23"/>
      <c r="Z1544" s="23"/>
      <c r="AA1544" s="23"/>
      <c r="AB1544" s="23"/>
      <c r="AC1544" s="23"/>
      <c r="AD1544" s="23"/>
      <c r="AE1544" s="23"/>
    </row>
    <row r="1545" spans="1:31">
      <c r="A1545" s="23"/>
      <c r="B1545" s="40"/>
      <c r="C1545" s="40"/>
      <c r="D1545" s="23"/>
      <c r="E1545" s="23"/>
      <c r="F1545" s="23"/>
      <c r="G1545" s="40"/>
      <c r="H1545" s="40"/>
      <c r="I1545" s="40"/>
      <c r="J1545" s="70"/>
      <c r="K1545" s="70"/>
      <c r="L1545" s="70"/>
      <c r="M1545" s="70"/>
      <c r="N1545" s="70"/>
      <c r="O1545" s="70"/>
      <c r="P1545" s="23"/>
      <c r="Q1545" s="23"/>
      <c r="R1545" s="72"/>
      <c r="S1545" s="23"/>
      <c r="T1545" s="23"/>
      <c r="U1545" s="23"/>
      <c r="V1545" s="23"/>
      <c r="W1545" s="23"/>
      <c r="X1545" s="23"/>
      <c r="Y1545" s="23"/>
      <c r="Z1545" s="23"/>
      <c r="AA1545" s="23"/>
      <c r="AB1545" s="23"/>
      <c r="AC1545" s="23"/>
      <c r="AD1545" s="23"/>
      <c r="AE1545" s="23"/>
    </row>
    <row r="1546" spans="1:31">
      <c r="A1546" s="23"/>
      <c r="B1546" s="40"/>
      <c r="C1546" s="40"/>
      <c r="D1546" s="23"/>
      <c r="E1546" s="23"/>
      <c r="F1546" s="23"/>
      <c r="G1546" s="40"/>
      <c r="H1546" s="40"/>
      <c r="I1546" s="40"/>
      <c r="J1546" s="70"/>
      <c r="K1546" s="70"/>
      <c r="L1546" s="70"/>
      <c r="M1546" s="70"/>
      <c r="N1546" s="70"/>
      <c r="O1546" s="70"/>
      <c r="P1546" s="23"/>
      <c r="Q1546" s="23"/>
      <c r="R1546" s="72"/>
      <c r="S1546" s="23"/>
      <c r="T1546" s="23"/>
      <c r="U1546" s="23"/>
      <c r="V1546" s="23"/>
      <c r="W1546" s="23"/>
      <c r="X1546" s="23"/>
      <c r="Y1546" s="23"/>
      <c r="Z1546" s="23"/>
      <c r="AA1546" s="23"/>
      <c r="AB1546" s="23"/>
      <c r="AC1546" s="23"/>
      <c r="AD1546" s="23"/>
      <c r="AE1546" s="23"/>
    </row>
    <row r="1547" spans="1:31">
      <c r="A1547" s="23"/>
      <c r="B1547" s="40"/>
      <c r="C1547" s="40"/>
      <c r="D1547" s="23"/>
      <c r="E1547" s="23"/>
      <c r="F1547" s="23"/>
      <c r="G1547" s="40"/>
      <c r="H1547" s="40"/>
      <c r="I1547" s="40"/>
      <c r="J1547" s="70"/>
      <c r="K1547" s="70"/>
      <c r="L1547" s="70"/>
      <c r="M1547" s="70"/>
      <c r="N1547" s="70"/>
      <c r="O1547" s="70"/>
      <c r="P1547" s="23"/>
      <c r="Q1547" s="23"/>
      <c r="R1547" s="72"/>
      <c r="S1547" s="23"/>
      <c r="T1547" s="23"/>
      <c r="U1547" s="23"/>
      <c r="V1547" s="23"/>
      <c r="W1547" s="23"/>
      <c r="X1547" s="23"/>
      <c r="Y1547" s="23"/>
      <c r="Z1547" s="23"/>
      <c r="AA1547" s="23"/>
      <c r="AB1547" s="23"/>
      <c r="AC1547" s="23"/>
      <c r="AD1547" s="23"/>
      <c r="AE1547" s="23"/>
    </row>
    <row r="1548" spans="1:31">
      <c r="A1548" s="23"/>
      <c r="B1548" s="40"/>
      <c r="C1548" s="40"/>
      <c r="D1548" s="23"/>
      <c r="E1548" s="23"/>
      <c r="F1548" s="23"/>
      <c r="G1548" s="40"/>
      <c r="H1548" s="40"/>
      <c r="I1548" s="40"/>
      <c r="J1548" s="70"/>
      <c r="K1548" s="70"/>
      <c r="L1548" s="70"/>
      <c r="M1548" s="70"/>
      <c r="N1548" s="70"/>
      <c r="O1548" s="70"/>
      <c r="P1548" s="23"/>
      <c r="Q1548" s="23"/>
      <c r="R1548" s="72"/>
      <c r="S1548" s="23"/>
      <c r="T1548" s="23"/>
      <c r="U1548" s="23"/>
      <c r="V1548" s="23"/>
      <c r="W1548" s="23"/>
      <c r="X1548" s="23"/>
      <c r="Y1548" s="23"/>
      <c r="Z1548" s="23"/>
      <c r="AA1548" s="23"/>
      <c r="AB1548" s="23"/>
      <c r="AC1548" s="23"/>
      <c r="AD1548" s="23"/>
      <c r="AE1548" s="23"/>
    </row>
    <row r="1549" spans="1:31">
      <c r="A1549" s="23"/>
      <c r="B1549" s="40"/>
      <c r="C1549" s="40"/>
      <c r="D1549" s="23"/>
      <c r="E1549" s="23"/>
      <c r="F1549" s="23"/>
      <c r="G1549" s="40"/>
      <c r="H1549" s="40"/>
      <c r="I1549" s="40"/>
      <c r="J1549" s="70"/>
      <c r="K1549" s="70"/>
      <c r="L1549" s="70"/>
      <c r="M1549" s="70"/>
      <c r="N1549" s="70"/>
      <c r="O1549" s="70"/>
      <c r="P1549" s="23"/>
      <c r="Q1549" s="23"/>
      <c r="R1549" s="72"/>
      <c r="S1549" s="23"/>
      <c r="T1549" s="23"/>
      <c r="U1549" s="23"/>
      <c r="V1549" s="23"/>
      <c r="W1549" s="23"/>
      <c r="X1549" s="23"/>
      <c r="Y1549" s="23"/>
      <c r="Z1549" s="23"/>
      <c r="AA1549" s="23"/>
      <c r="AB1549" s="23"/>
      <c r="AC1549" s="23"/>
      <c r="AD1549" s="23"/>
      <c r="AE1549" s="23"/>
    </row>
    <row r="1550" spans="1:31">
      <c r="A1550" s="23"/>
      <c r="B1550" s="40"/>
      <c r="C1550" s="40"/>
      <c r="D1550" s="23"/>
      <c r="E1550" s="23"/>
      <c r="F1550" s="23"/>
      <c r="G1550" s="40"/>
      <c r="H1550" s="40"/>
      <c r="I1550" s="40"/>
      <c r="J1550" s="70"/>
      <c r="K1550" s="70"/>
      <c r="L1550" s="70"/>
      <c r="M1550" s="70"/>
      <c r="N1550" s="70"/>
      <c r="O1550" s="70"/>
      <c r="P1550" s="23"/>
      <c r="Q1550" s="23"/>
      <c r="R1550" s="72"/>
      <c r="S1550" s="23"/>
      <c r="T1550" s="23"/>
      <c r="U1550" s="23"/>
      <c r="V1550" s="23"/>
      <c r="W1550" s="23"/>
      <c r="X1550" s="23"/>
      <c r="Y1550" s="23"/>
      <c r="Z1550" s="23"/>
      <c r="AA1550" s="23"/>
      <c r="AB1550" s="23"/>
      <c r="AC1550" s="23"/>
      <c r="AD1550" s="23"/>
      <c r="AE1550" s="23"/>
    </row>
    <row r="1551" spans="1:31">
      <c r="A1551" s="23"/>
      <c r="B1551" s="40"/>
      <c r="C1551" s="40"/>
      <c r="D1551" s="23"/>
      <c r="E1551" s="23"/>
      <c r="F1551" s="23"/>
      <c r="G1551" s="40"/>
      <c r="H1551" s="40"/>
      <c r="I1551" s="40"/>
      <c r="J1551" s="70"/>
      <c r="K1551" s="70"/>
      <c r="L1551" s="70"/>
      <c r="M1551" s="70"/>
      <c r="N1551" s="70"/>
      <c r="O1551" s="70"/>
      <c r="P1551" s="23"/>
      <c r="Q1551" s="23"/>
      <c r="R1551" s="72"/>
      <c r="S1551" s="23"/>
      <c r="T1551" s="23"/>
      <c r="U1551" s="23"/>
      <c r="V1551" s="23"/>
      <c r="W1551" s="23"/>
      <c r="X1551" s="23"/>
      <c r="Y1551" s="23"/>
      <c r="Z1551" s="23"/>
      <c r="AA1551" s="23"/>
      <c r="AB1551" s="23"/>
      <c r="AC1551" s="23"/>
      <c r="AD1551" s="23"/>
      <c r="AE1551" s="23"/>
    </row>
    <row r="1552" spans="1:31">
      <c r="A1552" s="23"/>
      <c r="B1552" s="40"/>
      <c r="C1552" s="40"/>
      <c r="D1552" s="23"/>
      <c r="E1552" s="23"/>
      <c r="F1552" s="40"/>
      <c r="G1552" s="40"/>
      <c r="H1552" s="40"/>
      <c r="I1552" s="40"/>
      <c r="J1552" s="70"/>
      <c r="K1552" s="70"/>
      <c r="L1552" s="70"/>
      <c r="M1552" s="70"/>
      <c r="N1552" s="70"/>
      <c r="O1552" s="70"/>
      <c r="P1552" s="23"/>
      <c r="Q1552" s="23"/>
      <c r="R1552" s="72"/>
      <c r="S1552" s="23"/>
      <c r="T1552" s="23"/>
      <c r="U1552" s="23"/>
      <c r="V1552" s="23"/>
      <c r="W1552" s="23"/>
      <c r="X1552" s="23"/>
      <c r="Y1552" s="23"/>
      <c r="Z1552" s="23"/>
      <c r="AA1552" s="23"/>
      <c r="AB1552" s="23"/>
      <c r="AC1552" s="23"/>
      <c r="AD1552" s="23"/>
      <c r="AE1552" s="23"/>
    </row>
    <row r="1553" spans="1:32" ht="24" customHeight="1">
      <c r="A1553" s="23"/>
      <c r="B1553" s="40"/>
      <c r="C1553" s="40"/>
      <c r="D1553" s="23"/>
      <c r="E1553" s="23"/>
      <c r="F1553" s="40"/>
      <c r="G1553" s="40"/>
      <c r="H1553" s="40"/>
      <c r="I1553" s="40"/>
      <c r="J1553" s="70"/>
      <c r="K1553" s="70"/>
      <c r="L1553" s="70"/>
      <c r="M1553" s="70"/>
      <c r="N1553" s="70"/>
      <c r="O1553" s="70"/>
      <c r="P1553" s="23"/>
      <c r="Q1553" s="23"/>
      <c r="R1553" s="72"/>
      <c r="S1553" s="23"/>
      <c r="T1553" s="23"/>
      <c r="U1553" s="23"/>
      <c r="V1553" s="23"/>
      <c r="W1553" s="23"/>
      <c r="X1553" s="23"/>
      <c r="Y1553" s="23"/>
      <c r="Z1553" s="23"/>
      <c r="AA1553" s="23"/>
      <c r="AB1553" s="23"/>
      <c r="AC1553" s="23"/>
      <c r="AD1553" s="23"/>
      <c r="AE1553" s="23"/>
    </row>
    <row r="1554" spans="1:32">
      <c r="A1554" s="23"/>
      <c r="B1554" s="40"/>
      <c r="C1554" s="40"/>
      <c r="D1554" s="23"/>
      <c r="E1554" s="23"/>
      <c r="F1554" s="40"/>
      <c r="G1554" s="40"/>
      <c r="H1554" s="40"/>
      <c r="I1554" s="40"/>
      <c r="J1554" s="70"/>
      <c r="K1554" s="70"/>
      <c r="L1554" s="70"/>
      <c r="M1554" s="70"/>
      <c r="N1554" s="70"/>
      <c r="O1554" s="70"/>
      <c r="P1554" s="23"/>
      <c r="Q1554" s="23"/>
      <c r="R1554" s="72"/>
      <c r="S1554" s="23"/>
      <c r="T1554" s="23"/>
      <c r="U1554" s="23"/>
      <c r="V1554" s="23"/>
      <c r="W1554" s="23"/>
      <c r="X1554" s="23"/>
      <c r="Y1554" s="23"/>
      <c r="Z1554" s="23"/>
      <c r="AA1554" s="23"/>
      <c r="AB1554" s="23"/>
      <c r="AC1554" s="23"/>
      <c r="AD1554" s="23"/>
      <c r="AE1554" s="23"/>
    </row>
    <row r="1555" spans="1:32">
      <c r="A1555" s="23"/>
      <c r="B1555" s="40"/>
      <c r="C1555" s="40"/>
      <c r="D1555" s="23"/>
      <c r="E1555" s="23"/>
      <c r="F1555" s="40"/>
      <c r="G1555" s="40"/>
      <c r="H1555" s="40"/>
      <c r="I1555" s="40"/>
      <c r="J1555" s="70"/>
      <c r="K1555" s="70"/>
      <c r="L1555" s="70"/>
      <c r="M1555" s="70"/>
      <c r="N1555" s="70"/>
      <c r="O1555" s="70"/>
      <c r="P1555" s="23"/>
      <c r="Q1555" s="23"/>
      <c r="R1555" s="72"/>
      <c r="S1555" s="23"/>
      <c r="T1555" s="23"/>
      <c r="U1555" s="23"/>
      <c r="V1555" s="23"/>
      <c r="W1555" s="23"/>
      <c r="X1555" s="23"/>
      <c r="Y1555" s="23"/>
      <c r="Z1555" s="23"/>
      <c r="AA1555" s="23"/>
      <c r="AB1555" s="23"/>
      <c r="AC1555" s="23"/>
      <c r="AD1555" s="23"/>
      <c r="AE1555" s="23"/>
    </row>
    <row r="1556" spans="1:32">
      <c r="A1556" s="23"/>
      <c r="B1556" s="40"/>
      <c r="C1556" s="40"/>
      <c r="D1556" s="23"/>
      <c r="E1556" s="23"/>
      <c r="F1556" s="40"/>
      <c r="G1556" s="40"/>
      <c r="H1556" s="40"/>
      <c r="I1556" s="40"/>
      <c r="J1556" s="70"/>
      <c r="K1556" s="70"/>
      <c r="L1556" s="70"/>
      <c r="M1556" s="70"/>
      <c r="N1556" s="70"/>
      <c r="O1556" s="70"/>
      <c r="P1556" s="23"/>
      <c r="Q1556" s="23"/>
      <c r="R1556" s="72"/>
      <c r="S1556" s="23"/>
      <c r="T1556" s="23"/>
      <c r="U1556" s="23"/>
      <c r="V1556" s="23"/>
      <c r="W1556" s="23"/>
      <c r="X1556" s="23"/>
      <c r="Y1556" s="23"/>
      <c r="Z1556" s="23"/>
      <c r="AA1556" s="23"/>
      <c r="AB1556" s="23"/>
      <c r="AC1556" s="23"/>
      <c r="AD1556" s="23"/>
      <c r="AE1556" s="23"/>
    </row>
    <row r="1557" spans="1:32">
      <c r="A1557" s="23"/>
      <c r="B1557" s="40"/>
      <c r="C1557" s="40"/>
      <c r="D1557" s="23"/>
      <c r="E1557" s="23"/>
      <c r="F1557" s="40"/>
      <c r="G1557" s="40"/>
      <c r="H1557" s="40"/>
      <c r="I1557" s="40"/>
      <c r="J1557" s="70"/>
      <c r="K1557" s="70"/>
      <c r="L1557" s="70"/>
      <c r="M1557" s="70"/>
      <c r="N1557" s="70"/>
      <c r="O1557" s="70"/>
      <c r="P1557" s="23"/>
      <c r="Q1557" s="23"/>
      <c r="R1557" s="72"/>
      <c r="S1557" s="23"/>
      <c r="T1557" s="23"/>
      <c r="U1557" s="23"/>
      <c r="V1557" s="23"/>
      <c r="W1557" s="23"/>
      <c r="X1557" s="23"/>
      <c r="Y1557" s="23"/>
      <c r="Z1557" s="23"/>
      <c r="AA1557" s="23"/>
      <c r="AB1557" s="23"/>
      <c r="AC1557" s="23"/>
      <c r="AD1557" s="23"/>
      <c r="AE1557" s="23"/>
    </row>
    <row r="1558" spans="1:32" ht="24" customHeight="1">
      <c r="A1558" s="23"/>
      <c r="B1558" s="40"/>
      <c r="C1558" s="40"/>
      <c r="D1558" s="23"/>
      <c r="E1558" s="23"/>
      <c r="F1558" s="40"/>
      <c r="G1558" s="40"/>
      <c r="H1558" s="40"/>
      <c r="I1558" s="40"/>
      <c r="J1558" s="70"/>
      <c r="K1558" s="70"/>
      <c r="L1558" s="70"/>
      <c r="M1558" s="70"/>
      <c r="N1558" s="70"/>
      <c r="O1558" s="70"/>
      <c r="P1558" s="23"/>
      <c r="Q1558" s="23"/>
      <c r="R1558" s="72"/>
      <c r="S1558" s="23"/>
      <c r="T1558" s="23"/>
      <c r="U1558" s="23"/>
      <c r="V1558" s="23"/>
      <c r="W1558" s="23"/>
      <c r="X1558" s="23"/>
      <c r="Y1558" s="23"/>
      <c r="Z1558" s="23"/>
      <c r="AA1558" s="23"/>
      <c r="AB1558" s="23"/>
      <c r="AC1558" s="23"/>
      <c r="AD1558" s="23"/>
      <c r="AE1558" s="23"/>
    </row>
    <row r="1559" spans="1:32">
      <c r="A1559" s="23"/>
      <c r="B1559" s="40"/>
      <c r="C1559" s="40"/>
      <c r="D1559" s="23"/>
      <c r="E1559" s="23"/>
      <c r="F1559" s="40"/>
      <c r="G1559" s="40"/>
      <c r="H1559" s="40"/>
      <c r="I1559" s="40"/>
      <c r="J1559" s="70"/>
      <c r="K1559" s="70"/>
      <c r="L1559" s="70"/>
      <c r="M1559" s="70"/>
      <c r="N1559" s="70"/>
      <c r="O1559" s="70"/>
      <c r="P1559" s="23"/>
      <c r="Q1559" s="23"/>
      <c r="R1559" s="72"/>
      <c r="S1559" s="23"/>
      <c r="T1559" s="23"/>
      <c r="U1559" s="23"/>
      <c r="V1559" s="23"/>
      <c r="W1559" s="23"/>
      <c r="X1559" s="23"/>
      <c r="Y1559" s="23"/>
      <c r="Z1559" s="23"/>
      <c r="AA1559" s="23"/>
      <c r="AB1559" s="23"/>
      <c r="AC1559" s="23"/>
      <c r="AD1559" s="23"/>
      <c r="AE1559" s="23"/>
    </row>
    <row r="1560" spans="1:32">
      <c r="A1560" s="23"/>
      <c r="B1560" s="40"/>
      <c r="C1560" s="40"/>
      <c r="D1560" s="23"/>
      <c r="E1560" s="23"/>
      <c r="F1560" s="40"/>
      <c r="G1560" s="40"/>
      <c r="H1560" s="40"/>
      <c r="I1560" s="40"/>
      <c r="J1560" s="70"/>
      <c r="K1560" s="70"/>
      <c r="L1560" s="70"/>
      <c r="M1560" s="70"/>
      <c r="N1560" s="70"/>
      <c r="O1560" s="70"/>
      <c r="P1560" s="23"/>
      <c r="Q1560" s="23"/>
      <c r="R1560" s="72"/>
      <c r="S1560" s="23"/>
      <c r="T1560" s="23"/>
      <c r="U1560" s="23"/>
      <c r="V1560" s="23"/>
      <c r="W1560" s="23"/>
      <c r="X1560" s="23"/>
      <c r="Y1560" s="23"/>
      <c r="Z1560" s="23"/>
      <c r="AA1560" s="23"/>
      <c r="AB1560" s="23"/>
      <c r="AC1560" s="23"/>
      <c r="AD1560" s="23"/>
      <c r="AE1560" s="23"/>
    </row>
    <row r="1561" spans="1:32">
      <c r="A1561" s="23"/>
      <c r="B1561" s="40"/>
      <c r="C1561" s="40"/>
      <c r="D1561" s="23"/>
      <c r="E1561" s="23"/>
      <c r="F1561" s="40"/>
      <c r="G1561" s="40"/>
      <c r="H1561" s="40"/>
      <c r="I1561" s="40"/>
      <c r="J1561" s="70"/>
      <c r="K1561" s="70"/>
      <c r="L1561" s="70"/>
      <c r="M1561" s="70"/>
      <c r="N1561" s="70"/>
      <c r="O1561" s="70"/>
      <c r="P1561" s="23"/>
      <c r="Q1561" s="23"/>
      <c r="R1561" s="72"/>
      <c r="S1561" s="23"/>
      <c r="T1561" s="23"/>
      <c r="U1561" s="23"/>
      <c r="V1561" s="23"/>
      <c r="W1561" s="23"/>
      <c r="X1561" s="23"/>
      <c r="Y1561" s="23"/>
      <c r="Z1561" s="23"/>
      <c r="AA1561" s="23"/>
      <c r="AB1561" s="23"/>
      <c r="AC1561" s="23"/>
      <c r="AD1561" s="23"/>
      <c r="AE1561" s="23"/>
    </row>
    <row r="1562" spans="1:32">
      <c r="A1562" s="23"/>
      <c r="B1562" s="40"/>
      <c r="C1562" s="40"/>
      <c r="D1562" s="23"/>
      <c r="E1562" s="23"/>
      <c r="F1562" s="40"/>
      <c r="G1562" s="40"/>
      <c r="H1562" s="40"/>
      <c r="I1562" s="40"/>
      <c r="J1562" s="70"/>
      <c r="K1562" s="70"/>
      <c r="L1562" s="70"/>
      <c r="M1562" s="70"/>
      <c r="N1562" s="70"/>
      <c r="O1562" s="70"/>
      <c r="P1562" s="23"/>
      <c r="Q1562" s="23"/>
      <c r="R1562" s="72"/>
      <c r="S1562" s="23"/>
      <c r="T1562" s="23"/>
      <c r="U1562" s="23"/>
      <c r="V1562" s="23"/>
      <c r="W1562" s="23"/>
      <c r="X1562" s="23"/>
      <c r="Y1562" s="23"/>
      <c r="Z1562" s="23"/>
      <c r="AA1562" s="23"/>
      <c r="AB1562" s="23"/>
      <c r="AC1562" s="23"/>
      <c r="AD1562" s="23"/>
      <c r="AE1562" s="23"/>
    </row>
    <row r="1563" spans="1:32">
      <c r="A1563" s="23"/>
      <c r="B1563" s="40"/>
      <c r="C1563" s="40"/>
      <c r="D1563" s="23"/>
      <c r="E1563" s="23"/>
      <c r="F1563" s="40"/>
      <c r="G1563" s="40"/>
      <c r="H1563" s="40"/>
      <c r="I1563" s="40"/>
      <c r="J1563" s="70"/>
      <c r="K1563" s="70"/>
      <c r="L1563" s="70"/>
      <c r="M1563" s="70"/>
      <c r="N1563" s="70"/>
      <c r="O1563" s="70"/>
      <c r="P1563" s="23"/>
      <c r="Q1563" s="23"/>
      <c r="R1563" s="72"/>
      <c r="S1563" s="23"/>
      <c r="T1563" s="23"/>
      <c r="U1563" s="23"/>
      <c r="V1563" s="23"/>
      <c r="W1563" s="23"/>
      <c r="X1563" s="23"/>
      <c r="Y1563" s="23"/>
      <c r="Z1563" s="23"/>
      <c r="AA1563" s="23"/>
      <c r="AB1563" s="23"/>
      <c r="AC1563" s="23"/>
      <c r="AD1563" s="23"/>
      <c r="AE1563" s="23"/>
    </row>
    <row r="1564" spans="1:32">
      <c r="A1564" s="23"/>
      <c r="B1564" s="40"/>
      <c r="C1564" s="40"/>
      <c r="D1564" s="23"/>
      <c r="E1564" s="23"/>
      <c r="F1564" s="40"/>
      <c r="G1564" s="40"/>
      <c r="H1564" s="40"/>
      <c r="I1564" s="40"/>
      <c r="J1564" s="70"/>
      <c r="K1564" s="70"/>
      <c r="L1564" s="70"/>
      <c r="M1564" s="70"/>
      <c r="N1564" s="70"/>
      <c r="O1564" s="70"/>
      <c r="P1564" s="23"/>
      <c r="Q1564" s="23"/>
      <c r="R1564" s="72"/>
      <c r="S1564" s="23"/>
      <c r="T1564" s="23"/>
      <c r="U1564" s="23"/>
      <c r="V1564" s="23"/>
      <c r="W1564" s="23"/>
      <c r="X1564" s="23"/>
      <c r="Y1564" s="23"/>
      <c r="Z1564" s="23"/>
      <c r="AA1564" s="23"/>
      <c r="AB1564" s="23"/>
      <c r="AC1564" s="23"/>
      <c r="AD1564" s="23"/>
      <c r="AE1564" s="23"/>
    </row>
    <row r="1565" spans="1:32">
      <c r="A1565" s="23"/>
      <c r="B1565" s="40"/>
      <c r="C1565" s="40"/>
      <c r="D1565" s="23"/>
      <c r="E1565" s="23"/>
      <c r="F1565" s="40"/>
      <c r="G1565" s="40"/>
      <c r="H1565" s="40"/>
      <c r="I1565" s="40"/>
      <c r="J1565" s="70"/>
      <c r="K1565" s="70"/>
      <c r="L1565" s="70"/>
      <c r="M1565" s="70"/>
      <c r="N1565" s="70"/>
      <c r="O1565" s="70"/>
      <c r="P1565" s="23"/>
      <c r="Q1565" s="23"/>
      <c r="R1565" s="72"/>
      <c r="S1565" s="23"/>
      <c r="T1565" s="23"/>
      <c r="U1565" s="23"/>
      <c r="V1565" s="23"/>
      <c r="W1565" s="23"/>
      <c r="X1565" s="23"/>
      <c r="Y1565" s="23"/>
      <c r="Z1565" s="23"/>
      <c r="AA1565" s="23"/>
      <c r="AB1565" s="23"/>
      <c r="AC1565" s="23"/>
      <c r="AD1565" s="23"/>
      <c r="AE1565" s="23"/>
    </row>
    <row r="1566" spans="1:32">
      <c r="A1566" s="23"/>
      <c r="B1566" s="40"/>
      <c r="C1566" s="40"/>
      <c r="D1566" s="23"/>
      <c r="E1566" s="23"/>
      <c r="F1566" s="40"/>
      <c r="G1566" s="40"/>
      <c r="H1566" s="40"/>
      <c r="I1566" s="40"/>
      <c r="J1566" s="70"/>
      <c r="K1566" s="70"/>
      <c r="L1566" s="70"/>
      <c r="M1566" s="70"/>
      <c r="N1566" s="70"/>
      <c r="O1566" s="70"/>
      <c r="P1566" s="23"/>
      <c r="Q1566" s="23"/>
      <c r="R1566" s="72"/>
      <c r="S1566" s="23"/>
      <c r="T1566" s="23"/>
      <c r="U1566" s="23"/>
      <c r="V1566" s="23"/>
      <c r="W1566" s="23"/>
      <c r="X1566" s="23"/>
      <c r="Y1566" s="23"/>
      <c r="Z1566" s="23"/>
      <c r="AA1566" s="23"/>
      <c r="AB1566" s="23"/>
      <c r="AC1566" s="23"/>
      <c r="AD1566" s="23"/>
      <c r="AE1566" s="23"/>
    </row>
    <row r="1567" spans="1:32">
      <c r="A1567" s="23"/>
      <c r="B1567" s="40"/>
      <c r="C1567" s="40"/>
      <c r="D1567" s="23"/>
      <c r="E1567" s="23"/>
      <c r="F1567" s="40"/>
      <c r="G1567" s="40"/>
      <c r="H1567" s="40"/>
      <c r="I1567" s="40"/>
      <c r="J1567" s="70"/>
      <c r="K1567" s="70"/>
      <c r="L1567" s="70"/>
      <c r="M1567" s="70"/>
      <c r="N1567" s="70"/>
      <c r="O1567" s="70"/>
      <c r="P1567" s="23"/>
      <c r="Q1567" s="23"/>
      <c r="R1567" s="72"/>
      <c r="S1567" s="23"/>
      <c r="T1567" s="23"/>
      <c r="U1567" s="23"/>
      <c r="V1567" s="23"/>
      <c r="W1567" s="23"/>
      <c r="X1567" s="23"/>
      <c r="Y1567" s="23"/>
      <c r="Z1567" s="23"/>
      <c r="AA1567" s="23"/>
      <c r="AB1567" s="23"/>
      <c r="AC1567" s="23"/>
      <c r="AD1567" s="23"/>
      <c r="AE1567" s="23"/>
    </row>
    <row r="1568" spans="1:32" s="23" customFormat="1">
      <c r="B1568" s="40"/>
      <c r="C1568" s="40"/>
      <c r="F1568" s="40"/>
      <c r="G1568" s="40"/>
      <c r="H1568" s="40"/>
      <c r="I1568" s="40"/>
      <c r="J1568" s="70"/>
      <c r="K1568" s="70"/>
      <c r="L1568" s="70"/>
      <c r="M1568" s="70"/>
      <c r="N1568" s="70"/>
      <c r="O1568" s="70"/>
      <c r="R1568" s="72"/>
      <c r="AF1568" s="93"/>
    </row>
    <row r="1569" spans="2:32" s="23" customFormat="1">
      <c r="B1569" s="40"/>
      <c r="C1569" s="40"/>
      <c r="F1569" s="40"/>
      <c r="G1569" s="40"/>
      <c r="H1569" s="40"/>
      <c r="I1569" s="40"/>
      <c r="J1569" s="70"/>
      <c r="K1569" s="70"/>
      <c r="L1569" s="70"/>
      <c r="M1569" s="70"/>
      <c r="N1569" s="70"/>
      <c r="O1569" s="70"/>
      <c r="R1569" s="72"/>
      <c r="AF1569" s="93"/>
    </row>
  </sheetData>
  <customSheetViews>
    <customSheetView guid="{0B5AE87E-5094-483C-B162-40616F3898A2}" scale="85" hiddenRows="1" topLeftCell="A4">
      <pane ySplit="7" topLeftCell="A11" activePane="bottomLeft" state="frozen"/>
      <selection pane="bottomLeft" activeCell="J16" sqref="J16"/>
      <pageMargins left="0.69861111111111107" right="0.69861111111111107" top="0.75" bottom="0.75" header="0.3" footer="0.3"/>
      <pageSetup paperSize="9" orientation="portrait" horizontalDpi="200" verticalDpi="200" r:id="rId1"/>
      <headerFooter alignWithMargins="0"/>
    </customSheetView>
    <customSheetView guid="{33A8337A-D9C9-4792-85CF-B434512345B4}" scale="85" hiddenRows="1" topLeftCell="A4">
      <pane ySplit="7" topLeftCell="A47" activePane="bottomLeft" state="frozen"/>
      <selection pane="bottomLeft" activeCell="K41" sqref="K41"/>
      <pageMargins left="0.69861111111111107" right="0.69861111111111107" top="0.75" bottom="0.75" header="0.3" footer="0.3"/>
      <pageSetup paperSize="9" orientation="portrait" horizontalDpi="200" verticalDpi="200" r:id="rId2"/>
      <headerFooter alignWithMargins="0"/>
    </customSheetView>
  </customSheetViews>
  <mergeCells count="4">
    <mergeCell ref="B2:P2"/>
    <mergeCell ref="S4:V4"/>
    <mergeCell ref="W4:Z4"/>
    <mergeCell ref="AA4:AD4"/>
  </mergeCells>
  <phoneticPr fontId="44" type="noConversion"/>
  <conditionalFormatting sqref="S4:AD9 D11:D305">
    <cfRule type="cellIs" dxfId="143" priority="2033" stopIfTrue="1" operator="equal">
      <formula>"√"</formula>
    </cfRule>
  </conditionalFormatting>
  <conditionalFormatting sqref="J406 J408 J410 J637 J639 J641">
    <cfRule type="expression" priority="2034" stopIfTrue="1">
      <formula>$Q405="删除"</formula>
    </cfRule>
  </conditionalFormatting>
  <conditionalFormatting sqref="J425 J633 J626 J656 J402 J395 J332 J323:J324 J326:J328">
    <cfRule type="expression" priority="2035" stopIfTrue="1">
      <formula>#REF!="删除"</formula>
    </cfRule>
  </conditionalFormatting>
  <conditionalFormatting sqref="J337">
    <cfRule type="expression" priority="2036" stopIfTrue="1">
      <formula>$Q396="删除"</formula>
    </cfRule>
  </conditionalFormatting>
  <conditionalFormatting sqref="N470 N475 N480 N701 N706 N711">
    <cfRule type="expression" priority="2037" stopIfTrue="1">
      <formula>$Q472="删除"</formula>
    </cfRule>
  </conditionalFormatting>
  <conditionalFormatting sqref="H332">
    <cfRule type="expression" priority="2038" stopIfTrue="1">
      <formula>$Q323="删除"</formula>
    </cfRule>
  </conditionalFormatting>
  <conditionalFormatting sqref="J416 J423 J647 J654">
    <cfRule type="expression" priority="2040" stopIfTrue="1">
      <formula>$Q495="删除"</formula>
    </cfRule>
  </conditionalFormatting>
  <conditionalFormatting sqref="J418 J649">
    <cfRule type="expression" priority="2041" stopIfTrue="1">
      <formula>$Q496="删除"</formula>
    </cfRule>
  </conditionalFormatting>
  <conditionalFormatting sqref="J325">
    <cfRule type="expression" priority="2042" stopIfTrue="1">
      <formula>$Q397="删除"</formula>
    </cfRule>
  </conditionalFormatting>
  <conditionalFormatting sqref="J329:J331">
    <cfRule type="expression" priority="2043" stopIfTrue="1">
      <formula>$Q398="删除"</formula>
    </cfRule>
  </conditionalFormatting>
  <conditionalFormatting sqref="J316 J306:J309">
    <cfRule type="expression" priority="2045" stopIfTrue="1">
      <formula>$Q379="删除"</formula>
    </cfRule>
  </conditionalFormatting>
  <conditionalFormatting sqref="N473 N478 N483 N704 N709 N714">
    <cfRule type="expression" priority="2046" stopIfTrue="1">
      <formula>$Q479="删除"</formula>
    </cfRule>
  </conditionalFormatting>
  <conditionalFormatting sqref="J314 J321">
    <cfRule type="expression" priority="2047" stopIfTrue="1">
      <formula>$Q388="删除"</formula>
    </cfRule>
  </conditionalFormatting>
  <conditionalFormatting sqref="J427:J428 J322 J310:J313 J315 J317:J320 J424 J404 J391 J412:J415 J417 J419:J422 N467 N471:N472 N476:N477 N481:N482 J658:J659 J655 J635 J622 J643:J646 J648 J650:J653 N698 N702:N703 N707:N708 N712:N713">
    <cfRule type="expression" priority="2048" stopIfTrue="1">
      <formula>$Q311="删除"</formula>
    </cfRule>
  </conditionalFormatting>
  <conditionalFormatting sqref="AA820:AA825 S820:S825 W820:W825 AA776:AA788 W776:W788 AA545:AA557 S776:S788 S579:S769 AA579:AA769 S545:S557 W579:W769 W545:W557 W11:W538 S11:S538 AA11:AA538">
    <cfRule type="cellIs" dxfId="142" priority="2050" stopIfTrue="1" operator="equal">
      <formula>"NG"</formula>
    </cfRule>
    <cfRule type="cellIs" dxfId="141" priority="2051" stopIfTrue="1" operator="equal">
      <formula>"SKIP"</formula>
    </cfRule>
  </conditionalFormatting>
  <conditionalFormatting sqref="H826:H833 G824:I824 H579:H819 L337:P466 G332 G347:J363 G569:G810 G429:J563 L558:N571 N484:P538 O475:P478 O470:P473 O467:P468 N469:P469 J365:J369 G365:I368 G370:J390 G391:I391 G392:J394 G395:I395 G396:J401 G402:I402 G404:I425 J405 J411 G403:J403 J407 J409 G426:J426 G427:I428 L467:M542 N474:P474 O480:P483 N479:P479 N539:N542 L543:N544 G565:J568 H569:J571 G564:H564 J564 L545:P557 I660:J795 L789:N803 N715:P769 O706:P709 O701:P704 O698:P699 L579:P697 N700:P700 I579:J594 J596:J600 I596:I599 I601:J621 I622 I623:J625 I626 I627:J632 I633 I635:I656 J636 J642 I634:J634 J638 J640 I657:J657 I658:I659 L698:M773 N705:P705 O711:P714 N710:P710 N770:N773 L774:N775 L776:P788 I797:J803 J796 G812:G813 G364 G369 H572:H577 G337:I346 G333:I334 J338:J346 G335:P336 G820:P822 L823:P825 G825:J825 G823:K823 K824:K825 G11:K11 I306:I332 G306:H331 L247:P250 L306:P334 L282:N282 H42:J43 L42:N43 H72:H74 I69:I72 N72 N283 M226:N226 K26:K27 M26:M27 K16:L18 M15:P15 K15 K42:K47 K38 H34:N34 K52 K69:K74 K78:K81 H77:H78 H92:N92 M11 M37 K121:K130 H130:J130 L130:N130 H136:I138 L136:M138 H176:H177 I173:I175 I158 H179:N179 K180:M180 K181:K184 H199:J199 L199:N199 I236 K236 J224 H225:J225 L224:N225 K283:L283 O251:P305 H12:N12 K28:M28 H28:I28 L54:N60 K95:K106 M110:N111 K156:K178 K195:K200 K202:K214 H108:N109 K222:K227 H227:J227 L227:N227 K267:K282 L274:N274 H274:J274 K284:K295 K83:K86 H54:H60 J54:J60 O16:P246 G12:G305 O11:O14 P14 P12">
    <cfRule type="expression" priority="2053" stopIfTrue="1">
      <formula>$Q11="删除"</formula>
    </cfRule>
  </conditionalFormatting>
  <conditionalFormatting sqref="H15:I15 L15">
    <cfRule type="expression" priority="2014" stopIfTrue="1">
      <formula>$Q15="删除"</formula>
    </cfRule>
  </conditionalFormatting>
  <conditionalFormatting sqref="M16:M18">
    <cfRule type="expression" priority="2012" stopIfTrue="1">
      <formula>$Q16="删除"</formula>
    </cfRule>
  </conditionalFormatting>
  <conditionalFormatting sqref="H33:M33 K95:K106 H108:N109 H67:K68 G87:G305 H99:N101 N101:N102 H107:M107 H117:N119 H265:M266 N262:N264 H24:N24 I55:I58 K55:K58 J55:J60 L55:N60 H55:H60 H102:K102 H110:L111">
    <cfRule type="expression" priority="2008" stopIfTrue="1">
      <formula>#REF!="删除"</formula>
    </cfRule>
  </conditionalFormatting>
  <conditionalFormatting sqref="H26:I26">
    <cfRule type="expression" priority="2005" stopIfTrue="1">
      <formula>$Q26="删除"</formula>
    </cfRule>
  </conditionalFormatting>
  <conditionalFormatting sqref="H27:I27">
    <cfRule type="expression" priority="1997" stopIfTrue="1">
      <formula>$Q27="删除"</formula>
    </cfRule>
  </conditionalFormatting>
  <conditionalFormatting sqref="J27">
    <cfRule type="expression" priority="1995" stopIfTrue="1">
      <formula>$Q27="删除"</formula>
    </cfRule>
  </conditionalFormatting>
  <conditionalFormatting sqref="M38:N38 M39">
    <cfRule type="expression" priority="1978" stopIfTrue="1">
      <formula>$Q38="删除"</formula>
    </cfRule>
  </conditionalFormatting>
  <conditionalFormatting sqref="H38:I38 L38">
    <cfRule type="expression" priority="1977" stopIfTrue="1">
      <formula>$Q38="删除"</formula>
    </cfRule>
  </conditionalFormatting>
  <conditionalFormatting sqref="J38">
    <cfRule type="expression" priority="1975" stopIfTrue="1">
      <formula>$Q38="删除"</formula>
    </cfRule>
  </conditionalFormatting>
  <conditionalFormatting sqref="M44">
    <cfRule type="expression" priority="1939" stopIfTrue="1">
      <formula>$Q44="删除"</formula>
    </cfRule>
  </conditionalFormatting>
  <conditionalFormatting sqref="H44:I44">
    <cfRule type="expression" priority="1938" stopIfTrue="1">
      <formula>$Q44="删除"</formula>
    </cfRule>
  </conditionalFormatting>
  <conditionalFormatting sqref="J44">
    <cfRule type="expression" priority="1936" stopIfTrue="1">
      <formula>$Q44="删除"</formula>
    </cfRule>
  </conditionalFormatting>
  <conditionalFormatting sqref="L44">
    <cfRule type="expression" priority="1935" stopIfTrue="1">
      <formula>$Q44="删除"</formula>
    </cfRule>
  </conditionalFormatting>
  <conditionalFormatting sqref="N44">
    <cfRule type="expression" priority="1933" stopIfTrue="1">
      <formula>$Q44="删除"</formula>
    </cfRule>
  </conditionalFormatting>
  <conditionalFormatting sqref="M45">
    <cfRule type="expression" priority="1932" stopIfTrue="1">
      <formula>$Q45="删除"</formula>
    </cfRule>
  </conditionalFormatting>
  <conditionalFormatting sqref="H45:I45">
    <cfRule type="expression" priority="1931" stopIfTrue="1">
      <formula>$Q45="删除"</formula>
    </cfRule>
  </conditionalFormatting>
  <conditionalFormatting sqref="L45">
    <cfRule type="expression" priority="1928" stopIfTrue="1">
      <formula>$Q45="删除"</formula>
    </cfRule>
  </conditionalFormatting>
  <conditionalFormatting sqref="N45">
    <cfRule type="expression" priority="1926" stopIfTrue="1">
      <formula>$Q45="删除"</formula>
    </cfRule>
  </conditionalFormatting>
  <conditionalFormatting sqref="M81:N81 I81:J81">
    <cfRule type="expression" priority="1866" stopIfTrue="1">
      <formula>$Q81="删除"</formula>
    </cfRule>
  </conditionalFormatting>
  <conditionalFormatting sqref="M80:N80 I80:J80">
    <cfRule type="expression" priority="1870" stopIfTrue="1">
      <formula>$Q80="删除"</formula>
    </cfRule>
  </conditionalFormatting>
  <conditionalFormatting sqref="L69:M69 J69 H69 L64:L68">
    <cfRule type="expression" priority="1906" stopIfTrue="1">
      <formula>$Q64="删除"</formula>
    </cfRule>
  </conditionalFormatting>
  <conditionalFormatting sqref="H70">
    <cfRule type="expression" priority="1902" stopIfTrue="1">
      <formula>$Q70="删除"</formula>
    </cfRule>
  </conditionalFormatting>
  <conditionalFormatting sqref="H71">
    <cfRule type="expression" priority="1898" stopIfTrue="1">
      <formula>$Q71="删除"</formula>
    </cfRule>
  </conditionalFormatting>
  <conditionalFormatting sqref="J72">
    <cfRule type="expression" priority="1894" stopIfTrue="1">
      <formula>$Q72="删除"</formula>
    </cfRule>
  </conditionalFormatting>
  <conditionalFormatting sqref="N73 I73:J73 N69">
    <cfRule type="expression" priority="1882" stopIfTrue="1">
      <formula>$Q69="删除"</formula>
    </cfRule>
  </conditionalFormatting>
  <conditionalFormatting sqref="I74:J74 N74:N75 N77 I77:J77">
    <cfRule type="expression" priority="1878" stopIfTrue="1">
      <formula>$Q74="删除"</formula>
    </cfRule>
  </conditionalFormatting>
  <conditionalFormatting sqref="M78:N78 I78:J78">
    <cfRule type="expression" priority="1874" stopIfTrue="1">
      <formula>$Q78="删除"</formula>
    </cfRule>
  </conditionalFormatting>
  <conditionalFormatting sqref="L79:N79 I79:J79 L78 L80:L81">
    <cfRule type="expression" priority="1862" stopIfTrue="1">
      <formula>$Q78="删除"</formula>
    </cfRule>
  </conditionalFormatting>
  <conditionalFormatting sqref="J71">
    <cfRule type="expression" priority="1849" stopIfTrue="1">
      <formula>$Q71="删除"</formula>
    </cfRule>
  </conditionalFormatting>
  <conditionalFormatting sqref="I86">
    <cfRule type="expression" priority="1794" stopIfTrue="1">
      <formula>$Q86="删除"</formula>
    </cfRule>
  </conditionalFormatting>
  <conditionalFormatting sqref="N83 H83:I83">
    <cfRule type="expression" priority="1854" stopIfTrue="1">
      <formula>$Q83="删除"</formula>
    </cfRule>
  </conditionalFormatting>
  <conditionalFormatting sqref="J70">
    <cfRule type="expression" priority="1850" stopIfTrue="1">
      <formula>$Q70="删除"</formula>
    </cfRule>
  </conditionalFormatting>
  <conditionalFormatting sqref="H84">
    <cfRule type="expression" priority="1815" stopIfTrue="1">
      <formula>$Q84="删除"</formula>
    </cfRule>
  </conditionalFormatting>
  <conditionalFormatting sqref="I85">
    <cfRule type="expression" priority="1802" stopIfTrue="1">
      <formula>$Q85="删除"</formula>
    </cfRule>
  </conditionalFormatting>
  <conditionalFormatting sqref="I84">
    <cfRule type="expression" priority="1811" stopIfTrue="1">
      <formula>$Q84="删除"</formula>
    </cfRule>
  </conditionalFormatting>
  <conditionalFormatting sqref="J84">
    <cfRule type="expression" priority="1810" stopIfTrue="1">
      <formula>$Q84="删除"</formula>
    </cfRule>
  </conditionalFormatting>
  <conditionalFormatting sqref="J219">
    <cfRule type="expression" priority="1727" stopIfTrue="1">
      <formula>$Q219="删除"</formula>
    </cfRule>
  </conditionalFormatting>
  <conditionalFormatting sqref="N84">
    <cfRule type="expression" priority="1808" stopIfTrue="1">
      <formula>$Q84="删除"</formula>
    </cfRule>
  </conditionalFormatting>
  <conditionalFormatting sqref="L84:L86">
    <cfRule type="expression" priority="1807" stopIfTrue="1">
      <formula>$Q84="删除"</formula>
    </cfRule>
  </conditionalFormatting>
  <conditionalFormatting sqref="H85">
    <cfRule type="expression" priority="1806" stopIfTrue="1">
      <formula>$Q85="删除"</formula>
    </cfRule>
  </conditionalFormatting>
  <conditionalFormatting sqref="N85">
    <cfRule type="expression" priority="1800" stopIfTrue="1">
      <formula>$Q85="删除"</formula>
    </cfRule>
  </conditionalFormatting>
  <conditionalFormatting sqref="H86">
    <cfRule type="expression" priority="1798" stopIfTrue="1">
      <formula>$Q86="删除"</formula>
    </cfRule>
  </conditionalFormatting>
  <conditionalFormatting sqref="I196:J196 L196">
    <cfRule type="expression" priority="1785" stopIfTrue="1">
      <formula>$Q196="删除"</formula>
    </cfRule>
  </conditionalFormatting>
  <conditionalFormatting sqref="N86">
    <cfRule type="expression" priority="1792" stopIfTrue="1">
      <formula>$Q86="删除"</formula>
    </cfRule>
  </conditionalFormatting>
  <conditionalFormatting sqref="M195:N195 H195:H198">
    <cfRule type="expression" priority="1790" stopIfTrue="1">
      <formula>$Q195="删除"</formula>
    </cfRule>
  </conditionalFormatting>
  <conditionalFormatting sqref="I195:J195 L195">
    <cfRule type="expression" priority="1788" stopIfTrue="1">
      <formula>$Q195="删除"</formula>
    </cfRule>
  </conditionalFormatting>
  <conditionalFormatting sqref="N196">
    <cfRule type="expression" priority="1786" stopIfTrue="1">
      <formula>$Q196="删除"</formula>
    </cfRule>
  </conditionalFormatting>
  <conditionalFormatting sqref="M202">
    <cfRule type="expression" priority="1783" stopIfTrue="1">
      <formula>$Q202="删除"</formula>
    </cfRule>
  </conditionalFormatting>
  <conditionalFormatting sqref="H202:I202 L202">
    <cfRule type="expression" priority="1782" stopIfTrue="1">
      <formula>$Q202="删除"</formula>
    </cfRule>
  </conditionalFormatting>
  <conditionalFormatting sqref="H203:I203">
    <cfRule type="expression" priority="1779" stopIfTrue="1">
      <formula>$Q203="删除"</formula>
    </cfRule>
  </conditionalFormatting>
  <conditionalFormatting sqref="H204:I204">
    <cfRule type="expression" priority="1775" stopIfTrue="1">
      <formula>$Q204="删除"</formula>
    </cfRule>
  </conditionalFormatting>
  <conditionalFormatting sqref="M206">
    <cfRule type="expression" priority="1751" stopIfTrue="1">
      <formula>$Q206="删除"</formula>
    </cfRule>
  </conditionalFormatting>
  <conditionalFormatting sqref="M205">
    <cfRule type="expression" priority="1758" stopIfTrue="1">
      <formula>$Q205="删除"</formula>
    </cfRule>
  </conditionalFormatting>
  <conditionalFormatting sqref="H205:I205">
    <cfRule type="expression" priority="1757" stopIfTrue="1">
      <formula>$Q205="删除"</formula>
    </cfRule>
  </conditionalFormatting>
  <conditionalFormatting sqref="J205">
    <cfRule type="expression" priority="1755" stopIfTrue="1">
      <formula>$Q205="删除"</formula>
    </cfRule>
  </conditionalFormatting>
  <conditionalFormatting sqref="L205">
    <cfRule type="expression" priority="1754" stopIfTrue="1">
      <formula>$Q205="删除"</formula>
    </cfRule>
  </conditionalFormatting>
  <conditionalFormatting sqref="N205">
    <cfRule type="expression" priority="1752" stopIfTrue="1">
      <formula>$Q205="删除"</formula>
    </cfRule>
  </conditionalFormatting>
  <conditionalFormatting sqref="H206:I206">
    <cfRule type="expression" priority="1750" stopIfTrue="1">
      <formula>$Q206="删除"</formula>
    </cfRule>
  </conditionalFormatting>
  <conditionalFormatting sqref="J206">
    <cfRule type="expression" priority="1748" stopIfTrue="1">
      <formula>$Q206="删除"</formula>
    </cfRule>
  </conditionalFormatting>
  <conditionalFormatting sqref="L206">
    <cfRule type="expression" priority="1747" stopIfTrue="1">
      <formula>$Q206="删除"</formula>
    </cfRule>
  </conditionalFormatting>
  <conditionalFormatting sqref="L207">
    <cfRule type="expression" priority="1740" stopIfTrue="1">
      <formula>$Q207="删除"</formula>
    </cfRule>
  </conditionalFormatting>
  <conditionalFormatting sqref="N206">
    <cfRule type="expression" priority="1745" stopIfTrue="1">
      <formula>$Q206="删除"</formula>
    </cfRule>
  </conditionalFormatting>
  <conditionalFormatting sqref="M207">
    <cfRule type="expression" priority="1744" stopIfTrue="1">
      <formula>$Q207="删除"</formula>
    </cfRule>
  </conditionalFormatting>
  <conditionalFormatting sqref="H207:I207">
    <cfRule type="expression" priority="1743" stopIfTrue="1">
      <formula>$Q207="删除"</formula>
    </cfRule>
  </conditionalFormatting>
  <conditionalFormatting sqref="J207">
    <cfRule type="expression" priority="1741" stopIfTrue="1">
      <formula>$Q207="删除"</formula>
    </cfRule>
  </conditionalFormatting>
  <conditionalFormatting sqref="L208">
    <cfRule type="expression" priority="1733" stopIfTrue="1">
      <formula>$Q208="删除"</formula>
    </cfRule>
  </conditionalFormatting>
  <conditionalFormatting sqref="N207">
    <cfRule type="expression" priority="1738" stopIfTrue="1">
      <formula>$Q207="删除"</formula>
    </cfRule>
  </conditionalFormatting>
  <conditionalFormatting sqref="M208">
    <cfRule type="expression" priority="1737" stopIfTrue="1">
      <formula>$Q208="删除"</formula>
    </cfRule>
  </conditionalFormatting>
  <conditionalFormatting sqref="H208:I208">
    <cfRule type="expression" priority="1736" stopIfTrue="1">
      <formula>$Q208="删除"</formula>
    </cfRule>
  </conditionalFormatting>
  <conditionalFormatting sqref="J208">
    <cfRule type="expression" priority="1734" stopIfTrue="1">
      <formula>$Q208="删除"</formula>
    </cfRule>
  </conditionalFormatting>
  <conditionalFormatting sqref="N208">
    <cfRule type="expression" priority="1731" stopIfTrue="1">
      <formula>$Q208="删除"</formula>
    </cfRule>
  </conditionalFormatting>
  <conditionalFormatting sqref="M219:N219">
    <cfRule type="expression" priority="1730" stopIfTrue="1">
      <formula>$Q219="删除"</formula>
    </cfRule>
  </conditionalFormatting>
  <conditionalFormatting sqref="H219:I219 L219">
    <cfRule type="expression" priority="1729" stopIfTrue="1">
      <formula>$Q219="删除"</formula>
    </cfRule>
  </conditionalFormatting>
  <conditionalFormatting sqref="M197:N197">
    <cfRule type="expression" priority="1724" stopIfTrue="1">
      <formula>$Q197="删除"</formula>
    </cfRule>
  </conditionalFormatting>
  <conditionalFormatting sqref="I197:J197 L197">
    <cfRule type="expression" priority="1723" stopIfTrue="1">
      <formula>$Q197="删除"</formula>
    </cfRule>
  </conditionalFormatting>
  <conditionalFormatting sqref="I198">
    <cfRule type="expression" priority="1719" stopIfTrue="1">
      <formula>$Q198="删除"</formula>
    </cfRule>
  </conditionalFormatting>
  <conditionalFormatting sqref="N198">
    <cfRule type="expression" priority="1686" stopIfTrue="1">
      <formula>$Q198="删除"</formula>
    </cfRule>
  </conditionalFormatting>
  <conditionalFormatting sqref="L198 J198">
    <cfRule type="expression" priority="1689" stopIfTrue="1">
      <formula>$Q198="删除"</formula>
    </cfRule>
  </conditionalFormatting>
  <conditionalFormatting sqref="J220">
    <cfRule type="expression" priority="1669" stopIfTrue="1">
      <formula>$Q220="删除"</formula>
    </cfRule>
  </conditionalFormatting>
  <conditionalFormatting sqref="N220:N221">
    <cfRule type="expression" priority="1672" stopIfTrue="1">
      <formula>$Q220="删除"</formula>
    </cfRule>
  </conditionalFormatting>
  <conditionalFormatting sqref="H220:I220 L220">
    <cfRule type="expression" priority="1671" stopIfTrue="1">
      <formula>$Q220="删除"</formula>
    </cfRule>
  </conditionalFormatting>
  <conditionalFormatting sqref="J222">
    <cfRule type="expression" priority="1663" stopIfTrue="1">
      <formula>$Q222="删除"</formula>
    </cfRule>
  </conditionalFormatting>
  <conditionalFormatting sqref="N222">
    <cfRule type="expression" priority="1666" stopIfTrue="1">
      <formula>$Q222="删除"</formula>
    </cfRule>
  </conditionalFormatting>
  <conditionalFormatting sqref="H222:I222 L222">
    <cfRule type="expression" priority="1665" stopIfTrue="1">
      <formula>$Q222="删除"</formula>
    </cfRule>
  </conditionalFormatting>
  <conditionalFormatting sqref="J223">
    <cfRule type="expression" priority="1657" stopIfTrue="1">
      <formula>$Q223="删除"</formula>
    </cfRule>
  </conditionalFormatting>
  <conditionalFormatting sqref="N223">
    <cfRule type="expression" priority="1660" stopIfTrue="1">
      <formula>$Q223="删除"</formula>
    </cfRule>
  </conditionalFormatting>
  <conditionalFormatting sqref="H223:I223 L223">
    <cfRule type="expression" priority="1659" stopIfTrue="1">
      <formula>$Q223="删除"</formula>
    </cfRule>
  </conditionalFormatting>
  <conditionalFormatting sqref="H224:I224 H232:I232">
    <cfRule type="expression" priority="1653" stopIfTrue="1">
      <formula>$Q224="删除"</formula>
    </cfRule>
  </conditionalFormatting>
  <conditionalFormatting sqref="L236">
    <cfRule type="expression" priority="1631" stopIfTrue="1">
      <formula>$Q236="删除"</formula>
    </cfRule>
  </conditionalFormatting>
  <conditionalFormatting sqref="J232">
    <cfRule type="expression" priority="1645" stopIfTrue="1">
      <formula>$Q232="删除"</formula>
    </cfRule>
  </conditionalFormatting>
  <conditionalFormatting sqref="M232:N232">
    <cfRule type="expression" priority="1647" stopIfTrue="1">
      <formula>$Q232="删除"</formula>
    </cfRule>
  </conditionalFormatting>
  <conditionalFormatting sqref="L232">
    <cfRule type="expression" priority="1646" stopIfTrue="1">
      <formula>$Q232="删除"</formula>
    </cfRule>
  </conditionalFormatting>
  <conditionalFormatting sqref="M236">
    <cfRule type="expression" priority="1637" stopIfTrue="1">
      <formula>$Q236="删除"</formula>
    </cfRule>
  </conditionalFormatting>
  <conditionalFormatting sqref="H236">
    <cfRule type="expression" priority="1636" stopIfTrue="1">
      <formula>$Q236="删除"</formula>
    </cfRule>
  </conditionalFormatting>
  <conditionalFormatting sqref="J236">
    <cfRule type="expression" priority="1633" stopIfTrue="1">
      <formula>$Q236="删除"</formula>
    </cfRule>
  </conditionalFormatting>
  <conditionalFormatting sqref="H209:I209">
    <cfRule type="expression" priority="1628" stopIfTrue="1">
      <formula>$Q209="删除"</formula>
    </cfRule>
  </conditionalFormatting>
  <conditionalFormatting sqref="N241">
    <cfRule type="expression" priority="1586" stopIfTrue="1">
      <formula>$Q241="删除"</formula>
    </cfRule>
  </conditionalFormatting>
  <conditionalFormatting sqref="M209">
    <cfRule type="expression" priority="1629" stopIfTrue="1">
      <formula>$Q209="删除"</formula>
    </cfRule>
  </conditionalFormatting>
  <conditionalFormatting sqref="L241">
    <cfRule type="expression" priority="1588" stopIfTrue="1">
      <formula>$Q241="删除"</formula>
    </cfRule>
  </conditionalFormatting>
  <conditionalFormatting sqref="L209">
    <cfRule type="expression" priority="1625" stopIfTrue="1">
      <formula>$Q209="删除"</formula>
    </cfRule>
  </conditionalFormatting>
  <conditionalFormatting sqref="J237">
    <cfRule type="expression" priority="1618" stopIfTrue="1">
      <formula>$Q237="删除"</formula>
    </cfRule>
  </conditionalFormatting>
  <conditionalFormatting sqref="N209">
    <cfRule type="expression" priority="1623" stopIfTrue="1">
      <formula>$Q209="删除"</formula>
    </cfRule>
  </conditionalFormatting>
  <conditionalFormatting sqref="H237:I237 H238:H241">
    <cfRule type="expression" priority="1620" stopIfTrue="1">
      <formula>$Q237="删除"</formula>
    </cfRule>
  </conditionalFormatting>
  <conditionalFormatting sqref="M237">
    <cfRule type="expression" priority="1621" stopIfTrue="1">
      <formula>$Q237="删除"</formula>
    </cfRule>
  </conditionalFormatting>
  <conditionalFormatting sqref="L237">
    <cfRule type="expression" priority="1617" stopIfTrue="1">
      <formula>$Q237="删除"</formula>
    </cfRule>
  </conditionalFormatting>
  <conditionalFormatting sqref="N237">
    <cfRule type="expression" priority="1615" stopIfTrue="1">
      <formula>$Q237="删除"</formula>
    </cfRule>
  </conditionalFormatting>
  <conditionalFormatting sqref="M238">
    <cfRule type="expression" priority="1614" stopIfTrue="1">
      <formula>$Q238="删除"</formula>
    </cfRule>
  </conditionalFormatting>
  <conditionalFormatting sqref="I238">
    <cfRule type="expression" priority="1613" stopIfTrue="1">
      <formula>$Q238="删除"</formula>
    </cfRule>
  </conditionalFormatting>
  <conditionalFormatting sqref="J238">
    <cfRule type="expression" priority="1611" stopIfTrue="1">
      <formula>$Q238="删除"</formula>
    </cfRule>
  </conditionalFormatting>
  <conditionalFormatting sqref="L238">
    <cfRule type="expression" priority="1610" stopIfTrue="1">
      <formula>$Q238="删除"</formula>
    </cfRule>
  </conditionalFormatting>
  <conditionalFormatting sqref="I239">
    <cfRule type="expression" priority="1606" stopIfTrue="1">
      <formula>$Q239="删除"</formula>
    </cfRule>
  </conditionalFormatting>
  <conditionalFormatting sqref="N238">
    <cfRule type="expression" priority="1608" stopIfTrue="1">
      <formula>$Q238="删除"</formula>
    </cfRule>
  </conditionalFormatting>
  <conditionalFormatting sqref="M239">
    <cfRule type="expression" priority="1607" stopIfTrue="1">
      <formula>$Q239="删除"</formula>
    </cfRule>
  </conditionalFormatting>
  <conditionalFormatting sqref="J239">
    <cfRule type="expression" priority="1604" stopIfTrue="1">
      <formula>$Q239="删除"</formula>
    </cfRule>
  </conditionalFormatting>
  <conditionalFormatting sqref="L239">
    <cfRule type="expression" priority="1603" stopIfTrue="1">
      <formula>$Q239="删除"</formula>
    </cfRule>
  </conditionalFormatting>
  <conditionalFormatting sqref="I240">
    <cfRule type="expression" priority="1599" stopIfTrue="1">
      <formula>$Q240="删除"</formula>
    </cfRule>
  </conditionalFormatting>
  <conditionalFormatting sqref="N239">
    <cfRule type="expression" priority="1601" stopIfTrue="1">
      <formula>$Q239="删除"</formula>
    </cfRule>
  </conditionalFormatting>
  <conditionalFormatting sqref="M240">
    <cfRule type="expression" priority="1600" stopIfTrue="1">
      <formula>$Q240="删除"</formula>
    </cfRule>
  </conditionalFormatting>
  <conditionalFormatting sqref="J240">
    <cfRule type="expression" priority="1597" stopIfTrue="1">
      <formula>$Q240="删除"</formula>
    </cfRule>
  </conditionalFormatting>
  <conditionalFormatting sqref="L240">
    <cfRule type="expression" priority="1596" stopIfTrue="1">
      <formula>$Q240="删除"</formula>
    </cfRule>
  </conditionalFormatting>
  <conditionalFormatting sqref="M241">
    <cfRule type="expression" priority="1592" stopIfTrue="1">
      <formula>$Q241="删除"</formula>
    </cfRule>
  </conditionalFormatting>
  <conditionalFormatting sqref="N240">
    <cfRule type="expression" priority="1594" stopIfTrue="1">
      <formula>$Q240="删除"</formula>
    </cfRule>
  </conditionalFormatting>
  <conditionalFormatting sqref="I241">
    <cfRule type="expression" priority="1591" stopIfTrue="1">
      <formula>$Q241="删除"</formula>
    </cfRule>
  </conditionalFormatting>
  <conditionalFormatting sqref="M46:M47">
    <cfRule type="expression" priority="1584" stopIfTrue="1">
      <formula>$Q46="删除"</formula>
    </cfRule>
  </conditionalFormatting>
  <conditionalFormatting sqref="N46:N47">
    <cfRule type="expression" priority="1578" stopIfTrue="1">
      <formula>$Q46="删除"</formula>
    </cfRule>
  </conditionalFormatting>
  <conditionalFormatting sqref="H46:I46">
    <cfRule type="expression" priority="1583" stopIfTrue="1">
      <formula>$Q46="删除"</formula>
    </cfRule>
  </conditionalFormatting>
  <conditionalFormatting sqref="J46">
    <cfRule type="expression" priority="1581" stopIfTrue="1">
      <formula>$Q46="删除"</formula>
    </cfRule>
  </conditionalFormatting>
  <conditionalFormatting sqref="L46:L47">
    <cfRule type="expression" priority="1580" stopIfTrue="1">
      <formula>$Q46="删除"</formula>
    </cfRule>
  </conditionalFormatting>
  <conditionalFormatting sqref="H247:I247">
    <cfRule type="expression" priority="1564" stopIfTrue="1">
      <formula>$Q247="删除"</formula>
    </cfRule>
  </conditionalFormatting>
  <conditionalFormatting sqref="J247">
    <cfRule type="expression" priority="1562" stopIfTrue="1">
      <formula>$Q247="删除"</formula>
    </cfRule>
  </conditionalFormatting>
  <conditionalFormatting sqref="J248">
    <cfRule type="expression" priority="1557" stopIfTrue="1">
      <formula>$Q248="删除"</formula>
    </cfRule>
  </conditionalFormatting>
  <conditionalFormatting sqref="H248:I248">
    <cfRule type="expression" priority="1559" stopIfTrue="1">
      <formula>$Q248="删除"</formula>
    </cfRule>
  </conditionalFormatting>
  <conditionalFormatting sqref="H249:I249">
    <cfRule type="expression" priority="1554" stopIfTrue="1">
      <formula>$Q249="删除"</formula>
    </cfRule>
  </conditionalFormatting>
  <conditionalFormatting sqref="J249">
    <cfRule type="expression" priority="1552" stopIfTrue="1">
      <formula>$Q249="删除"</formula>
    </cfRule>
  </conditionalFormatting>
  <conditionalFormatting sqref="H16:I18">
    <cfRule type="expression" priority="1512" stopIfTrue="1">
      <formula>$Q16="删除"</formula>
    </cfRule>
  </conditionalFormatting>
  <conditionalFormatting sqref="L200:L201">
    <cfRule type="expression" priority="1498" stopIfTrue="1">
      <formula>$Q200="删除"</formula>
    </cfRule>
  </conditionalFormatting>
  <conditionalFormatting sqref="H200:I201">
    <cfRule type="expression" priority="1495" stopIfTrue="1">
      <formula>$Q200="删除"</formula>
    </cfRule>
  </conditionalFormatting>
  <conditionalFormatting sqref="H279:J279 M280:N280 L279:N279 H280:H281 L287:M287">
    <cfRule type="expression" priority="1487" stopIfTrue="1">
      <formula>$Q279="删除"</formula>
    </cfRule>
  </conditionalFormatting>
  <conditionalFormatting sqref="I280:J280 L280">
    <cfRule type="expression" priority="1485" stopIfTrue="1">
      <formula>$Q280="删除"</formula>
    </cfRule>
  </conditionalFormatting>
  <conditionalFormatting sqref="N281">
    <cfRule type="expression" priority="1483" stopIfTrue="1">
      <formula>$Q281="删除"</formula>
    </cfRule>
  </conditionalFormatting>
  <conditionalFormatting sqref="I281:J281 L281">
    <cfRule type="expression" priority="1482" stopIfTrue="1">
      <formula>$Q281="删除"</formula>
    </cfRule>
  </conditionalFormatting>
  <conditionalFormatting sqref="N287">
    <cfRule type="expression" priority="1480" stopIfTrue="1">
      <formula>$Q287="删除"</formula>
    </cfRule>
  </conditionalFormatting>
  <conditionalFormatting sqref="I287">
    <cfRule type="expression" priority="1472" stopIfTrue="1">
      <formula>$Q287="删除"</formula>
    </cfRule>
  </conditionalFormatting>
  <conditionalFormatting sqref="J287">
    <cfRule type="expression" priority="1470" stopIfTrue="1">
      <formula>$Q287="删除"</formula>
    </cfRule>
  </conditionalFormatting>
  <conditionalFormatting sqref="H282:J282">
    <cfRule type="expression" priority="1468" stopIfTrue="1">
      <formula>$Q282="删除"</formula>
    </cfRule>
  </conditionalFormatting>
  <conditionalFormatting sqref="I291">
    <cfRule type="expression" priority="1452" stopIfTrue="1">
      <formula>$Q291="删除"</formula>
    </cfRule>
  </conditionalFormatting>
  <conditionalFormatting sqref="J283">
    <cfRule type="expression" priority="1463" stopIfTrue="1">
      <formula>$Q283="删除"</formula>
    </cfRule>
  </conditionalFormatting>
  <conditionalFormatting sqref="H283:I283 H287:H288 H290:H291 H295">
    <cfRule type="expression" priority="1462" stopIfTrue="1">
      <formula>$Q283="删除"</formula>
    </cfRule>
  </conditionalFormatting>
  <conditionalFormatting sqref="J288 L288:N288 M289">
    <cfRule type="expression" priority="1456" stopIfTrue="1">
      <formula>$Q288="删除"</formula>
    </cfRule>
  </conditionalFormatting>
  <conditionalFormatting sqref="I288">
    <cfRule type="expression" priority="1455" stopIfTrue="1">
      <formula>$Q288="删除"</formula>
    </cfRule>
  </conditionalFormatting>
  <conditionalFormatting sqref="M291:N291">
    <cfRule type="expression" priority="1449" stopIfTrue="1">
      <formula>$Q291="删除"</formula>
    </cfRule>
  </conditionalFormatting>
  <conditionalFormatting sqref="L295">
    <cfRule type="expression" priority="1435" stopIfTrue="1">
      <formula>$Q295="删除"</formula>
    </cfRule>
  </conditionalFormatting>
  <conditionalFormatting sqref="J291">
    <cfRule type="expression" priority="1447" stopIfTrue="1">
      <formula>$Q291="删除"</formula>
    </cfRule>
  </conditionalFormatting>
  <conditionalFormatting sqref="L291">
    <cfRule type="expression" priority="1448" stopIfTrue="1">
      <formula>$Q291="删除"</formula>
    </cfRule>
  </conditionalFormatting>
  <conditionalFormatting sqref="K215:K220">
    <cfRule type="expression" priority="1417" stopIfTrue="1">
      <formula>$Q215="删除"</formula>
    </cfRule>
  </conditionalFormatting>
  <conditionalFormatting sqref="N200:N201">
    <cfRule type="expression" priority="1428" stopIfTrue="1">
      <formula>$Q200="删除"</formula>
    </cfRule>
  </conditionalFormatting>
  <conditionalFormatting sqref="J295">
    <cfRule type="expression" priority="1437" stopIfTrue="1">
      <formula>$Q295="删除"</formula>
    </cfRule>
  </conditionalFormatting>
  <conditionalFormatting sqref="M295:N295">
    <cfRule type="expression" priority="1440" stopIfTrue="1">
      <formula>$Q295="删除"</formula>
    </cfRule>
  </conditionalFormatting>
  <conditionalFormatting sqref="I295">
    <cfRule type="expression" priority="1439" stopIfTrue="1">
      <formula>$Q295="删除"</formula>
    </cfRule>
  </conditionalFormatting>
  <conditionalFormatting sqref="I290">
    <cfRule type="expression" priority="1431" stopIfTrue="1">
      <formula>$Q290="删除"</formula>
    </cfRule>
  </conditionalFormatting>
  <conditionalFormatting sqref="J290 L290:N290">
    <cfRule type="expression" priority="1432" stopIfTrue="1">
      <formula>$Q290="删除"</formula>
    </cfRule>
  </conditionalFormatting>
  <conditionalFormatting sqref="J200:J201">
    <cfRule type="expression" priority="1429" stopIfTrue="1">
      <formula>$Q200="删除"</formula>
    </cfRule>
  </conditionalFormatting>
  <conditionalFormatting sqref="M108:M111 N24 H33:N33 H17:I18 K17:N18 N39:N41 H54:N60 H77:N77 M94:M95 K87:K94 J83 N113:N115 N117:N120 K112:K120 K107:M107 H144:J144 L144:N144 H165:J166 M165:M166 H171:J172 H180:J180 N180 N215:N217 N233:N235 J155 L136:M138 H136:I138 K254:K264 H110:L111 H120:N120 H201:N201 K131:K144 H108:N109 N292:N294">
    <cfRule type="expression" priority="1427" stopIfTrue="1">
      <formula>#REF!="删除"</formula>
    </cfRule>
  </conditionalFormatting>
  <conditionalFormatting sqref="K228:K235">
    <cfRule type="expression" priority="1416" stopIfTrue="1">
      <formula>$Q228="删除"</formula>
    </cfRule>
  </conditionalFormatting>
  <conditionalFormatting sqref="K237:K246">
    <cfRule type="expression" priority="1415" stopIfTrue="1">
      <formula>$Q237="删除"</formula>
    </cfRule>
  </conditionalFormatting>
  <conditionalFormatting sqref="K247">
    <cfRule type="expression" priority="1414" stopIfTrue="1">
      <formula>$Q247="删除"</formula>
    </cfRule>
  </conditionalFormatting>
  <conditionalFormatting sqref="K248">
    <cfRule type="expression" priority="1413" stopIfTrue="1">
      <formula>$Q248="删除"</formula>
    </cfRule>
  </conditionalFormatting>
  <conditionalFormatting sqref="K250">
    <cfRule type="expression" priority="1412" stopIfTrue="1">
      <formula>$Q250="删除"</formula>
    </cfRule>
  </conditionalFormatting>
  <conditionalFormatting sqref="H79:H81">
    <cfRule type="expression" priority="1411" stopIfTrue="1">
      <formula>$Q79="删除"</formula>
    </cfRule>
  </conditionalFormatting>
  <conditionalFormatting sqref="L70">
    <cfRule type="expression" priority="1405" stopIfTrue="1">
      <formula>$Q70="删除"</formula>
    </cfRule>
  </conditionalFormatting>
  <conditionalFormatting sqref="L71">
    <cfRule type="expression" priority="1404" stopIfTrue="1">
      <formula>$Q71="删除"</formula>
    </cfRule>
  </conditionalFormatting>
  <conditionalFormatting sqref="L72">
    <cfRule type="expression" priority="1403" stopIfTrue="1">
      <formula>$Q72="删除"</formula>
    </cfRule>
  </conditionalFormatting>
  <conditionalFormatting sqref="M70">
    <cfRule type="expression" priority="1401" stopIfTrue="1">
      <formula>$Q70="删除"</formula>
    </cfRule>
  </conditionalFormatting>
  <conditionalFormatting sqref="M71">
    <cfRule type="expression" priority="1400" stopIfTrue="1">
      <formula>$Q71="删除"</formula>
    </cfRule>
  </conditionalFormatting>
  <conditionalFormatting sqref="M72">
    <cfRule type="expression" priority="1399" stopIfTrue="1">
      <formula>$Q72="删除"</formula>
    </cfRule>
  </conditionalFormatting>
  <conditionalFormatting sqref="L73">
    <cfRule type="expression" priority="1397" stopIfTrue="1">
      <formula>$Q73="删除"</formula>
    </cfRule>
  </conditionalFormatting>
  <conditionalFormatting sqref="M73">
    <cfRule type="expression" priority="1396" stopIfTrue="1">
      <formula>$Q73="删除"</formula>
    </cfRule>
  </conditionalFormatting>
  <conditionalFormatting sqref="M77 M74:M75">
    <cfRule type="expression" priority="1395" stopIfTrue="1">
      <formula>$Q74="删除"</formula>
    </cfRule>
  </conditionalFormatting>
  <conditionalFormatting sqref="L83">
    <cfRule type="expression" priority="1394" stopIfTrue="1">
      <formula>$Q83="删除"</formula>
    </cfRule>
  </conditionalFormatting>
  <conditionalFormatting sqref="M83">
    <cfRule type="expression" priority="1393" stopIfTrue="1">
      <formula>$Q83="删除"</formula>
    </cfRule>
  </conditionalFormatting>
  <conditionalFormatting sqref="M84">
    <cfRule type="expression" priority="1392" stopIfTrue="1">
      <formula>$Q84="删除"</formula>
    </cfRule>
  </conditionalFormatting>
  <conditionalFormatting sqref="M85">
    <cfRule type="expression" priority="1390" stopIfTrue="1">
      <formula>$Q85="删除"</formula>
    </cfRule>
  </conditionalFormatting>
  <conditionalFormatting sqref="M86">
    <cfRule type="expression" priority="1389" stopIfTrue="1">
      <formula>$Q86="删除"</formula>
    </cfRule>
  </conditionalFormatting>
  <conditionalFormatting sqref="M196">
    <cfRule type="expression" priority="1386" stopIfTrue="1">
      <formula>$Q196="删除"</formula>
    </cfRule>
  </conditionalFormatting>
  <conditionalFormatting sqref="M198">
    <cfRule type="expression" priority="1385" stopIfTrue="1">
      <formula>$Q198="删除"</formula>
    </cfRule>
  </conditionalFormatting>
  <conditionalFormatting sqref="M200:M201">
    <cfRule type="expression" priority="1384" stopIfTrue="1">
      <formula>$Q200="删除"</formula>
    </cfRule>
  </conditionalFormatting>
  <conditionalFormatting sqref="J221">
    <cfRule type="expression" priority="1380" stopIfTrue="1">
      <formula>$Q221="删除"</formula>
    </cfRule>
  </conditionalFormatting>
  <conditionalFormatting sqref="H221:I221 L221">
    <cfRule type="expression" priority="1382" stopIfTrue="1">
      <formula>$Q221="删除"</formula>
    </cfRule>
  </conditionalFormatting>
  <conditionalFormatting sqref="K221">
    <cfRule type="expression" priority="1379" stopIfTrue="1">
      <formula>$Q221="删除"</formula>
    </cfRule>
  </conditionalFormatting>
  <conditionalFormatting sqref="M281">
    <cfRule type="expression" priority="1378" stopIfTrue="1">
      <formula>$Q281="删除"</formula>
    </cfRule>
  </conditionalFormatting>
  <conditionalFormatting sqref="M283">
    <cfRule type="expression" priority="1377" stopIfTrue="1">
      <formula>$Q283="删除"</formula>
    </cfRule>
  </conditionalFormatting>
  <conditionalFormatting sqref="M220">
    <cfRule type="expression" priority="1369" stopIfTrue="1">
      <formula>$Q220="删除"</formula>
    </cfRule>
  </conditionalFormatting>
  <conditionalFormatting sqref="J226 L226">
    <cfRule type="expression" priority="1373" stopIfTrue="1">
      <formula>$Q226="删除"</formula>
    </cfRule>
  </conditionalFormatting>
  <conditionalFormatting sqref="I226">
    <cfRule type="expression" priority="1372" stopIfTrue="1">
      <formula>$Q226="删除"</formula>
    </cfRule>
  </conditionalFormatting>
  <conditionalFormatting sqref="H226">
    <cfRule type="expression" priority="1371" stopIfTrue="1">
      <formula>$Q226="删除"</formula>
    </cfRule>
  </conditionalFormatting>
  <conditionalFormatting sqref="M221">
    <cfRule type="expression" priority="1368" stopIfTrue="1">
      <formula>$Q221="删除"</formula>
    </cfRule>
  </conditionalFormatting>
  <conditionalFormatting sqref="M222">
    <cfRule type="expression" priority="1367" stopIfTrue="1">
      <formula>$Q222="删除"</formula>
    </cfRule>
  </conditionalFormatting>
  <conditionalFormatting sqref="M223">
    <cfRule type="expression" priority="1366" stopIfTrue="1">
      <formula>$Q223="删除"</formula>
    </cfRule>
  </conditionalFormatting>
  <conditionalFormatting sqref="J289 L289">
    <cfRule type="expression" priority="1355" stopIfTrue="1">
      <formula>$Q289="删除"</formula>
    </cfRule>
  </conditionalFormatting>
  <conditionalFormatting sqref="I289">
    <cfRule type="expression" priority="1354" stopIfTrue="1">
      <formula>$Q289="删除"</formula>
    </cfRule>
  </conditionalFormatting>
  <conditionalFormatting sqref="H289">
    <cfRule type="expression" priority="1353" stopIfTrue="1">
      <formula>$Q289="删除"</formula>
    </cfRule>
  </conditionalFormatting>
  <conditionalFormatting sqref="N289">
    <cfRule type="expression" priority="1352" stopIfTrue="1">
      <formula>$Q289="删除"</formula>
    </cfRule>
  </conditionalFormatting>
  <conditionalFormatting sqref="N16:N18">
    <cfRule type="expression" priority="1349" stopIfTrue="1">
      <formula>$Q16="删除"</formula>
    </cfRule>
  </conditionalFormatting>
  <conditionalFormatting sqref="H47:I47">
    <cfRule type="expression" priority="1344" stopIfTrue="1">
      <formula>$Q47="删除"</formula>
    </cfRule>
  </conditionalFormatting>
  <conditionalFormatting sqref="J47">
    <cfRule type="expression" priority="1342" stopIfTrue="1">
      <formula>$Q47="删除"</formula>
    </cfRule>
  </conditionalFormatting>
  <conditionalFormatting sqref="K48">
    <cfRule type="expression" priority="1341" stopIfTrue="1">
      <formula>$Q48="删除"</formula>
    </cfRule>
  </conditionalFormatting>
  <conditionalFormatting sqref="M48">
    <cfRule type="expression" priority="1340" stopIfTrue="1">
      <formula>$Q48="删除"</formula>
    </cfRule>
  </conditionalFormatting>
  <conditionalFormatting sqref="N48">
    <cfRule type="expression" priority="1338" stopIfTrue="1">
      <formula>$Q48="删除"</formula>
    </cfRule>
  </conditionalFormatting>
  <conditionalFormatting sqref="L48">
    <cfRule type="expression" priority="1339" stopIfTrue="1">
      <formula>$Q48="删除"</formula>
    </cfRule>
  </conditionalFormatting>
  <conditionalFormatting sqref="H48:I48">
    <cfRule type="expression" priority="1336" stopIfTrue="1">
      <formula>$Q48="删除"</formula>
    </cfRule>
  </conditionalFormatting>
  <conditionalFormatting sqref="J48">
    <cfRule type="expression" priority="1334" stopIfTrue="1">
      <formula>$Q48="删除"</formula>
    </cfRule>
  </conditionalFormatting>
  <conditionalFormatting sqref="K49">
    <cfRule type="expression" priority="1333" stopIfTrue="1">
      <formula>$Q49="删除"</formula>
    </cfRule>
  </conditionalFormatting>
  <conditionalFormatting sqref="M49">
    <cfRule type="expression" priority="1332" stopIfTrue="1">
      <formula>$Q49="删除"</formula>
    </cfRule>
  </conditionalFormatting>
  <conditionalFormatting sqref="N49">
    <cfRule type="expression" priority="1330" stopIfTrue="1">
      <formula>$Q49="删除"</formula>
    </cfRule>
  </conditionalFormatting>
  <conditionalFormatting sqref="L49">
    <cfRule type="expression" priority="1331" stopIfTrue="1">
      <formula>$Q49="删除"</formula>
    </cfRule>
  </conditionalFormatting>
  <conditionalFormatting sqref="H49:I49">
    <cfRule type="expression" priority="1328" stopIfTrue="1">
      <formula>$Q49="删除"</formula>
    </cfRule>
  </conditionalFormatting>
  <conditionalFormatting sqref="J49">
    <cfRule type="expression" priority="1326" stopIfTrue="1">
      <formula>$Q49="删除"</formula>
    </cfRule>
  </conditionalFormatting>
  <conditionalFormatting sqref="M210">
    <cfRule type="expression" priority="1324" stopIfTrue="1">
      <formula>$Q210="删除"</formula>
    </cfRule>
  </conditionalFormatting>
  <conditionalFormatting sqref="N210">
    <cfRule type="expression" priority="1322" stopIfTrue="1">
      <formula>$Q210="删除"</formula>
    </cfRule>
  </conditionalFormatting>
  <conditionalFormatting sqref="L210">
    <cfRule type="expression" priority="1323" stopIfTrue="1">
      <formula>$Q210="删除"</formula>
    </cfRule>
  </conditionalFormatting>
  <conditionalFormatting sqref="H210:I210">
    <cfRule type="expression" priority="1320" stopIfTrue="1">
      <formula>$Q210="删除"</formula>
    </cfRule>
  </conditionalFormatting>
  <conditionalFormatting sqref="J210">
    <cfRule type="expression" priority="1318" stopIfTrue="1">
      <formula>$Q210="删除"</formula>
    </cfRule>
  </conditionalFormatting>
  <conditionalFormatting sqref="N242">
    <cfRule type="expression" priority="1297" stopIfTrue="1">
      <formula>$Q242="删除"</formula>
    </cfRule>
  </conditionalFormatting>
  <conditionalFormatting sqref="M211">
    <cfRule type="expression" priority="1316" stopIfTrue="1">
      <formula>$Q211="删除"</formula>
    </cfRule>
  </conditionalFormatting>
  <conditionalFormatting sqref="N211">
    <cfRule type="expression" priority="1314" stopIfTrue="1">
      <formula>$Q211="删除"</formula>
    </cfRule>
  </conditionalFormatting>
  <conditionalFormatting sqref="L211">
    <cfRule type="expression" priority="1315" stopIfTrue="1">
      <formula>$Q211="删除"</formula>
    </cfRule>
  </conditionalFormatting>
  <conditionalFormatting sqref="M243">
    <cfRule type="expression" priority="1293" stopIfTrue="1">
      <formula>$Q243="删除"</formula>
    </cfRule>
  </conditionalFormatting>
  <conditionalFormatting sqref="H211:I211">
    <cfRule type="expression" priority="1312" stopIfTrue="1">
      <formula>$Q211="删除"</formula>
    </cfRule>
  </conditionalFormatting>
  <conditionalFormatting sqref="J211">
    <cfRule type="expression" priority="1310" stopIfTrue="1">
      <formula>$Q211="删除"</formula>
    </cfRule>
  </conditionalFormatting>
  <conditionalFormatting sqref="M212">
    <cfRule type="expression" priority="1308" stopIfTrue="1">
      <formula>$Q212="删除"</formula>
    </cfRule>
  </conditionalFormatting>
  <conditionalFormatting sqref="N212">
    <cfRule type="expression" priority="1306" stopIfTrue="1">
      <formula>$Q212="删除"</formula>
    </cfRule>
  </conditionalFormatting>
  <conditionalFormatting sqref="L212">
    <cfRule type="expression" priority="1307" stopIfTrue="1">
      <formula>$Q212="删除"</formula>
    </cfRule>
  </conditionalFormatting>
  <conditionalFormatting sqref="N244">
    <cfRule type="expression" priority="1285" stopIfTrue="1">
      <formula>$Q244="删除"</formula>
    </cfRule>
  </conditionalFormatting>
  <conditionalFormatting sqref="H212:I212">
    <cfRule type="expression" priority="1304" stopIfTrue="1">
      <formula>$Q212="删除"</formula>
    </cfRule>
  </conditionalFormatting>
  <conditionalFormatting sqref="J212">
    <cfRule type="expression" priority="1302" stopIfTrue="1">
      <formula>$Q212="删除"</formula>
    </cfRule>
  </conditionalFormatting>
  <conditionalFormatting sqref="M242">
    <cfRule type="expression" priority="1299" stopIfTrue="1">
      <formula>$Q242="删除"</formula>
    </cfRule>
  </conditionalFormatting>
  <conditionalFormatting sqref="L242">
    <cfRule type="expression" priority="1298" stopIfTrue="1">
      <formula>$Q242="删除"</formula>
    </cfRule>
  </conditionalFormatting>
  <conditionalFormatting sqref="H242:I242">
    <cfRule type="expression" priority="1296" stopIfTrue="1">
      <formula>$Q242="删除"</formula>
    </cfRule>
  </conditionalFormatting>
  <conditionalFormatting sqref="J242">
    <cfRule type="expression" priority="1294" stopIfTrue="1">
      <formula>$Q242="删除"</formula>
    </cfRule>
  </conditionalFormatting>
  <conditionalFormatting sqref="N243">
    <cfRule type="expression" priority="1291" stopIfTrue="1">
      <formula>$Q243="删除"</formula>
    </cfRule>
  </conditionalFormatting>
  <conditionalFormatting sqref="L243">
    <cfRule type="expression" priority="1292" stopIfTrue="1">
      <formula>$Q243="删除"</formula>
    </cfRule>
  </conditionalFormatting>
  <conditionalFormatting sqref="H243:I243">
    <cfRule type="expression" priority="1290" stopIfTrue="1">
      <formula>$Q243="删除"</formula>
    </cfRule>
  </conditionalFormatting>
  <conditionalFormatting sqref="J243">
    <cfRule type="expression" priority="1288" stopIfTrue="1">
      <formula>$Q243="删除"</formula>
    </cfRule>
  </conditionalFormatting>
  <conditionalFormatting sqref="M244">
    <cfRule type="expression" priority="1287" stopIfTrue="1">
      <formula>$Q244="删除"</formula>
    </cfRule>
  </conditionalFormatting>
  <conditionalFormatting sqref="L244">
    <cfRule type="expression" priority="1286" stopIfTrue="1">
      <formula>$Q244="删除"</formula>
    </cfRule>
  </conditionalFormatting>
  <conditionalFormatting sqref="H244:I244">
    <cfRule type="expression" priority="1284" stopIfTrue="1">
      <formula>$Q244="删除"</formula>
    </cfRule>
  </conditionalFormatting>
  <conditionalFormatting sqref="J244">
    <cfRule type="expression" priority="1282" stopIfTrue="1">
      <formula>$Q244="删除"</formula>
    </cfRule>
  </conditionalFormatting>
  <conditionalFormatting sqref="N300">
    <cfRule type="expression" priority="1201" stopIfTrue="1">
      <formula>$Q300="删除"</formula>
    </cfRule>
  </conditionalFormatting>
  <conditionalFormatting sqref="J296">
    <cfRule type="expression" priority="1227" stopIfTrue="1">
      <formula>$Q296="删除"</formula>
    </cfRule>
  </conditionalFormatting>
  <conditionalFormatting sqref="H296:I296 H297:H300">
    <cfRule type="expression" priority="1229" stopIfTrue="1">
      <formula>$Q296="删除"</formula>
    </cfRule>
  </conditionalFormatting>
  <conditionalFormatting sqref="M296">
    <cfRule type="expression" priority="1230" stopIfTrue="1">
      <formula>$Q296="删除"</formula>
    </cfRule>
  </conditionalFormatting>
  <conditionalFormatting sqref="L296">
    <cfRule type="expression" priority="1226" stopIfTrue="1">
      <formula>$Q296="删除"</formula>
    </cfRule>
  </conditionalFormatting>
  <conditionalFormatting sqref="N296">
    <cfRule type="expression" priority="1225" stopIfTrue="1">
      <formula>$Q296="删除"</formula>
    </cfRule>
  </conditionalFormatting>
  <conditionalFormatting sqref="M297">
    <cfRule type="expression" priority="1224" stopIfTrue="1">
      <formula>$Q297="删除"</formula>
    </cfRule>
  </conditionalFormatting>
  <conditionalFormatting sqref="I297">
    <cfRule type="expression" priority="1223" stopIfTrue="1">
      <formula>$Q297="删除"</formula>
    </cfRule>
  </conditionalFormatting>
  <conditionalFormatting sqref="J297">
    <cfRule type="expression" priority="1221" stopIfTrue="1">
      <formula>$Q297="删除"</formula>
    </cfRule>
  </conditionalFormatting>
  <conditionalFormatting sqref="L297">
    <cfRule type="expression" priority="1220" stopIfTrue="1">
      <formula>$Q297="删除"</formula>
    </cfRule>
  </conditionalFormatting>
  <conditionalFormatting sqref="I298">
    <cfRule type="expression" priority="1217" stopIfTrue="1">
      <formula>$Q298="删除"</formula>
    </cfRule>
  </conditionalFormatting>
  <conditionalFormatting sqref="N297">
    <cfRule type="expression" priority="1219" stopIfTrue="1">
      <formula>$Q297="删除"</formula>
    </cfRule>
  </conditionalFormatting>
  <conditionalFormatting sqref="M298">
    <cfRule type="expression" priority="1218" stopIfTrue="1">
      <formula>$Q298="删除"</formula>
    </cfRule>
  </conditionalFormatting>
  <conditionalFormatting sqref="J298">
    <cfRule type="expression" priority="1215" stopIfTrue="1">
      <formula>$Q298="删除"</formula>
    </cfRule>
  </conditionalFormatting>
  <conditionalFormatting sqref="L298">
    <cfRule type="expression" priority="1214" stopIfTrue="1">
      <formula>$Q298="删除"</formula>
    </cfRule>
  </conditionalFormatting>
  <conditionalFormatting sqref="I299">
    <cfRule type="expression" priority="1211" stopIfTrue="1">
      <formula>$Q299="删除"</formula>
    </cfRule>
  </conditionalFormatting>
  <conditionalFormatting sqref="N298">
    <cfRule type="expression" priority="1213" stopIfTrue="1">
      <formula>$Q298="删除"</formula>
    </cfRule>
  </conditionalFormatting>
  <conditionalFormatting sqref="M299">
    <cfRule type="expression" priority="1212" stopIfTrue="1">
      <formula>$Q299="删除"</formula>
    </cfRule>
  </conditionalFormatting>
  <conditionalFormatting sqref="J299">
    <cfRule type="expression" priority="1209" stopIfTrue="1">
      <formula>$Q299="删除"</formula>
    </cfRule>
  </conditionalFormatting>
  <conditionalFormatting sqref="L299">
    <cfRule type="expression" priority="1208" stopIfTrue="1">
      <formula>$Q299="删除"</formula>
    </cfRule>
  </conditionalFormatting>
  <conditionalFormatting sqref="M300">
    <cfRule type="expression" priority="1206" stopIfTrue="1">
      <formula>$Q300="删除"</formula>
    </cfRule>
  </conditionalFormatting>
  <conditionalFormatting sqref="N299">
    <cfRule type="expression" priority="1207" stopIfTrue="1">
      <formula>$Q299="删除"</formula>
    </cfRule>
  </conditionalFormatting>
  <conditionalFormatting sqref="I300">
    <cfRule type="expression" priority="1205" stopIfTrue="1">
      <formula>$Q300="删除"</formula>
    </cfRule>
  </conditionalFormatting>
  <conditionalFormatting sqref="L300">
    <cfRule type="expression" priority="1202" stopIfTrue="1">
      <formula>$Q300="删除"</formula>
    </cfRule>
  </conditionalFormatting>
  <conditionalFormatting sqref="J300">
    <cfRule type="expression" priority="1203" stopIfTrue="1">
      <formula>$Q300="删除"</formula>
    </cfRule>
  </conditionalFormatting>
  <conditionalFormatting sqref="K296:K305">
    <cfRule type="expression" priority="1200" stopIfTrue="1">
      <formula>$Q296="删除"</formula>
    </cfRule>
  </conditionalFormatting>
  <conditionalFormatting sqref="N301">
    <cfRule type="expression" priority="1197" stopIfTrue="1">
      <formula>$Q301="删除"</formula>
    </cfRule>
  </conditionalFormatting>
  <conditionalFormatting sqref="M302">
    <cfRule type="expression" priority="1193" stopIfTrue="1">
      <formula>$Q302="删除"</formula>
    </cfRule>
  </conditionalFormatting>
  <conditionalFormatting sqref="N303">
    <cfRule type="expression" priority="1185" stopIfTrue="1">
      <formula>$Q303="删除"</formula>
    </cfRule>
  </conditionalFormatting>
  <conditionalFormatting sqref="M301">
    <cfRule type="expression" priority="1199" stopIfTrue="1">
      <formula>$Q301="删除"</formula>
    </cfRule>
  </conditionalFormatting>
  <conditionalFormatting sqref="L301">
    <cfRule type="expression" priority="1198" stopIfTrue="1">
      <formula>$Q301="删除"</formula>
    </cfRule>
  </conditionalFormatting>
  <conditionalFormatting sqref="H301:I301">
    <cfRule type="expression" priority="1196" stopIfTrue="1">
      <formula>$Q301="删除"</formula>
    </cfRule>
  </conditionalFormatting>
  <conditionalFormatting sqref="J301">
    <cfRule type="expression" priority="1194" stopIfTrue="1">
      <formula>$Q301="删除"</formula>
    </cfRule>
  </conditionalFormatting>
  <conditionalFormatting sqref="N302">
    <cfRule type="expression" priority="1191" stopIfTrue="1">
      <formula>$Q302="删除"</formula>
    </cfRule>
  </conditionalFormatting>
  <conditionalFormatting sqref="L302">
    <cfRule type="expression" priority="1192" stopIfTrue="1">
      <formula>$Q302="删除"</formula>
    </cfRule>
  </conditionalFormatting>
  <conditionalFormatting sqref="H302:I302">
    <cfRule type="expression" priority="1190" stopIfTrue="1">
      <formula>$Q302="删除"</formula>
    </cfRule>
  </conditionalFormatting>
  <conditionalFormatting sqref="J302">
    <cfRule type="expression" priority="1188" stopIfTrue="1">
      <formula>$Q302="删除"</formula>
    </cfRule>
  </conditionalFormatting>
  <conditionalFormatting sqref="M303">
    <cfRule type="expression" priority="1187" stopIfTrue="1">
      <formula>$Q303="删除"</formula>
    </cfRule>
  </conditionalFormatting>
  <conditionalFormatting sqref="L303">
    <cfRule type="expression" priority="1186" stopIfTrue="1">
      <formula>$Q303="删除"</formula>
    </cfRule>
  </conditionalFormatting>
  <conditionalFormatting sqref="H303:I303">
    <cfRule type="expression" priority="1184" stopIfTrue="1">
      <formula>$Q303="删除"</formula>
    </cfRule>
  </conditionalFormatting>
  <conditionalFormatting sqref="J303">
    <cfRule type="expression" priority="1182" stopIfTrue="1">
      <formula>$Q303="删除"</formula>
    </cfRule>
  </conditionalFormatting>
  <conditionalFormatting sqref="N70">
    <cfRule type="expression" priority="1168" stopIfTrue="1">
      <formula>$Q70="删除"</formula>
    </cfRule>
  </conditionalFormatting>
  <conditionalFormatting sqref="N71">
    <cfRule type="expression" priority="1167" stopIfTrue="1">
      <formula>$Q71="删除"</formula>
    </cfRule>
  </conditionalFormatting>
  <conditionalFormatting sqref="L25:L27 K33:M33">
    <cfRule type="expression" priority="1166" stopIfTrue="1">
      <formula>$Q25="删除"</formula>
    </cfRule>
  </conditionalFormatting>
  <conditionalFormatting sqref="N33">
    <cfRule type="expression" priority="1165" stopIfTrue="1">
      <formula>$Q33="删除"</formula>
    </cfRule>
  </conditionalFormatting>
  <conditionalFormatting sqref="H33:I33">
    <cfRule type="expression" priority="1164" stopIfTrue="1">
      <formula>$Q33="删除"</formula>
    </cfRule>
  </conditionalFormatting>
  <conditionalFormatting sqref="J28 J33">
    <cfRule type="expression" priority="1162" stopIfTrue="1">
      <formula>$Q28="删除"</formula>
    </cfRule>
  </conditionalFormatting>
  <conditionalFormatting sqref="J26">
    <cfRule type="expression" priority="1161" stopIfTrue="1">
      <formula>$Q26="删除"</formula>
    </cfRule>
  </conditionalFormatting>
  <conditionalFormatting sqref="K25 M25">
    <cfRule type="expression" priority="1160" stopIfTrue="1">
      <formula>$Q25="删除"</formula>
    </cfRule>
  </conditionalFormatting>
  <conditionalFormatting sqref="H25:I25">
    <cfRule type="expression" priority="1159" stopIfTrue="1">
      <formula>$Q25="删除"</formula>
    </cfRule>
  </conditionalFormatting>
  <conditionalFormatting sqref="J25">
    <cfRule type="expression" priority="1156" stopIfTrue="1">
      <formula>$Q25="删除"</formula>
    </cfRule>
  </conditionalFormatting>
  <conditionalFormatting sqref="H21:M21 M22:M24 J22:K24">
    <cfRule type="expression" priority="1155" stopIfTrue="1">
      <formula>$Q21="删除"</formula>
    </cfRule>
  </conditionalFormatting>
  <conditionalFormatting sqref="H22:I22 L22">
    <cfRule type="expression" priority="1153" stopIfTrue="1">
      <formula>$Q22="删除"</formula>
    </cfRule>
  </conditionalFormatting>
  <conditionalFormatting sqref="H23:I24 L23:L24">
    <cfRule type="expression" priority="1150" stopIfTrue="1">
      <formula>$Q23="删除"</formula>
    </cfRule>
  </conditionalFormatting>
  <conditionalFormatting sqref="M19">
    <cfRule type="expression" priority="1142" stopIfTrue="1">
      <formula>$Q19="删除"</formula>
    </cfRule>
  </conditionalFormatting>
  <conditionalFormatting sqref="K19:L19">
    <cfRule type="expression" priority="1143" stopIfTrue="1">
      <formula>$Q19="删除"</formula>
    </cfRule>
  </conditionalFormatting>
  <conditionalFormatting sqref="H30:J30 L30">
    <cfRule type="expression" priority="1124" stopIfTrue="1">
      <formula>$Q30="删除"</formula>
    </cfRule>
  </conditionalFormatting>
  <conditionalFormatting sqref="H19:I19">
    <cfRule type="expression" priority="1140" stopIfTrue="1">
      <formula>$Q19="删除"</formula>
    </cfRule>
  </conditionalFormatting>
  <conditionalFormatting sqref="N19">
    <cfRule type="expression" priority="1138" stopIfTrue="1">
      <formula>$Q19="删除"</formula>
    </cfRule>
  </conditionalFormatting>
  <conditionalFormatting sqref="N21:N28">
    <cfRule type="expression" priority="1135" stopIfTrue="1">
      <formula>$Q21="删除"</formula>
    </cfRule>
  </conditionalFormatting>
  <conditionalFormatting sqref="M20">
    <cfRule type="expression" priority="1133" stopIfTrue="1">
      <formula>$Q20="删除"</formula>
    </cfRule>
  </conditionalFormatting>
  <conditionalFormatting sqref="K20:L20">
    <cfRule type="expression" priority="1134" stopIfTrue="1">
      <formula>$Q20="删除"</formula>
    </cfRule>
  </conditionalFormatting>
  <conditionalFormatting sqref="H20:I20">
    <cfRule type="expression" priority="1131" stopIfTrue="1">
      <formula>$Q20="删除"</formula>
    </cfRule>
  </conditionalFormatting>
  <conditionalFormatting sqref="N20">
    <cfRule type="expression" priority="1129" stopIfTrue="1">
      <formula>$Q20="删除"</formula>
    </cfRule>
  </conditionalFormatting>
  <conditionalFormatting sqref="M29:N29 K29">
    <cfRule type="expression" priority="1128" stopIfTrue="1">
      <formula>$Q29="删除"</formula>
    </cfRule>
  </conditionalFormatting>
  <conditionalFormatting sqref="H29:J29 L29">
    <cfRule type="expression" priority="1127" stopIfTrue="1">
      <formula>$Q29="删除"</formula>
    </cfRule>
  </conditionalFormatting>
  <conditionalFormatting sqref="K30 M30:N32">
    <cfRule type="expression" priority="1125" stopIfTrue="1">
      <formula>$Q30="删除"</formula>
    </cfRule>
  </conditionalFormatting>
  <conditionalFormatting sqref="H40:I40">
    <cfRule type="expression" priority="1116" stopIfTrue="1">
      <formula>$Q40="删除"</formula>
    </cfRule>
  </conditionalFormatting>
  <conditionalFormatting sqref="K39">
    <cfRule type="expression" priority="1122" stopIfTrue="1">
      <formula>$Q39="删除"</formula>
    </cfRule>
  </conditionalFormatting>
  <conditionalFormatting sqref="H39:I39 L39:L41">
    <cfRule type="expression" priority="1121" stopIfTrue="1">
      <formula>$Q39="删除"</formula>
    </cfRule>
  </conditionalFormatting>
  <conditionalFormatting sqref="J39:J41">
    <cfRule type="expression" priority="1119" stopIfTrue="1">
      <formula>$Q39="删除"</formula>
    </cfRule>
  </conditionalFormatting>
  <conditionalFormatting sqref="M40">
    <cfRule type="expression" priority="1118" stopIfTrue="1">
      <formula>$Q40="删除"</formula>
    </cfRule>
  </conditionalFormatting>
  <conditionalFormatting sqref="K40">
    <cfRule type="expression" priority="1117" stopIfTrue="1">
      <formula>$Q40="删除"</formula>
    </cfRule>
  </conditionalFormatting>
  <conditionalFormatting sqref="N39:N41">
    <cfRule type="expression" priority="1100" stopIfTrue="1">
      <formula>$Q39="删除"</formula>
    </cfRule>
  </conditionalFormatting>
  <conditionalFormatting sqref="M41">
    <cfRule type="expression" priority="1113" stopIfTrue="1">
      <formula>$Q41="删除"</formula>
    </cfRule>
  </conditionalFormatting>
  <conditionalFormatting sqref="K41">
    <cfRule type="expression" priority="1112" stopIfTrue="1">
      <formula>$Q41="删除"</formula>
    </cfRule>
  </conditionalFormatting>
  <conditionalFormatting sqref="H41:I41">
    <cfRule type="expression" priority="1111" stopIfTrue="1">
      <formula>$Q41="删除"</formula>
    </cfRule>
  </conditionalFormatting>
  <conditionalFormatting sqref="K31:K32">
    <cfRule type="expression" priority="1095" stopIfTrue="1">
      <formula>$Q31="删除"</formula>
    </cfRule>
  </conditionalFormatting>
  <conditionalFormatting sqref="H14:I14 K14:N14">
    <cfRule type="expression" priority="1099" stopIfTrue="1">
      <formula>$Q14="删除"</formula>
    </cfRule>
  </conditionalFormatting>
  <conditionalFormatting sqref="H13:N13">
    <cfRule type="expression" priority="1097" stopIfTrue="1">
      <formula>$Q13="删除"</formula>
    </cfRule>
  </conditionalFormatting>
  <conditionalFormatting sqref="H31:J32 L31:L32">
    <cfRule type="expression" priority="1094" stopIfTrue="1">
      <formula>$Q31="删除"</formula>
    </cfRule>
  </conditionalFormatting>
  <conditionalFormatting sqref="K50">
    <cfRule type="expression" priority="1092" stopIfTrue="1">
      <formula>$Q50="删除"</formula>
    </cfRule>
  </conditionalFormatting>
  <conditionalFormatting sqref="M50">
    <cfRule type="expression" priority="1091" stopIfTrue="1">
      <formula>$Q50="删除"</formula>
    </cfRule>
  </conditionalFormatting>
  <conditionalFormatting sqref="N50">
    <cfRule type="expression" priority="1089" stopIfTrue="1">
      <formula>$Q50="删除"</formula>
    </cfRule>
  </conditionalFormatting>
  <conditionalFormatting sqref="L50">
    <cfRule type="expression" priority="1090" stopIfTrue="1">
      <formula>$Q50="删除"</formula>
    </cfRule>
  </conditionalFormatting>
  <conditionalFormatting sqref="H50:I50">
    <cfRule type="expression" priority="1087" stopIfTrue="1">
      <formula>$Q50="删除"</formula>
    </cfRule>
  </conditionalFormatting>
  <conditionalFormatting sqref="J50">
    <cfRule type="expression" priority="1085" stopIfTrue="1">
      <formula>$Q50="删除"</formula>
    </cfRule>
  </conditionalFormatting>
  <conditionalFormatting sqref="K51">
    <cfRule type="expression" priority="1084" stopIfTrue="1">
      <formula>$Q51="删除"</formula>
    </cfRule>
  </conditionalFormatting>
  <conditionalFormatting sqref="M51">
    <cfRule type="expression" priority="1083" stopIfTrue="1">
      <formula>$Q51="删除"</formula>
    </cfRule>
  </conditionalFormatting>
  <conditionalFormatting sqref="N51">
    <cfRule type="expression" priority="1081" stopIfTrue="1">
      <formula>$Q51="删除"</formula>
    </cfRule>
  </conditionalFormatting>
  <conditionalFormatting sqref="J51">
    <cfRule type="expression" priority="1077" stopIfTrue="1">
      <formula>$Q51="删除"</formula>
    </cfRule>
  </conditionalFormatting>
  <conditionalFormatting sqref="H51:I51">
    <cfRule type="expression" priority="1079" stopIfTrue="1">
      <formula>$Q51="删除"</formula>
    </cfRule>
  </conditionalFormatting>
  <conditionalFormatting sqref="L51">
    <cfRule type="expression" priority="1076" stopIfTrue="1">
      <formula>$Q51="删除"</formula>
    </cfRule>
  </conditionalFormatting>
  <conditionalFormatting sqref="H52:J52 M53:N53 M52">
    <cfRule type="expression" priority="1075" stopIfTrue="1">
      <formula>$Q52="删除"</formula>
    </cfRule>
  </conditionalFormatting>
  <conditionalFormatting sqref="L74 L77">
    <cfRule type="expression" priority="1028" stopIfTrue="1">
      <formula>$Q74="删除"</formula>
    </cfRule>
  </conditionalFormatting>
  <conditionalFormatting sqref="N65">
    <cfRule type="expression" priority="1024" stopIfTrue="1">
      <formula>$Q65="删除"</formula>
    </cfRule>
  </conditionalFormatting>
  <conditionalFormatting sqref="H63 J63 I63:I66 K63:K66 M63:M68">
    <cfRule type="expression" priority="1047" stopIfTrue="1">
      <formula>$Q63="删除"</formula>
    </cfRule>
  </conditionalFormatting>
  <conditionalFormatting sqref="H64 J64">
    <cfRule type="expression" priority="1045" stopIfTrue="1">
      <formula>$Q64="删除"</formula>
    </cfRule>
  </conditionalFormatting>
  <conditionalFormatting sqref="N68">
    <cfRule type="expression" priority="1027" stopIfTrue="1">
      <formula>$Q68="删除"</formula>
    </cfRule>
  </conditionalFormatting>
  <conditionalFormatting sqref="H65:H68 J65:J68">
    <cfRule type="expression" priority="1043" stopIfTrue="1">
      <formula>$Q65="删除"</formula>
    </cfRule>
  </conditionalFormatting>
  <conditionalFormatting sqref="N64">
    <cfRule type="expression" priority="1023" stopIfTrue="1">
      <formula>$Q64="删除"</formula>
    </cfRule>
  </conditionalFormatting>
  <conditionalFormatting sqref="N63">
    <cfRule type="expression" priority="1022" stopIfTrue="1">
      <formula>$Q63="删除"</formula>
    </cfRule>
  </conditionalFormatting>
  <conditionalFormatting sqref="N67">
    <cfRule type="expression" priority="1026" stopIfTrue="1">
      <formula>$Q67="删除"</formula>
    </cfRule>
  </conditionalFormatting>
  <conditionalFormatting sqref="N66">
    <cfRule type="expression" priority="1025" stopIfTrue="1">
      <formula>$Q66="删除"</formula>
    </cfRule>
  </conditionalFormatting>
  <conditionalFormatting sqref="M61 H61:K61">
    <cfRule type="expression" priority="1014" stopIfTrue="1">
      <formula>$Q61="删除"</formula>
    </cfRule>
  </conditionalFormatting>
  <conditionalFormatting sqref="L61">
    <cfRule type="expression" priority="1012" stopIfTrue="1">
      <formula>$Q61="删除"</formula>
    </cfRule>
  </conditionalFormatting>
  <conditionalFormatting sqref="N61">
    <cfRule type="expression" priority="1011" stopIfTrue="1">
      <formula>$Q61="删除"</formula>
    </cfRule>
  </conditionalFormatting>
  <conditionalFormatting sqref="M62 H62:K62">
    <cfRule type="expression" priority="1010" stopIfTrue="1">
      <formula>$Q62="删除"</formula>
    </cfRule>
  </conditionalFormatting>
  <conditionalFormatting sqref="L62:L63">
    <cfRule type="expression" priority="1008" stopIfTrue="1">
      <formula>$Q62="删除"</formula>
    </cfRule>
  </conditionalFormatting>
  <conditionalFormatting sqref="H76 K76">
    <cfRule type="expression" priority="1006" stopIfTrue="1">
      <formula>$Q76="删除"</formula>
    </cfRule>
  </conditionalFormatting>
  <conditionalFormatting sqref="H89:J89">
    <cfRule type="expression" priority="954" stopIfTrue="1">
      <formula>$Q89="删除"</formula>
    </cfRule>
  </conditionalFormatting>
  <conditionalFormatting sqref="I76:J76 N76">
    <cfRule type="expression" priority="1005" stopIfTrue="1">
      <formula>$Q76="删除"</formula>
    </cfRule>
  </conditionalFormatting>
  <conditionalFormatting sqref="M76">
    <cfRule type="expression" priority="1003" stopIfTrue="1">
      <formula>$Q76="删除"</formula>
    </cfRule>
  </conditionalFormatting>
  <conditionalFormatting sqref="L76">
    <cfRule type="expression" priority="1002" stopIfTrue="1">
      <formula>$Q76="删除"</formula>
    </cfRule>
  </conditionalFormatting>
  <conditionalFormatting sqref="K53">
    <cfRule type="expression" priority="1001" stopIfTrue="1">
      <formula>$Q53="删除"</formula>
    </cfRule>
  </conditionalFormatting>
  <conditionalFormatting sqref="H53:I53">
    <cfRule type="expression" priority="1000" stopIfTrue="1">
      <formula>$Q53="删除"</formula>
    </cfRule>
  </conditionalFormatting>
  <conditionalFormatting sqref="N62">
    <cfRule type="expression" priority="995" stopIfTrue="1">
      <formula>$Q62="删除"</formula>
    </cfRule>
  </conditionalFormatting>
  <conditionalFormatting sqref="M95">
    <cfRule type="expression" priority="959" stopIfTrue="1">
      <formula>$Q95="删除"</formula>
    </cfRule>
  </conditionalFormatting>
  <conditionalFormatting sqref="H98:I101 L98:L101 I102">
    <cfRule type="expression" priority="947" stopIfTrue="1">
      <formula>$Q98="删除"</formula>
    </cfRule>
  </conditionalFormatting>
  <conditionalFormatting sqref="K87:K90">
    <cfRule type="expression" priority="989" stopIfTrue="1">
      <formula>$Q87="删除"</formula>
    </cfRule>
  </conditionalFormatting>
  <conditionalFormatting sqref="H93:J93 L93:M93 J94 L94">
    <cfRule type="expression" priority="984" stopIfTrue="1">
      <formula>$Q93="删除"</formula>
    </cfRule>
  </conditionalFormatting>
  <conditionalFormatting sqref="K93">
    <cfRule type="expression" priority="980" stopIfTrue="1">
      <formula>$Q93="删除"</formula>
    </cfRule>
  </conditionalFormatting>
  <conditionalFormatting sqref="N93:N94">
    <cfRule type="expression" priority="978" stopIfTrue="1">
      <formula>$Q93="删除"</formula>
    </cfRule>
  </conditionalFormatting>
  <conditionalFormatting sqref="H94:I94">
    <cfRule type="expression" priority="977" stopIfTrue="1">
      <formula>$Q94="删除"</formula>
    </cfRule>
  </conditionalFormatting>
  <conditionalFormatting sqref="K94">
    <cfRule type="expression" priority="973" stopIfTrue="1">
      <formula>$Q94="删除"</formula>
    </cfRule>
  </conditionalFormatting>
  <conditionalFormatting sqref="N96:N102">
    <cfRule type="expression" priority="945" stopIfTrue="1">
      <formula>$Q96="删除"</formula>
    </cfRule>
  </conditionalFormatting>
  <conditionalFormatting sqref="M94">
    <cfRule type="expression" priority="969" stopIfTrue="1">
      <formula>$Q94="删除"</formula>
    </cfRule>
  </conditionalFormatting>
  <conditionalFormatting sqref="J95 L95">
    <cfRule type="expression" priority="968" stopIfTrue="1">
      <formula>$Q95="删除"</formula>
    </cfRule>
  </conditionalFormatting>
  <conditionalFormatting sqref="N95">
    <cfRule type="expression" priority="967" stopIfTrue="1">
      <formula>$Q95="删除"</formula>
    </cfRule>
  </conditionalFormatting>
  <conditionalFormatting sqref="H95:I95">
    <cfRule type="expression" priority="966" stopIfTrue="1">
      <formula>$Q95="删除"</formula>
    </cfRule>
  </conditionalFormatting>
  <conditionalFormatting sqref="J97:J102">
    <cfRule type="expression" priority="943" stopIfTrue="1">
      <formula>$Q97="删除"</formula>
    </cfRule>
  </conditionalFormatting>
  <conditionalFormatting sqref="H87:J87 M89:N89 M87">
    <cfRule type="expression" priority="957" stopIfTrue="1">
      <formula>$Q87="删除"</formula>
    </cfRule>
  </conditionalFormatting>
  <conditionalFormatting sqref="H96:J96 L96:M96 M97:M101">
    <cfRule type="expression" priority="951" stopIfTrue="1">
      <formula>$Q96="删除"</formula>
    </cfRule>
  </conditionalFormatting>
  <conditionalFormatting sqref="H97:I97 L97">
    <cfRule type="expression" priority="949" stopIfTrue="1">
      <formula>$Q97="删除"</formula>
    </cfRule>
  </conditionalFormatting>
  <conditionalFormatting sqref="K91">
    <cfRule type="expression" priority="938" stopIfTrue="1">
      <formula>$Q91="删除"</formula>
    </cfRule>
  </conditionalFormatting>
  <conditionalFormatting sqref="M91:N91">
    <cfRule type="expression" priority="936" stopIfTrue="1">
      <formula>$Q91="删除"</formula>
    </cfRule>
  </conditionalFormatting>
  <conditionalFormatting sqref="H88:J88">
    <cfRule type="expression" priority="940" stopIfTrue="1">
      <formula>$Q88="删除"</formula>
    </cfRule>
  </conditionalFormatting>
  <conditionalFormatting sqref="M88:N88">
    <cfRule type="expression" priority="942" stopIfTrue="1">
      <formula>$Q88="删除"</formula>
    </cfRule>
  </conditionalFormatting>
  <conditionalFormatting sqref="H91:J91">
    <cfRule type="expression" priority="935" stopIfTrue="1">
      <formula>$Q91="删除"</formula>
    </cfRule>
  </conditionalFormatting>
  <conditionalFormatting sqref="M104:M105">
    <cfRule type="expression" priority="933" stopIfTrue="1">
      <formula>$Q104="删除"</formula>
    </cfRule>
  </conditionalFormatting>
  <conditionalFormatting sqref="H104:I104">
    <cfRule type="expression" priority="932" stopIfTrue="1">
      <formula>$Q104="删除"</formula>
    </cfRule>
  </conditionalFormatting>
  <conditionalFormatting sqref="H105:I105">
    <cfRule type="expression" priority="930" stopIfTrue="1">
      <formula>$Q105="删除"</formula>
    </cfRule>
  </conditionalFormatting>
  <conditionalFormatting sqref="J105">
    <cfRule type="expression" priority="928" stopIfTrue="1">
      <formula>$Q105="删除"</formula>
    </cfRule>
  </conditionalFormatting>
  <conditionalFormatting sqref="L103:L105">
    <cfRule type="expression" priority="927" stopIfTrue="1">
      <formula>$Q103="删除"</formula>
    </cfRule>
  </conditionalFormatting>
  <conditionalFormatting sqref="J104">
    <cfRule type="expression" priority="926" stopIfTrue="1">
      <formula>$Q104="删除"</formula>
    </cfRule>
  </conditionalFormatting>
  <conditionalFormatting sqref="M103">
    <cfRule type="expression" priority="925" stopIfTrue="1">
      <formula>$Q103="删除"</formula>
    </cfRule>
  </conditionalFormatting>
  <conditionalFormatting sqref="H103:I103">
    <cfRule type="expression" priority="924" stopIfTrue="1">
      <formula>$Q103="删除"</formula>
    </cfRule>
  </conditionalFormatting>
  <conditionalFormatting sqref="J103">
    <cfRule type="expression" priority="922" stopIfTrue="1">
      <formula>$Q103="删除"</formula>
    </cfRule>
  </conditionalFormatting>
  <conditionalFormatting sqref="N103:N105">
    <cfRule type="expression" priority="921" stopIfTrue="1">
      <formula>$Q103="删除"</formula>
    </cfRule>
  </conditionalFormatting>
  <conditionalFormatting sqref="J53">
    <cfRule type="expression" priority="916" stopIfTrue="1">
      <formula>$Q53="删除"</formula>
    </cfRule>
  </conditionalFormatting>
  <conditionalFormatting sqref="J14:J18">
    <cfRule type="expression" priority="915" stopIfTrue="1">
      <formula>$Q14="删除"</formula>
    </cfRule>
  </conditionalFormatting>
  <conditionalFormatting sqref="J19">
    <cfRule type="expression" priority="914" stopIfTrue="1">
      <formula>$Q19="删除"</formula>
    </cfRule>
  </conditionalFormatting>
  <conditionalFormatting sqref="J20">
    <cfRule type="expression" priority="913" stopIfTrue="1">
      <formula>$Q20="删除"</formula>
    </cfRule>
  </conditionalFormatting>
  <conditionalFormatting sqref="J45">
    <cfRule type="expression" priority="911" stopIfTrue="1">
      <formula>$Q45="删除"</formula>
    </cfRule>
  </conditionalFormatting>
  <conditionalFormatting sqref="J83">
    <cfRule type="expression" priority="908" stopIfTrue="1">
      <formula>$Q83="删除"</formula>
    </cfRule>
  </conditionalFormatting>
  <conditionalFormatting sqref="J85">
    <cfRule type="expression" priority="907" stopIfTrue="1">
      <formula>$Q85="删除"</formula>
    </cfRule>
  </conditionalFormatting>
  <conditionalFormatting sqref="J86">
    <cfRule type="expression" priority="906" stopIfTrue="1">
      <formula>$Q86="删除"</formula>
    </cfRule>
  </conditionalFormatting>
  <conditionalFormatting sqref="H37:L37">
    <cfRule type="expression" priority="905" stopIfTrue="1">
      <formula>$Q37="删除"</formula>
    </cfRule>
  </conditionalFormatting>
  <conditionalFormatting sqref="M106">
    <cfRule type="expression" priority="903" stopIfTrue="1">
      <formula>$Q106="删除"</formula>
    </cfRule>
  </conditionalFormatting>
  <conditionalFormatting sqref="H106:I106">
    <cfRule type="expression" priority="902" stopIfTrue="1">
      <formula>$Q106="删除"</formula>
    </cfRule>
  </conditionalFormatting>
  <conditionalFormatting sqref="J106">
    <cfRule type="expression" priority="900" stopIfTrue="1">
      <formula>$Q106="删除"</formula>
    </cfRule>
  </conditionalFormatting>
  <conditionalFormatting sqref="L106">
    <cfRule type="expression" priority="899" stopIfTrue="1">
      <formula>$Q106="删除"</formula>
    </cfRule>
  </conditionalFormatting>
  <conditionalFormatting sqref="H121:J122 L121:N122">
    <cfRule type="expression" priority="863" stopIfTrue="1">
      <formula>$Q121="删除"</formula>
    </cfRule>
  </conditionalFormatting>
  <conditionalFormatting sqref="M112:N112 M113">
    <cfRule type="expression" priority="862" stopIfTrue="1">
      <formula>$Q112="删除"</formula>
    </cfRule>
  </conditionalFormatting>
  <conditionalFormatting sqref="H112:I112 L112">
    <cfRule type="expression" priority="861" stopIfTrue="1">
      <formula>$Q112="删除"</formula>
    </cfRule>
  </conditionalFormatting>
  <conditionalFormatting sqref="J112">
    <cfRule type="expression" priority="859" stopIfTrue="1">
      <formula>$Q112="删除"</formula>
    </cfRule>
  </conditionalFormatting>
  <conditionalFormatting sqref="M123">
    <cfRule type="expression" priority="856" stopIfTrue="1">
      <formula>$Q123="删除"</formula>
    </cfRule>
  </conditionalFormatting>
  <conditionalFormatting sqref="H123:I123">
    <cfRule type="expression" priority="855" stopIfTrue="1">
      <formula>$Q123="删除"</formula>
    </cfRule>
  </conditionalFormatting>
  <conditionalFormatting sqref="J123">
    <cfRule type="expression" priority="853" stopIfTrue="1">
      <formula>$Q123="删除"</formula>
    </cfRule>
  </conditionalFormatting>
  <conditionalFormatting sqref="L123">
    <cfRule type="expression" priority="852" stopIfTrue="1">
      <formula>$Q123="删除"</formula>
    </cfRule>
  </conditionalFormatting>
  <conditionalFormatting sqref="N123">
    <cfRule type="expression" priority="851" stopIfTrue="1">
      <formula>$Q123="删除"</formula>
    </cfRule>
  </conditionalFormatting>
  <conditionalFormatting sqref="M124">
    <cfRule type="expression" priority="850" stopIfTrue="1">
      <formula>$Q124="删除"</formula>
    </cfRule>
  </conditionalFormatting>
  <conditionalFormatting sqref="H124:I124">
    <cfRule type="expression" priority="849" stopIfTrue="1">
      <formula>$Q124="删除"</formula>
    </cfRule>
  </conditionalFormatting>
  <conditionalFormatting sqref="L124">
    <cfRule type="expression" priority="847" stopIfTrue="1">
      <formula>$Q124="删除"</formula>
    </cfRule>
  </conditionalFormatting>
  <conditionalFormatting sqref="N124">
    <cfRule type="expression" priority="846" stopIfTrue="1">
      <formula>$Q124="删除"</formula>
    </cfRule>
  </conditionalFormatting>
  <conditionalFormatting sqref="M125:M126">
    <cfRule type="expression" priority="845" stopIfTrue="1">
      <formula>$Q125="删除"</formula>
    </cfRule>
  </conditionalFormatting>
  <conditionalFormatting sqref="N125:N126">
    <cfRule type="expression" priority="840" stopIfTrue="1">
      <formula>$Q125="删除"</formula>
    </cfRule>
  </conditionalFormatting>
  <conditionalFormatting sqref="H125:I125">
    <cfRule type="expression" priority="844" stopIfTrue="1">
      <formula>$Q125="删除"</formula>
    </cfRule>
  </conditionalFormatting>
  <conditionalFormatting sqref="J125">
    <cfRule type="expression" priority="842" stopIfTrue="1">
      <formula>$Q125="删除"</formula>
    </cfRule>
  </conditionalFormatting>
  <conditionalFormatting sqref="L125:L126">
    <cfRule type="expression" priority="841" stopIfTrue="1">
      <formula>$Q125="删除"</formula>
    </cfRule>
  </conditionalFormatting>
  <conditionalFormatting sqref="H126:I126">
    <cfRule type="expression" priority="838" stopIfTrue="1">
      <formula>$Q126="删除"</formula>
    </cfRule>
  </conditionalFormatting>
  <conditionalFormatting sqref="J126">
    <cfRule type="expression" priority="836" stopIfTrue="1">
      <formula>$Q126="删除"</formula>
    </cfRule>
  </conditionalFormatting>
  <conditionalFormatting sqref="M127">
    <cfRule type="expression" priority="834" stopIfTrue="1">
      <formula>$Q127="删除"</formula>
    </cfRule>
  </conditionalFormatting>
  <conditionalFormatting sqref="N127">
    <cfRule type="expression" priority="832" stopIfTrue="1">
      <formula>$Q127="删除"</formula>
    </cfRule>
  </conditionalFormatting>
  <conditionalFormatting sqref="L127">
    <cfRule type="expression" priority="833" stopIfTrue="1">
      <formula>$Q127="删除"</formula>
    </cfRule>
  </conditionalFormatting>
  <conditionalFormatting sqref="H127:I127">
    <cfRule type="expression" priority="830" stopIfTrue="1">
      <formula>$Q127="删除"</formula>
    </cfRule>
  </conditionalFormatting>
  <conditionalFormatting sqref="J127">
    <cfRule type="expression" priority="828" stopIfTrue="1">
      <formula>$Q127="删除"</formula>
    </cfRule>
  </conditionalFormatting>
  <conditionalFormatting sqref="M128">
    <cfRule type="expression" priority="826" stopIfTrue="1">
      <formula>$Q128="删除"</formula>
    </cfRule>
  </conditionalFormatting>
  <conditionalFormatting sqref="N128">
    <cfRule type="expression" priority="824" stopIfTrue="1">
      <formula>$Q128="删除"</formula>
    </cfRule>
  </conditionalFormatting>
  <conditionalFormatting sqref="L128">
    <cfRule type="expression" priority="825" stopIfTrue="1">
      <formula>$Q128="删除"</formula>
    </cfRule>
  </conditionalFormatting>
  <conditionalFormatting sqref="H128:I128">
    <cfRule type="expression" priority="822" stopIfTrue="1">
      <formula>$Q128="删除"</formula>
    </cfRule>
  </conditionalFormatting>
  <conditionalFormatting sqref="J128">
    <cfRule type="expression" priority="820" stopIfTrue="1">
      <formula>$Q128="删除"</formula>
    </cfRule>
  </conditionalFormatting>
  <conditionalFormatting sqref="H114:I114">
    <cfRule type="expression" priority="813" stopIfTrue="1">
      <formula>$Q114="删除"</formula>
    </cfRule>
  </conditionalFormatting>
  <conditionalFormatting sqref="H113:I113 L113:L115">
    <cfRule type="expression" priority="818" stopIfTrue="1">
      <formula>$Q113="删除"</formula>
    </cfRule>
  </conditionalFormatting>
  <conditionalFormatting sqref="J113:J115 J117">
    <cfRule type="expression" priority="816" stopIfTrue="1">
      <formula>$Q113="删除"</formula>
    </cfRule>
  </conditionalFormatting>
  <conditionalFormatting sqref="M114">
    <cfRule type="expression" priority="815" stopIfTrue="1">
      <formula>$Q114="删除"</formula>
    </cfRule>
  </conditionalFormatting>
  <conditionalFormatting sqref="N113:N115 N117">
    <cfRule type="expression" priority="805" stopIfTrue="1">
      <formula>$Q113="删除"</formula>
    </cfRule>
  </conditionalFormatting>
  <conditionalFormatting sqref="M115:M117">
    <cfRule type="expression" priority="811" stopIfTrue="1">
      <formula>$Q115="删除"</formula>
    </cfRule>
  </conditionalFormatting>
  <conditionalFormatting sqref="H115:I117 L117">
    <cfRule type="expression" priority="809" stopIfTrue="1">
      <formula>$Q115="删除"</formula>
    </cfRule>
  </conditionalFormatting>
  <conditionalFormatting sqref="M129">
    <cfRule type="expression" priority="803" stopIfTrue="1">
      <formula>$Q129="删除"</formula>
    </cfRule>
  </conditionalFormatting>
  <conditionalFormatting sqref="N129">
    <cfRule type="expression" priority="801" stopIfTrue="1">
      <formula>$Q129="删除"</formula>
    </cfRule>
  </conditionalFormatting>
  <conditionalFormatting sqref="L129">
    <cfRule type="expression" priority="802" stopIfTrue="1">
      <formula>$Q129="删除"</formula>
    </cfRule>
  </conditionalFormatting>
  <conditionalFormatting sqref="H129:I129">
    <cfRule type="expression" priority="799" stopIfTrue="1">
      <formula>$Q129="删除"</formula>
    </cfRule>
  </conditionalFormatting>
  <conditionalFormatting sqref="J129">
    <cfRule type="expression" priority="797" stopIfTrue="1">
      <formula>$Q129="删除"</formula>
    </cfRule>
  </conditionalFormatting>
  <conditionalFormatting sqref="J124">
    <cfRule type="expression" priority="788" stopIfTrue="1">
      <formula>$Q124="删除"</formula>
    </cfRule>
  </conditionalFormatting>
  <conditionalFormatting sqref="K112:K117">
    <cfRule type="expression" priority="787" stopIfTrue="1">
      <formula>$Q112="删除"</formula>
    </cfRule>
  </conditionalFormatting>
  <conditionalFormatting sqref="J119:J120">
    <cfRule type="expression" priority="781" stopIfTrue="1">
      <formula>$Q119="删除"</formula>
    </cfRule>
  </conditionalFormatting>
  <conditionalFormatting sqref="N119:N120">
    <cfRule type="expression" priority="775" stopIfTrue="1">
      <formula>$Q119="删除"</formula>
    </cfRule>
  </conditionalFormatting>
  <conditionalFormatting sqref="M119:M120">
    <cfRule type="expression" priority="780" stopIfTrue="1">
      <formula>$Q119="删除"</formula>
    </cfRule>
  </conditionalFormatting>
  <conditionalFormatting sqref="H119:I120 L119:L120">
    <cfRule type="expression" priority="779" stopIfTrue="1">
      <formula>$Q119="删除"</formula>
    </cfRule>
  </conditionalFormatting>
  <conditionalFormatting sqref="K119:K120">
    <cfRule type="expression" priority="774" stopIfTrue="1">
      <formula>$Q119="删除"</formula>
    </cfRule>
  </conditionalFormatting>
  <conditionalFormatting sqref="J118">
    <cfRule type="expression" priority="768" stopIfTrue="1">
      <formula>$Q118="删除"</formula>
    </cfRule>
  </conditionalFormatting>
  <conditionalFormatting sqref="N118">
    <cfRule type="expression" priority="762" stopIfTrue="1">
      <formula>$Q118="删除"</formula>
    </cfRule>
  </conditionalFormatting>
  <conditionalFormatting sqref="M118">
    <cfRule type="expression" priority="767" stopIfTrue="1">
      <formula>$Q118="删除"</formula>
    </cfRule>
  </conditionalFormatting>
  <conditionalFormatting sqref="H118:I118 L118">
    <cfRule type="expression" priority="766" stopIfTrue="1">
      <formula>$Q118="删除"</formula>
    </cfRule>
  </conditionalFormatting>
  <conditionalFormatting sqref="K118">
    <cfRule type="expression" priority="761" stopIfTrue="1">
      <formula>$Q118="删除"</formula>
    </cfRule>
  </conditionalFormatting>
  <conditionalFormatting sqref="N120">
    <cfRule type="expression" priority="759" stopIfTrue="1">
      <formula>$Q120="删除"</formula>
    </cfRule>
  </conditionalFormatting>
  <conditionalFormatting sqref="H107:M107">
    <cfRule type="expression" priority="757" stopIfTrue="1">
      <formula>$Q107="删除"</formula>
    </cfRule>
  </conditionalFormatting>
  <conditionalFormatting sqref="K194">
    <cfRule type="expression" priority="747" stopIfTrue="1">
      <formula>$Q194="删除"</formula>
    </cfRule>
  </conditionalFormatting>
  <conditionalFormatting sqref="H194:J194 L194:N194">
    <cfRule type="expression" priority="746" stopIfTrue="1">
      <formula>$Q194="删除"</formula>
    </cfRule>
  </conditionalFormatting>
  <conditionalFormatting sqref="K191">
    <cfRule type="expression" priority="744" stopIfTrue="1">
      <formula>$Q191="删除"</formula>
    </cfRule>
  </conditionalFormatting>
  <conditionalFormatting sqref="H191:J191 L191:M192 J192">
    <cfRule type="expression" priority="743" stopIfTrue="1">
      <formula>$Q191="删除"</formula>
    </cfRule>
  </conditionalFormatting>
  <conditionalFormatting sqref="H135:I135 L135:N135">
    <cfRule type="expression" priority="741" stopIfTrue="1">
      <formula>$Q135="删除"</formula>
    </cfRule>
  </conditionalFormatting>
  <conditionalFormatting sqref="J135">
    <cfRule type="expression" priority="739" stopIfTrue="1">
      <formula>$Q135="删除"</formula>
    </cfRule>
  </conditionalFormatting>
  <conditionalFormatting sqref="J136">
    <cfRule type="expression" priority="738" stopIfTrue="1">
      <formula>$Q136="删除"</formula>
    </cfRule>
  </conditionalFormatting>
  <conditionalFormatting sqref="J137:J138">
    <cfRule type="expression" priority="737" stopIfTrue="1">
      <formula>$Q137="删除"</formula>
    </cfRule>
  </conditionalFormatting>
  <conditionalFormatting sqref="N136">
    <cfRule type="expression" priority="736" stopIfTrue="1">
      <formula>$Q136="删除"</formula>
    </cfRule>
  </conditionalFormatting>
  <conditionalFormatting sqref="N137">
    <cfRule type="expression" priority="735" stopIfTrue="1">
      <formula>$Q137="删除"</formula>
    </cfRule>
  </conditionalFormatting>
  <conditionalFormatting sqref="N138">
    <cfRule type="expression" priority="734" stopIfTrue="1">
      <formula>$Q138="删除"</formula>
    </cfRule>
  </conditionalFormatting>
  <conditionalFormatting sqref="M139">
    <cfRule type="expression" priority="733" stopIfTrue="1">
      <formula>$Q139="删除"</formula>
    </cfRule>
  </conditionalFormatting>
  <conditionalFormatting sqref="H139:I139">
    <cfRule type="expression" priority="732" stopIfTrue="1">
      <formula>$Q139="删除"</formula>
    </cfRule>
  </conditionalFormatting>
  <conditionalFormatting sqref="L139">
    <cfRule type="expression" priority="730" stopIfTrue="1">
      <formula>$Q139="删除"</formula>
    </cfRule>
  </conditionalFormatting>
  <conditionalFormatting sqref="J139">
    <cfRule type="expression" priority="729" stopIfTrue="1">
      <formula>$Q139="删除"</formula>
    </cfRule>
  </conditionalFormatting>
  <conditionalFormatting sqref="N139:N141">
    <cfRule type="expression" priority="728" stopIfTrue="1">
      <formula>$Q139="删除"</formula>
    </cfRule>
  </conditionalFormatting>
  <conditionalFormatting sqref="H140:I140">
    <cfRule type="expression" priority="724" stopIfTrue="1">
      <formula>$Q140="删除"</formula>
    </cfRule>
  </conditionalFormatting>
  <conditionalFormatting sqref="L140">
    <cfRule type="expression" priority="722" stopIfTrue="1">
      <formula>$Q140="删除"</formula>
    </cfRule>
  </conditionalFormatting>
  <conditionalFormatting sqref="J140">
    <cfRule type="expression" priority="721" stopIfTrue="1">
      <formula>$Q140="删除"</formula>
    </cfRule>
  </conditionalFormatting>
  <conditionalFormatting sqref="K131:K133 K135:K144">
    <cfRule type="expression" priority="720" stopIfTrue="1">
      <formula>$Q131="删除"</formula>
    </cfRule>
  </conditionalFormatting>
  <conditionalFormatting sqref="H149:I149">
    <cfRule type="expression" priority="661" stopIfTrue="1">
      <formula>$Q149="删除"</formula>
    </cfRule>
  </conditionalFormatting>
  <conditionalFormatting sqref="H141:I141">
    <cfRule type="expression" priority="717" stopIfTrue="1">
      <formula>$Q141="删除"</formula>
    </cfRule>
  </conditionalFormatting>
  <conditionalFormatting sqref="L141">
    <cfRule type="expression" priority="715" stopIfTrue="1">
      <formula>$Q141="删除"</formula>
    </cfRule>
  </conditionalFormatting>
  <conditionalFormatting sqref="J141">
    <cfRule type="expression" priority="714" stopIfTrue="1">
      <formula>$Q141="删除"</formula>
    </cfRule>
  </conditionalFormatting>
  <conditionalFormatting sqref="M140">
    <cfRule type="expression" priority="713" stopIfTrue="1">
      <formula>$Q140="删除"</formula>
    </cfRule>
  </conditionalFormatting>
  <conditionalFormatting sqref="M141">
    <cfRule type="expression" priority="712" stopIfTrue="1">
      <formula>$Q141="删除"</formula>
    </cfRule>
  </conditionalFormatting>
  <conditionalFormatting sqref="M142">
    <cfRule type="expression" priority="711" stopIfTrue="1">
      <formula>$Q142="删除"</formula>
    </cfRule>
  </conditionalFormatting>
  <conditionalFormatting sqref="H142:J142 L142">
    <cfRule type="expression" priority="710" stopIfTrue="1">
      <formula>$Q142="删除"</formula>
    </cfRule>
  </conditionalFormatting>
  <conditionalFormatting sqref="H143:J143 L143:N143">
    <cfRule type="expression" priority="708" stopIfTrue="1">
      <formula>$Q143="删除"</formula>
    </cfRule>
  </conditionalFormatting>
  <conditionalFormatting sqref="H144:I144 L144">
    <cfRule type="expression" priority="686" stopIfTrue="1">
      <formula>$Q144="删除"</formula>
    </cfRule>
  </conditionalFormatting>
  <conditionalFormatting sqref="N144">
    <cfRule type="expression" priority="684" stopIfTrue="1">
      <formula>$Q144="删除"</formula>
    </cfRule>
  </conditionalFormatting>
  <conditionalFormatting sqref="J144">
    <cfRule type="expression" priority="683" stopIfTrue="1">
      <formula>$Q144="删除"</formula>
    </cfRule>
  </conditionalFormatting>
  <conditionalFormatting sqref="M144">
    <cfRule type="expression" priority="687" stopIfTrue="1">
      <formula>$Q144="删除"</formula>
    </cfRule>
  </conditionalFormatting>
  <conditionalFormatting sqref="H145:J146 L145:N146 K145:K154">
    <cfRule type="expression" priority="676" stopIfTrue="1">
      <formula>$Q145="删除"</formula>
    </cfRule>
  </conditionalFormatting>
  <conditionalFormatting sqref="M147">
    <cfRule type="expression" priority="673" stopIfTrue="1">
      <formula>$Q147="删除"</formula>
    </cfRule>
  </conditionalFormatting>
  <conditionalFormatting sqref="H147:I147">
    <cfRule type="expression" priority="672" stopIfTrue="1">
      <formula>$Q147="删除"</formula>
    </cfRule>
  </conditionalFormatting>
  <conditionalFormatting sqref="J147">
    <cfRule type="expression" priority="670" stopIfTrue="1">
      <formula>$Q147="删除"</formula>
    </cfRule>
  </conditionalFormatting>
  <conditionalFormatting sqref="L147">
    <cfRule type="expression" priority="669" stopIfTrue="1">
      <formula>$Q147="删除"</formula>
    </cfRule>
  </conditionalFormatting>
  <conditionalFormatting sqref="N147">
    <cfRule type="expression" priority="668" stopIfTrue="1">
      <formula>$Q147="删除"</formula>
    </cfRule>
  </conditionalFormatting>
  <conditionalFormatting sqref="M148">
    <cfRule type="expression" priority="667" stopIfTrue="1">
      <formula>$Q148="删除"</formula>
    </cfRule>
  </conditionalFormatting>
  <conditionalFormatting sqref="H148:I148">
    <cfRule type="expression" priority="666" stopIfTrue="1">
      <formula>$Q148="删除"</formula>
    </cfRule>
  </conditionalFormatting>
  <conditionalFormatting sqref="L148">
    <cfRule type="expression" priority="664" stopIfTrue="1">
      <formula>$Q148="删除"</formula>
    </cfRule>
  </conditionalFormatting>
  <conditionalFormatting sqref="N148">
    <cfRule type="expression" priority="663" stopIfTrue="1">
      <formula>$Q148="删除"</formula>
    </cfRule>
  </conditionalFormatting>
  <conditionalFormatting sqref="M149:M150">
    <cfRule type="expression" priority="662" stopIfTrue="1">
      <formula>$Q149="删除"</formula>
    </cfRule>
  </conditionalFormatting>
  <conditionalFormatting sqref="N149:N150">
    <cfRule type="expression" priority="657" stopIfTrue="1">
      <formula>$Q149="删除"</formula>
    </cfRule>
  </conditionalFormatting>
  <conditionalFormatting sqref="J149">
    <cfRule type="expression" priority="659" stopIfTrue="1">
      <formula>$Q149="删除"</formula>
    </cfRule>
  </conditionalFormatting>
  <conditionalFormatting sqref="L149:L150">
    <cfRule type="expression" priority="658" stopIfTrue="1">
      <formula>$Q149="删除"</formula>
    </cfRule>
  </conditionalFormatting>
  <conditionalFormatting sqref="H150:I150">
    <cfRule type="expression" priority="655" stopIfTrue="1">
      <formula>$Q150="删除"</formula>
    </cfRule>
  </conditionalFormatting>
  <conditionalFormatting sqref="J150">
    <cfRule type="expression" priority="653" stopIfTrue="1">
      <formula>$Q150="删除"</formula>
    </cfRule>
  </conditionalFormatting>
  <conditionalFormatting sqref="M151">
    <cfRule type="expression" priority="651" stopIfTrue="1">
      <formula>$Q151="删除"</formula>
    </cfRule>
  </conditionalFormatting>
  <conditionalFormatting sqref="N151">
    <cfRule type="expression" priority="649" stopIfTrue="1">
      <formula>$Q151="删除"</formula>
    </cfRule>
  </conditionalFormatting>
  <conditionalFormatting sqref="L151">
    <cfRule type="expression" priority="650" stopIfTrue="1">
      <formula>$Q151="删除"</formula>
    </cfRule>
  </conditionalFormatting>
  <conditionalFormatting sqref="H151:I151">
    <cfRule type="expression" priority="647" stopIfTrue="1">
      <formula>$Q151="删除"</formula>
    </cfRule>
  </conditionalFormatting>
  <conditionalFormatting sqref="J151">
    <cfRule type="expression" priority="645" stopIfTrue="1">
      <formula>$Q151="删除"</formula>
    </cfRule>
  </conditionalFormatting>
  <conditionalFormatting sqref="M152">
    <cfRule type="expression" priority="643" stopIfTrue="1">
      <formula>$Q152="删除"</formula>
    </cfRule>
  </conditionalFormatting>
  <conditionalFormatting sqref="N152">
    <cfRule type="expression" priority="641" stopIfTrue="1">
      <formula>$Q152="删除"</formula>
    </cfRule>
  </conditionalFormatting>
  <conditionalFormatting sqref="L152">
    <cfRule type="expression" priority="642" stopIfTrue="1">
      <formula>$Q152="删除"</formula>
    </cfRule>
  </conditionalFormatting>
  <conditionalFormatting sqref="H152:I152">
    <cfRule type="expression" priority="639" stopIfTrue="1">
      <formula>$Q152="删除"</formula>
    </cfRule>
  </conditionalFormatting>
  <conditionalFormatting sqref="J152">
    <cfRule type="expression" priority="637" stopIfTrue="1">
      <formula>$Q152="删除"</formula>
    </cfRule>
  </conditionalFormatting>
  <conditionalFormatting sqref="M153">
    <cfRule type="expression" priority="635" stopIfTrue="1">
      <formula>$Q153="删除"</formula>
    </cfRule>
  </conditionalFormatting>
  <conditionalFormatting sqref="N153">
    <cfRule type="expression" priority="633" stopIfTrue="1">
      <formula>$Q153="删除"</formula>
    </cfRule>
  </conditionalFormatting>
  <conditionalFormatting sqref="L153">
    <cfRule type="expression" priority="634" stopIfTrue="1">
      <formula>$Q153="删除"</formula>
    </cfRule>
  </conditionalFormatting>
  <conditionalFormatting sqref="H153:I153">
    <cfRule type="expression" priority="631" stopIfTrue="1">
      <formula>$Q153="删除"</formula>
    </cfRule>
  </conditionalFormatting>
  <conditionalFormatting sqref="J153">
    <cfRule type="expression" priority="629" stopIfTrue="1">
      <formula>$Q153="删除"</formula>
    </cfRule>
  </conditionalFormatting>
  <conditionalFormatting sqref="M154">
    <cfRule type="expression" priority="627" stopIfTrue="1">
      <formula>$Q154="删除"</formula>
    </cfRule>
  </conditionalFormatting>
  <conditionalFormatting sqref="N154">
    <cfRule type="expression" priority="626" stopIfTrue="1">
      <formula>$Q154="删除"</formula>
    </cfRule>
  </conditionalFormatting>
  <conditionalFormatting sqref="J154">
    <cfRule type="expression" priority="622" stopIfTrue="1">
      <formula>$Q154="删除"</formula>
    </cfRule>
  </conditionalFormatting>
  <conditionalFormatting sqref="H154:I154">
    <cfRule type="expression" priority="624" stopIfTrue="1">
      <formula>$Q154="删除"</formula>
    </cfRule>
  </conditionalFormatting>
  <conditionalFormatting sqref="L154">
    <cfRule type="expression" priority="621" stopIfTrue="1">
      <formula>$Q154="删除"</formula>
    </cfRule>
  </conditionalFormatting>
  <conditionalFormatting sqref="J148">
    <cfRule type="expression" priority="620" stopIfTrue="1">
      <formula>$Q148="删除"</formula>
    </cfRule>
  </conditionalFormatting>
  <conditionalFormatting sqref="H158 H180">
    <cfRule type="expression" priority="617" stopIfTrue="1">
      <formula>$Q158="删除"</formula>
    </cfRule>
  </conditionalFormatting>
  <conditionalFormatting sqref="J173 H173 L167:L173">
    <cfRule type="expression" priority="613" stopIfTrue="1">
      <formula>$Q167="删除"</formula>
    </cfRule>
  </conditionalFormatting>
  <conditionalFormatting sqref="H174">
    <cfRule type="expression" priority="611" stopIfTrue="1">
      <formula>$Q174="删除"</formula>
    </cfRule>
  </conditionalFormatting>
  <conditionalFormatting sqref="H175">
    <cfRule type="expression" priority="609" stopIfTrue="1">
      <formula>$Q175="删除"</formula>
    </cfRule>
  </conditionalFormatting>
  <conditionalFormatting sqref="N176 I176:J176 N173">
    <cfRule type="expression" priority="603" stopIfTrue="1">
      <formula>$Q173="删除"</formula>
    </cfRule>
  </conditionalFormatting>
  <conditionalFormatting sqref="I177:J177 N177 N180 I180:J180">
    <cfRule type="expression" priority="601" stopIfTrue="1">
      <formula>$Q177="删除"</formula>
    </cfRule>
  </conditionalFormatting>
  <conditionalFormatting sqref="J175">
    <cfRule type="expression" priority="595" stopIfTrue="1">
      <formula>$Q175="删除"</formula>
    </cfRule>
  </conditionalFormatting>
  <conditionalFormatting sqref="J174">
    <cfRule type="expression" priority="596" stopIfTrue="1">
      <formula>$Q174="删除"</formula>
    </cfRule>
  </conditionalFormatting>
  <conditionalFormatting sqref="N175">
    <cfRule type="expression" priority="581" stopIfTrue="1">
      <formula>$Q175="删除"</formula>
    </cfRule>
  </conditionalFormatting>
  <conditionalFormatting sqref="N174">
    <cfRule type="expression" priority="582" stopIfTrue="1">
      <formula>$Q174="删除"</formula>
    </cfRule>
  </conditionalFormatting>
  <conditionalFormatting sqref="M161 H161 J161 I161:I164">
    <cfRule type="expression" priority="579" stopIfTrue="1">
      <formula>$Q161="删除"</formula>
    </cfRule>
  </conditionalFormatting>
  <conditionalFormatting sqref="M162 H162 J162">
    <cfRule type="expression" priority="577" stopIfTrue="1">
      <formula>$Q162="删除"</formula>
    </cfRule>
  </conditionalFormatting>
  <conditionalFormatting sqref="N164">
    <cfRule type="expression" priority="567" stopIfTrue="1">
      <formula>$Q164="删除"</formula>
    </cfRule>
  </conditionalFormatting>
  <conditionalFormatting sqref="H163:H166 J163:J166 M163:M166">
    <cfRule type="expression" priority="575" stopIfTrue="1">
      <formula>$Q163="删除"</formula>
    </cfRule>
  </conditionalFormatting>
  <conditionalFormatting sqref="L161">
    <cfRule type="expression" priority="571" stopIfTrue="1">
      <formula>$Q161="删除"</formula>
    </cfRule>
  </conditionalFormatting>
  <conditionalFormatting sqref="N161">
    <cfRule type="expression" priority="570" stopIfTrue="1">
      <formula>$Q161="删除"</formula>
    </cfRule>
  </conditionalFormatting>
  <conditionalFormatting sqref="J183">
    <cfRule type="expression" priority="485" stopIfTrue="1">
      <formula>$Q183="删除"</formula>
    </cfRule>
  </conditionalFormatting>
  <conditionalFormatting sqref="N162">
    <cfRule type="expression" priority="569" stopIfTrue="1">
      <formula>$Q162="删除"</formula>
    </cfRule>
  </conditionalFormatting>
  <conditionalFormatting sqref="N163">
    <cfRule type="expression" priority="568" stopIfTrue="1">
      <formula>$Q163="删除"</formula>
    </cfRule>
  </conditionalFormatting>
  <conditionalFormatting sqref="N169">
    <cfRule type="expression" priority="548" stopIfTrue="1">
      <formula>$Q169="删除"</formula>
    </cfRule>
  </conditionalFormatting>
  <conditionalFormatting sqref="L166">
    <cfRule type="expression" priority="562" stopIfTrue="1">
      <formula>$Q166="删除"</formula>
    </cfRule>
  </conditionalFormatting>
  <conditionalFormatting sqref="N166">
    <cfRule type="expression" priority="544" stopIfTrue="1">
      <formula>$Q166="删除"</formula>
    </cfRule>
  </conditionalFormatting>
  <conditionalFormatting sqref="L162">
    <cfRule type="expression" priority="566" stopIfTrue="1">
      <formula>$Q162="删除"</formula>
    </cfRule>
  </conditionalFormatting>
  <conditionalFormatting sqref="L163">
    <cfRule type="expression" priority="565" stopIfTrue="1">
      <formula>$Q163="删除"</formula>
    </cfRule>
  </conditionalFormatting>
  <conditionalFormatting sqref="L164">
    <cfRule type="expression" priority="564" stopIfTrue="1">
      <formula>$Q164="删除"</formula>
    </cfRule>
  </conditionalFormatting>
  <conditionalFormatting sqref="L165">
    <cfRule type="expression" priority="563" stopIfTrue="1">
      <formula>$Q165="删除"</formula>
    </cfRule>
  </conditionalFormatting>
  <conditionalFormatting sqref="H167 J167 I167:I170 M167:M173">
    <cfRule type="expression" priority="560" stopIfTrue="1">
      <formula>$Q167="删除"</formula>
    </cfRule>
  </conditionalFormatting>
  <conditionalFormatting sqref="H168 J168">
    <cfRule type="expression" priority="558" stopIfTrue="1">
      <formula>$Q168="删除"</formula>
    </cfRule>
  </conditionalFormatting>
  <conditionalFormatting sqref="N172">
    <cfRule type="expression" priority="551" stopIfTrue="1">
      <formula>$Q172="删除"</formula>
    </cfRule>
  </conditionalFormatting>
  <conditionalFormatting sqref="H169:H172 J169:J172">
    <cfRule type="expression" priority="556" stopIfTrue="1">
      <formula>$Q169="删除"</formula>
    </cfRule>
  </conditionalFormatting>
  <conditionalFormatting sqref="N168">
    <cfRule type="expression" priority="547" stopIfTrue="1">
      <formula>$Q168="删除"</formula>
    </cfRule>
  </conditionalFormatting>
  <conditionalFormatting sqref="N167">
    <cfRule type="expression" priority="546" stopIfTrue="1">
      <formula>$Q167="删除"</formula>
    </cfRule>
  </conditionalFormatting>
  <conditionalFormatting sqref="N165">
    <cfRule type="expression" priority="545" stopIfTrue="1">
      <formula>$Q165="删除"</formula>
    </cfRule>
  </conditionalFormatting>
  <conditionalFormatting sqref="N171">
    <cfRule type="expression" priority="550" stopIfTrue="1">
      <formula>$Q171="删除"</formula>
    </cfRule>
  </conditionalFormatting>
  <conditionalFormatting sqref="N170">
    <cfRule type="expression" priority="549" stopIfTrue="1">
      <formula>$Q170="删除"</formula>
    </cfRule>
  </conditionalFormatting>
  <conditionalFormatting sqref="M159 H159:I159">
    <cfRule type="expression" priority="543" stopIfTrue="1">
      <formula>$Q159="删除"</formula>
    </cfRule>
  </conditionalFormatting>
  <conditionalFormatting sqref="L159">
    <cfRule type="expression" priority="541" stopIfTrue="1">
      <formula>$Q159="删除"</formula>
    </cfRule>
  </conditionalFormatting>
  <conditionalFormatting sqref="N159">
    <cfRule type="expression" priority="540" stopIfTrue="1">
      <formula>$Q159="删除"</formula>
    </cfRule>
  </conditionalFormatting>
  <conditionalFormatting sqref="M160 H160:J160">
    <cfRule type="expression" priority="539" stopIfTrue="1">
      <formula>$Q160="删除"</formula>
    </cfRule>
  </conditionalFormatting>
  <conditionalFormatting sqref="L160">
    <cfRule type="expression" priority="537" stopIfTrue="1">
      <formula>$Q160="删除"</formula>
    </cfRule>
  </conditionalFormatting>
  <conditionalFormatting sqref="H178">
    <cfRule type="expression" priority="536" stopIfTrue="1">
      <formula>$Q178="删除"</formula>
    </cfRule>
  </conditionalFormatting>
  <conditionalFormatting sqref="I178:J178 N178">
    <cfRule type="expression" priority="535" stopIfTrue="1">
      <formula>$Q178="删除"</formula>
    </cfRule>
  </conditionalFormatting>
  <conditionalFormatting sqref="N160">
    <cfRule type="expression" priority="529" stopIfTrue="1">
      <formula>$Q160="删除"</formula>
    </cfRule>
  </conditionalFormatting>
  <conditionalFormatting sqref="M158 J158">
    <cfRule type="expression" priority="528" stopIfTrue="1">
      <formula>$Q158="删除"</formula>
    </cfRule>
  </conditionalFormatting>
  <conditionalFormatting sqref="L158">
    <cfRule type="expression" priority="527" stopIfTrue="1">
      <formula>$Q158="删除"</formula>
    </cfRule>
  </conditionalFormatting>
  <conditionalFormatting sqref="N158">
    <cfRule type="expression" priority="526" stopIfTrue="1">
      <formula>$Q158="删除"</formula>
    </cfRule>
  </conditionalFormatting>
  <conditionalFormatting sqref="J159">
    <cfRule type="expression" priority="525" stopIfTrue="1">
      <formula>$Q159="删除"</formula>
    </cfRule>
  </conditionalFormatting>
  <conditionalFormatting sqref="J265 H266:J266 K265:N266">
    <cfRule type="expression" priority="520" stopIfTrue="1">
      <formula>$Q279="删除"</formula>
    </cfRule>
  </conditionalFormatting>
  <conditionalFormatting sqref="I265">
    <cfRule type="expression" priority="519" stopIfTrue="1">
      <formula>$Q279="删除"</formula>
    </cfRule>
  </conditionalFormatting>
  <conditionalFormatting sqref="H265">
    <cfRule type="expression" priority="518" stopIfTrue="1">
      <formula>$Q279="删除"</formula>
    </cfRule>
  </conditionalFormatting>
  <conditionalFormatting sqref="L174">
    <cfRule type="expression" priority="513" stopIfTrue="1">
      <formula>$Q174="删除"</formula>
    </cfRule>
  </conditionalFormatting>
  <conditionalFormatting sqref="M174">
    <cfRule type="expression" priority="512" stopIfTrue="1">
      <formula>$Q174="删除"</formula>
    </cfRule>
  </conditionalFormatting>
  <conditionalFormatting sqref="L175">
    <cfRule type="expression" priority="511" stopIfTrue="1">
      <formula>$Q175="删除"</formula>
    </cfRule>
  </conditionalFormatting>
  <conditionalFormatting sqref="M178">
    <cfRule type="expression" priority="503" stopIfTrue="1">
      <formula>$Q178="删除"</formula>
    </cfRule>
  </conditionalFormatting>
  <conditionalFormatting sqref="M175">
    <cfRule type="expression" priority="509" stopIfTrue="1">
      <formula>$Q175="删除"</formula>
    </cfRule>
  </conditionalFormatting>
  <conditionalFormatting sqref="M176">
    <cfRule type="expression" priority="508" stopIfTrue="1">
      <formula>$Q176="删除"</formula>
    </cfRule>
  </conditionalFormatting>
  <conditionalFormatting sqref="L176">
    <cfRule type="expression" priority="507" stopIfTrue="1">
      <formula>$Q176="删除"</formula>
    </cfRule>
  </conditionalFormatting>
  <conditionalFormatting sqref="L177">
    <cfRule type="expression" priority="506" stopIfTrue="1">
      <formula>$Q177="删除"</formula>
    </cfRule>
  </conditionalFormatting>
  <conditionalFormatting sqref="M177">
    <cfRule type="expression" priority="505" stopIfTrue="1">
      <formula>$Q177="删除"</formula>
    </cfRule>
  </conditionalFormatting>
  <conditionalFormatting sqref="L178">
    <cfRule type="expression" priority="504" stopIfTrue="1">
      <formula>$Q178="删除"</formula>
    </cfRule>
  </conditionalFormatting>
  <conditionalFormatting sqref="H181">
    <cfRule type="expression" priority="496" stopIfTrue="1">
      <formula>$Q181="删除"</formula>
    </cfRule>
  </conditionalFormatting>
  <conditionalFormatting sqref="M184:N184 I184">
    <cfRule type="expression" priority="491" stopIfTrue="1">
      <formula>$Q184="删除"</formula>
    </cfRule>
  </conditionalFormatting>
  <conditionalFormatting sqref="M183:N183 I183">
    <cfRule type="expression" priority="493" stopIfTrue="1">
      <formula>$Q183="删除"</formula>
    </cfRule>
  </conditionalFormatting>
  <conditionalFormatting sqref="M181:N181 I181:J181">
    <cfRule type="expression" priority="495" stopIfTrue="1">
      <formula>$Q181="删除"</formula>
    </cfRule>
  </conditionalFormatting>
  <conditionalFormatting sqref="L182:N182 I182 L181:L184">
    <cfRule type="expression" priority="489" stopIfTrue="1">
      <formula>$Q181="删除"</formula>
    </cfRule>
  </conditionalFormatting>
  <conditionalFormatting sqref="H182:H184">
    <cfRule type="expression" priority="487" stopIfTrue="1">
      <formula>$Q182="删除"</formula>
    </cfRule>
  </conditionalFormatting>
  <conditionalFormatting sqref="J182">
    <cfRule type="expression" priority="486" stopIfTrue="1">
      <formula>$Q182="删除"</formula>
    </cfRule>
  </conditionalFormatting>
  <conditionalFormatting sqref="J184">
    <cfRule type="expression" priority="484" stopIfTrue="1">
      <formula>$Q184="删除"</formula>
    </cfRule>
  </conditionalFormatting>
  <conditionalFormatting sqref="K185:K187">
    <cfRule type="expression" priority="483" stopIfTrue="1">
      <formula>$Q185="删除"</formula>
    </cfRule>
  </conditionalFormatting>
  <conditionalFormatting sqref="I187">
    <cfRule type="expression" priority="470" stopIfTrue="1">
      <formula>$Q187="删除"</formula>
    </cfRule>
  </conditionalFormatting>
  <conditionalFormatting sqref="H185">
    <cfRule type="expression" priority="482" stopIfTrue="1">
      <formula>$Q185="删除"</formula>
    </cfRule>
  </conditionalFormatting>
  <conditionalFormatting sqref="I186">
    <cfRule type="expression" priority="474" stopIfTrue="1">
      <formula>$Q186="删除"</formula>
    </cfRule>
  </conditionalFormatting>
  <conditionalFormatting sqref="I185">
    <cfRule type="expression" priority="480" stopIfTrue="1">
      <formula>$Q185="删除"</formula>
    </cfRule>
  </conditionalFormatting>
  <conditionalFormatting sqref="J185">
    <cfRule type="expression" priority="479" stopIfTrue="1">
      <formula>$Q185="删除"</formula>
    </cfRule>
  </conditionalFormatting>
  <conditionalFormatting sqref="N185">
    <cfRule type="expression" priority="478" stopIfTrue="1">
      <formula>$Q185="删除"</formula>
    </cfRule>
  </conditionalFormatting>
  <conditionalFormatting sqref="H186">
    <cfRule type="expression" priority="476" stopIfTrue="1">
      <formula>$Q186="删除"</formula>
    </cfRule>
  </conditionalFormatting>
  <conditionalFormatting sqref="N186">
    <cfRule type="expression" priority="473" stopIfTrue="1">
      <formula>$Q186="删除"</formula>
    </cfRule>
  </conditionalFormatting>
  <conditionalFormatting sqref="H187">
    <cfRule type="expression" priority="472" stopIfTrue="1">
      <formula>$Q187="删除"</formula>
    </cfRule>
  </conditionalFormatting>
  <conditionalFormatting sqref="N187">
    <cfRule type="expression" priority="469" stopIfTrue="1">
      <formula>$Q187="删除"</formula>
    </cfRule>
  </conditionalFormatting>
  <conditionalFormatting sqref="M185:M187">
    <cfRule type="expression" priority="468" stopIfTrue="1">
      <formula>$Q185="删除"</formula>
    </cfRule>
  </conditionalFormatting>
  <conditionalFormatting sqref="J186">
    <cfRule type="expression" priority="465" stopIfTrue="1">
      <formula>$Q186="删除"</formula>
    </cfRule>
  </conditionalFormatting>
  <conditionalFormatting sqref="J187">
    <cfRule type="expression" priority="464" stopIfTrue="1">
      <formula>$Q187="删除"</formula>
    </cfRule>
  </conditionalFormatting>
  <conditionalFormatting sqref="L185:L187">
    <cfRule type="expression" priority="463" stopIfTrue="1">
      <formula>$Q185="删除"</formula>
    </cfRule>
  </conditionalFormatting>
  <conditionalFormatting sqref="K188:K190">
    <cfRule type="expression" priority="461" stopIfTrue="1">
      <formula>$Q188="删除"</formula>
    </cfRule>
  </conditionalFormatting>
  <conditionalFormatting sqref="I190">
    <cfRule type="expression" priority="452" stopIfTrue="1">
      <formula>$Q190="删除"</formula>
    </cfRule>
  </conditionalFormatting>
  <conditionalFormatting sqref="H188">
    <cfRule type="expression" priority="460" stopIfTrue="1">
      <formula>$Q188="删除"</formula>
    </cfRule>
  </conditionalFormatting>
  <conditionalFormatting sqref="I189">
    <cfRule type="expression" priority="455" stopIfTrue="1">
      <formula>$Q189="删除"</formula>
    </cfRule>
  </conditionalFormatting>
  <conditionalFormatting sqref="I188">
    <cfRule type="expression" priority="459" stopIfTrue="1">
      <formula>$Q188="删除"</formula>
    </cfRule>
  </conditionalFormatting>
  <conditionalFormatting sqref="J188">
    <cfRule type="expression" priority="458" stopIfTrue="1">
      <formula>$Q188="删除"</formula>
    </cfRule>
  </conditionalFormatting>
  <conditionalFormatting sqref="N188">
    <cfRule type="expression" priority="457" stopIfTrue="1">
      <formula>$Q188="删除"</formula>
    </cfRule>
  </conditionalFormatting>
  <conditionalFormatting sqref="H189">
    <cfRule type="expression" priority="456" stopIfTrue="1">
      <formula>$Q189="删除"</formula>
    </cfRule>
  </conditionalFormatting>
  <conditionalFormatting sqref="N189">
    <cfRule type="expression" priority="454" stopIfTrue="1">
      <formula>$Q189="删除"</formula>
    </cfRule>
  </conditionalFormatting>
  <conditionalFormatting sqref="H190">
    <cfRule type="expression" priority="453" stopIfTrue="1">
      <formula>$Q190="删除"</formula>
    </cfRule>
  </conditionalFormatting>
  <conditionalFormatting sqref="N190">
    <cfRule type="expression" priority="451" stopIfTrue="1">
      <formula>$Q190="删除"</formula>
    </cfRule>
  </conditionalFormatting>
  <conditionalFormatting sqref="M188:M190">
    <cfRule type="expression" priority="450" stopIfTrue="1">
      <formula>$Q188="删除"</formula>
    </cfRule>
  </conditionalFormatting>
  <conditionalFormatting sqref="J189">
    <cfRule type="expression" priority="449" stopIfTrue="1">
      <formula>$Q189="删除"</formula>
    </cfRule>
  </conditionalFormatting>
  <conditionalFormatting sqref="J190">
    <cfRule type="expression" priority="448" stopIfTrue="1">
      <formula>$Q190="删除"</formula>
    </cfRule>
  </conditionalFormatting>
  <conditionalFormatting sqref="L188:L190">
    <cfRule type="expression" priority="447" stopIfTrue="1">
      <formula>$Q188="删除"</formula>
    </cfRule>
  </conditionalFormatting>
  <conditionalFormatting sqref="H192:I192">
    <cfRule type="expression" priority="429" stopIfTrue="1">
      <formula>$Q192="删除"</formula>
    </cfRule>
  </conditionalFormatting>
  <conditionalFormatting sqref="K192:K193">
    <cfRule type="expression" priority="427" stopIfTrue="1">
      <formula>$Q192="删除"</formula>
    </cfRule>
  </conditionalFormatting>
  <conditionalFormatting sqref="J202">
    <cfRule type="expression" priority="422" stopIfTrue="1">
      <formula>$Q202="删除"</formula>
    </cfRule>
  </conditionalFormatting>
  <conditionalFormatting sqref="N202">
    <cfRule type="expression" priority="421" stopIfTrue="1">
      <formula>$Q202="删除"</formula>
    </cfRule>
  </conditionalFormatting>
  <conditionalFormatting sqref="J203">
    <cfRule type="expression" priority="420" stopIfTrue="1">
      <formula>$Q203="删除"</formula>
    </cfRule>
  </conditionalFormatting>
  <conditionalFormatting sqref="J204">
    <cfRule type="expression" priority="419" stopIfTrue="1">
      <formula>$Q204="删除"</formula>
    </cfRule>
  </conditionalFormatting>
  <conditionalFormatting sqref="L203">
    <cfRule type="expression" priority="418" stopIfTrue="1">
      <formula>$Q203="删除"</formula>
    </cfRule>
  </conditionalFormatting>
  <conditionalFormatting sqref="L204">
    <cfRule type="expression" priority="417" stopIfTrue="1">
      <formula>$Q204="删除"</formula>
    </cfRule>
  </conditionalFormatting>
  <conditionalFormatting sqref="M203">
    <cfRule type="expression" priority="416" stopIfTrue="1">
      <formula>$Q203="删除"</formula>
    </cfRule>
  </conditionalFormatting>
  <conditionalFormatting sqref="N203">
    <cfRule type="expression" priority="415" stopIfTrue="1">
      <formula>$Q203="删除"</formula>
    </cfRule>
  </conditionalFormatting>
  <conditionalFormatting sqref="M204">
    <cfRule type="expression" priority="414" stopIfTrue="1">
      <formula>$Q204="删除"</formula>
    </cfRule>
  </conditionalFormatting>
  <conditionalFormatting sqref="N204">
    <cfRule type="expression" priority="413" stopIfTrue="1">
      <formula>$Q204="删除"</formula>
    </cfRule>
  </conditionalFormatting>
  <conditionalFormatting sqref="M217">
    <cfRule type="expression" priority="375" stopIfTrue="1">
      <formula>$Q217="删除"</formula>
    </cfRule>
  </conditionalFormatting>
  <conditionalFormatting sqref="J209">
    <cfRule type="expression" priority="405" stopIfTrue="1">
      <formula>$Q209="删除"</formula>
    </cfRule>
  </conditionalFormatting>
  <conditionalFormatting sqref="M215">
    <cfRule type="expression" priority="384" stopIfTrue="1">
      <formula>$Q215="删除"</formula>
    </cfRule>
  </conditionalFormatting>
  <conditionalFormatting sqref="M213">
    <cfRule type="expression" priority="403" stopIfTrue="1">
      <formula>$Q213="删除"</formula>
    </cfRule>
  </conditionalFormatting>
  <conditionalFormatting sqref="N213">
    <cfRule type="expression" priority="401" stopIfTrue="1">
      <formula>$Q213="删除"</formula>
    </cfRule>
  </conditionalFormatting>
  <conditionalFormatting sqref="L213">
    <cfRule type="expression" priority="402" stopIfTrue="1">
      <formula>$Q213="删除"</formula>
    </cfRule>
  </conditionalFormatting>
  <conditionalFormatting sqref="H213:I213">
    <cfRule type="expression" priority="399" stopIfTrue="1">
      <formula>$Q213="删除"</formula>
    </cfRule>
  </conditionalFormatting>
  <conditionalFormatting sqref="J213">
    <cfRule type="expression" priority="397" stopIfTrue="1">
      <formula>$Q213="删除"</formula>
    </cfRule>
  </conditionalFormatting>
  <conditionalFormatting sqref="M214">
    <cfRule type="expression" priority="395" stopIfTrue="1">
      <formula>$Q214="删除"</formula>
    </cfRule>
  </conditionalFormatting>
  <conditionalFormatting sqref="N214">
    <cfRule type="expression" priority="394" stopIfTrue="1">
      <formula>$Q214="删除"</formula>
    </cfRule>
  </conditionalFormatting>
  <conditionalFormatting sqref="J214">
    <cfRule type="expression" priority="390" stopIfTrue="1">
      <formula>$Q214="删除"</formula>
    </cfRule>
  </conditionalFormatting>
  <conditionalFormatting sqref="H214:I214">
    <cfRule type="expression" priority="392" stopIfTrue="1">
      <formula>$Q214="删除"</formula>
    </cfRule>
  </conditionalFormatting>
  <conditionalFormatting sqref="L214">
    <cfRule type="expression" priority="389" stopIfTrue="1">
      <formula>$Q214="删除"</formula>
    </cfRule>
  </conditionalFormatting>
  <conditionalFormatting sqref="M218:N218">
    <cfRule type="expression" priority="388" stopIfTrue="1">
      <formula>$Q218="删除"</formula>
    </cfRule>
  </conditionalFormatting>
  <conditionalFormatting sqref="H218:J218 L218">
    <cfRule type="expression" priority="386" stopIfTrue="1">
      <formula>$Q218="删除"</formula>
    </cfRule>
  </conditionalFormatting>
  <conditionalFormatting sqref="H216:I216">
    <cfRule type="expression" priority="377" stopIfTrue="1">
      <formula>$Q216="删除"</formula>
    </cfRule>
  </conditionalFormatting>
  <conditionalFormatting sqref="H215:I215 L215:L217">
    <cfRule type="expression" priority="382" stopIfTrue="1">
      <formula>$Q215="删除"</formula>
    </cfRule>
  </conditionalFormatting>
  <conditionalFormatting sqref="J215:J217">
    <cfRule type="expression" priority="380" stopIfTrue="1">
      <formula>$Q215="删除"</formula>
    </cfRule>
  </conditionalFormatting>
  <conditionalFormatting sqref="M216">
    <cfRule type="expression" priority="379" stopIfTrue="1">
      <formula>$Q216="删除"</formula>
    </cfRule>
  </conditionalFormatting>
  <conditionalFormatting sqref="N215:N217">
    <cfRule type="expression" priority="369" stopIfTrue="1">
      <formula>$Q215="删除"</formula>
    </cfRule>
  </conditionalFormatting>
  <conditionalFormatting sqref="H217:I217">
    <cfRule type="expression" priority="373" stopIfTrue="1">
      <formula>$Q217="删除"</formula>
    </cfRule>
  </conditionalFormatting>
  <conditionalFormatting sqref="M235">
    <cfRule type="expression" priority="358" stopIfTrue="1">
      <formula>$Q235="删除"</formula>
    </cfRule>
  </conditionalFormatting>
  <conditionalFormatting sqref="M233">
    <cfRule type="expression" priority="367" stopIfTrue="1">
      <formula>$Q233="删除"</formula>
    </cfRule>
  </conditionalFormatting>
  <conditionalFormatting sqref="H234:I234">
    <cfRule type="expression" priority="360" stopIfTrue="1">
      <formula>$Q234="删除"</formula>
    </cfRule>
  </conditionalFormatting>
  <conditionalFormatting sqref="H233:I233 L233:L235">
    <cfRule type="expression" priority="365" stopIfTrue="1">
      <formula>$Q233="删除"</formula>
    </cfRule>
  </conditionalFormatting>
  <conditionalFormatting sqref="J233:J235">
    <cfRule type="expression" priority="363" stopIfTrue="1">
      <formula>$Q233="删除"</formula>
    </cfRule>
  </conditionalFormatting>
  <conditionalFormatting sqref="M234">
    <cfRule type="expression" priority="362" stopIfTrue="1">
      <formula>$Q234="删除"</formula>
    </cfRule>
  </conditionalFormatting>
  <conditionalFormatting sqref="N233:N235">
    <cfRule type="expression" priority="352" stopIfTrue="1">
      <formula>$Q233="删除"</formula>
    </cfRule>
  </conditionalFormatting>
  <conditionalFormatting sqref="H235:I235">
    <cfRule type="expression" priority="356" stopIfTrue="1">
      <formula>$Q235="删除"</formula>
    </cfRule>
  </conditionalFormatting>
  <conditionalFormatting sqref="J241">
    <cfRule type="expression" priority="351" stopIfTrue="1">
      <formula>$Q241="删除"</formula>
    </cfRule>
  </conditionalFormatting>
  <conditionalFormatting sqref="M245">
    <cfRule type="expression" priority="349" stopIfTrue="1">
      <formula>$Q245="删除"</formula>
    </cfRule>
  </conditionalFormatting>
  <conditionalFormatting sqref="N245">
    <cfRule type="expression" priority="347" stopIfTrue="1">
      <formula>$Q245="删除"</formula>
    </cfRule>
  </conditionalFormatting>
  <conditionalFormatting sqref="L245">
    <cfRule type="expression" priority="348" stopIfTrue="1">
      <formula>$Q245="删除"</formula>
    </cfRule>
  </conditionalFormatting>
  <conditionalFormatting sqref="H245:I245">
    <cfRule type="expression" priority="345" stopIfTrue="1">
      <formula>$Q245="删除"</formula>
    </cfRule>
  </conditionalFormatting>
  <conditionalFormatting sqref="J245">
    <cfRule type="expression" priority="343" stopIfTrue="1">
      <formula>$Q245="删除"</formula>
    </cfRule>
  </conditionalFormatting>
  <conditionalFormatting sqref="M246">
    <cfRule type="expression" priority="341" stopIfTrue="1">
      <formula>$Q246="删除"</formula>
    </cfRule>
  </conditionalFormatting>
  <conditionalFormatting sqref="N246">
    <cfRule type="expression" priority="340" stopIfTrue="1">
      <formula>$Q246="删除"</formula>
    </cfRule>
  </conditionalFormatting>
  <conditionalFormatting sqref="J246">
    <cfRule type="expression" priority="336" stopIfTrue="1">
      <formula>$Q246="删除"</formula>
    </cfRule>
  </conditionalFormatting>
  <conditionalFormatting sqref="H246:I246">
    <cfRule type="expression" priority="338" stopIfTrue="1">
      <formula>$Q246="删除"</formula>
    </cfRule>
  </conditionalFormatting>
  <conditionalFormatting sqref="L246">
    <cfRule type="expression" priority="335" stopIfTrue="1">
      <formula>$Q246="删除"</formula>
    </cfRule>
  </conditionalFormatting>
  <conditionalFormatting sqref="H228:J228 M228">
    <cfRule type="expression" priority="334" stopIfTrue="1">
      <formula>$Q228="删除"</formula>
    </cfRule>
  </conditionalFormatting>
  <conditionalFormatting sqref="H229:J229 L229:N230">
    <cfRule type="expression" priority="332" stopIfTrue="1">
      <formula>$Q229="删除"</formula>
    </cfRule>
  </conditionalFormatting>
  <conditionalFormatting sqref="H230:J230">
    <cfRule type="expression" priority="330" stopIfTrue="1">
      <formula>$Q230="删除"</formula>
    </cfRule>
  </conditionalFormatting>
  <conditionalFormatting sqref="J155">
    <cfRule type="expression" priority="305" stopIfTrue="1">
      <formula>$Q155="删除"</formula>
    </cfRule>
  </conditionalFormatting>
  <conditionalFormatting sqref="H155">
    <cfRule type="expression" priority="301" stopIfTrue="1">
      <formula>$Q155="删除"</formula>
    </cfRule>
  </conditionalFormatting>
  <conditionalFormatting sqref="I155">
    <cfRule type="expression" priority="300" stopIfTrue="1">
      <formula>$Q155="删除"</formula>
    </cfRule>
  </conditionalFormatting>
  <conditionalFormatting sqref="L155">
    <cfRule type="expression" priority="299" stopIfTrue="1">
      <formula>$Q155="删除"</formula>
    </cfRule>
  </conditionalFormatting>
  <conditionalFormatting sqref="M155">
    <cfRule type="expression" priority="298" stopIfTrue="1">
      <formula>$Q155="删除"</formula>
    </cfRule>
  </conditionalFormatting>
  <conditionalFormatting sqref="K155">
    <cfRule type="expression" priority="296" stopIfTrue="1">
      <formula>$Q155="删除"</formula>
    </cfRule>
  </conditionalFormatting>
  <conditionalFormatting sqref="H250:I250">
    <cfRule type="expression" priority="294" stopIfTrue="1">
      <formula>$Q250="删除"</formula>
    </cfRule>
  </conditionalFormatting>
  <conditionalFormatting sqref="L251:N251 M252:M253">
    <cfRule type="expression" priority="291" stopIfTrue="1">
      <formula>$Q251="删除"</formula>
    </cfRule>
  </conditionalFormatting>
  <conditionalFormatting sqref="K251">
    <cfRule type="expression" priority="290" stopIfTrue="1">
      <formula>$Q251="删除"</formula>
    </cfRule>
  </conditionalFormatting>
  <conditionalFormatting sqref="H251:I251">
    <cfRule type="expression" priority="288" stopIfTrue="1">
      <formula>$Q251="删除"</formula>
    </cfRule>
  </conditionalFormatting>
  <conditionalFormatting sqref="L253">
    <cfRule type="expression" priority="279" stopIfTrue="1">
      <formula>$Q253="删除"</formula>
    </cfRule>
  </conditionalFormatting>
  <conditionalFormatting sqref="L252">
    <cfRule type="expression" priority="285" stopIfTrue="1">
      <formula>$Q252="删除"</formula>
    </cfRule>
  </conditionalFormatting>
  <conditionalFormatting sqref="K252:K253">
    <cfRule type="expression" priority="284" stopIfTrue="1">
      <formula>$Q252="删除"</formula>
    </cfRule>
  </conditionalFormatting>
  <conditionalFormatting sqref="H252:I252">
    <cfRule type="expression" priority="282" stopIfTrue="1">
      <formula>$Q252="删除"</formula>
    </cfRule>
  </conditionalFormatting>
  <conditionalFormatting sqref="J252">
    <cfRule type="expression" priority="280" stopIfTrue="1">
      <formula>$Q252="删除"</formula>
    </cfRule>
  </conditionalFormatting>
  <conditionalFormatting sqref="H253:I253">
    <cfRule type="expression" priority="276" stopIfTrue="1">
      <formula>$Q253="删除"</formula>
    </cfRule>
  </conditionalFormatting>
  <conditionalFormatting sqref="M258">
    <cfRule type="expression" priority="263" stopIfTrue="1">
      <formula>$Q258="删除"</formula>
    </cfRule>
  </conditionalFormatting>
  <conditionalFormatting sqref="N258">
    <cfRule type="expression" priority="260" stopIfTrue="1">
      <formula>$Q258="删除"</formula>
    </cfRule>
  </conditionalFormatting>
  <conditionalFormatting sqref="N253">
    <cfRule type="expression" priority="272" stopIfTrue="1">
      <formula>$Q253="删除"</formula>
    </cfRule>
  </conditionalFormatting>
  <conditionalFormatting sqref="N252">
    <cfRule type="expression" priority="270" stopIfTrue="1">
      <formula>$Q252="删除"</formula>
    </cfRule>
  </conditionalFormatting>
  <conditionalFormatting sqref="J258">
    <cfRule type="expression" priority="259" stopIfTrue="1">
      <formula>$Q258="删除"</formula>
    </cfRule>
  </conditionalFormatting>
  <conditionalFormatting sqref="H257:I257 L257:N257">
    <cfRule type="expression" priority="269" stopIfTrue="1">
      <formula>$Q257="删除"</formula>
    </cfRule>
  </conditionalFormatting>
  <conditionalFormatting sqref="J257">
    <cfRule type="expression" priority="267" stopIfTrue="1">
      <formula>$Q257="删除"</formula>
    </cfRule>
  </conditionalFormatting>
  <conditionalFormatting sqref="K254:K258">
    <cfRule type="expression" priority="265" stopIfTrue="1">
      <formula>$Q263="删除"</formula>
    </cfRule>
  </conditionalFormatting>
  <conditionalFormatting sqref="L258">
    <cfRule type="expression" priority="264" stopIfTrue="1">
      <formula>$Q258="删除"</formula>
    </cfRule>
  </conditionalFormatting>
  <conditionalFormatting sqref="H255:J255 L255:N255">
    <cfRule type="expression" priority="254" stopIfTrue="1">
      <formula>$Q255="删除"</formula>
    </cfRule>
  </conditionalFormatting>
  <conditionalFormatting sqref="H258:I258">
    <cfRule type="expression" priority="262" stopIfTrue="1">
      <formula>$Q258="删除"</formula>
    </cfRule>
  </conditionalFormatting>
  <conditionalFormatting sqref="H260:J260 L260">
    <cfRule type="expression" priority="247" stopIfTrue="1">
      <formula>$Q260="删除"</formula>
    </cfRule>
  </conditionalFormatting>
  <conditionalFormatting sqref="N259">
    <cfRule type="expression" priority="250" stopIfTrue="1">
      <formula>$Q259="删除"</formula>
    </cfRule>
  </conditionalFormatting>
  <conditionalFormatting sqref="H254:J254 M254">
    <cfRule type="expression" priority="258" stopIfTrue="1">
      <formula>$Q254="删除"</formula>
    </cfRule>
  </conditionalFormatting>
  <conditionalFormatting sqref="H256:J256 L256:N256">
    <cfRule type="expression" priority="256" stopIfTrue="1">
      <formula>$Q256="删除"</formula>
    </cfRule>
  </conditionalFormatting>
  <conditionalFormatting sqref="H264:I264">
    <cfRule type="expression" priority="230" stopIfTrue="1">
      <formula>$Q264="删除"</formula>
    </cfRule>
  </conditionalFormatting>
  <conditionalFormatting sqref="H259:J259 L259:M259">
    <cfRule type="expression" priority="252" stopIfTrue="1">
      <formula>$Q259="删除"</formula>
    </cfRule>
  </conditionalFormatting>
  <conditionalFormatting sqref="N262:N264">
    <cfRule type="expression" priority="226" stopIfTrue="1">
      <formula>$Q262="删除"</formula>
    </cfRule>
  </conditionalFormatting>
  <conditionalFormatting sqref="M260:N260">
    <cfRule type="expression" priority="249" stopIfTrue="1">
      <formula>$Q260="删除"</formula>
    </cfRule>
  </conditionalFormatting>
  <conditionalFormatting sqref="M261:N261 M262">
    <cfRule type="expression" priority="244" stopIfTrue="1">
      <formula>$Q261="删除"</formula>
    </cfRule>
  </conditionalFormatting>
  <conditionalFormatting sqref="H261:I261 L261">
    <cfRule type="expression" priority="243" stopIfTrue="1">
      <formula>$Q261="删除"</formula>
    </cfRule>
  </conditionalFormatting>
  <conditionalFormatting sqref="J261">
    <cfRule type="expression" priority="241" stopIfTrue="1">
      <formula>$Q261="删除"</formula>
    </cfRule>
  </conditionalFormatting>
  <conditionalFormatting sqref="H263:I263">
    <cfRule type="expression" priority="234" stopIfTrue="1">
      <formula>$Q263="删除"</formula>
    </cfRule>
  </conditionalFormatting>
  <conditionalFormatting sqref="H262:I262 L262:L264">
    <cfRule type="expression" priority="239" stopIfTrue="1">
      <formula>$Q262="删除"</formula>
    </cfRule>
  </conditionalFormatting>
  <conditionalFormatting sqref="J262:J264">
    <cfRule type="expression" priority="237" stopIfTrue="1">
      <formula>$Q262="删除"</formula>
    </cfRule>
  </conditionalFormatting>
  <conditionalFormatting sqref="M263">
    <cfRule type="expression" priority="236" stopIfTrue="1">
      <formula>$Q263="删除"</formula>
    </cfRule>
  </conditionalFormatting>
  <conditionalFormatting sqref="M264">
    <cfRule type="expression" priority="232" stopIfTrue="1">
      <formula>$Q264="删除"</formula>
    </cfRule>
  </conditionalFormatting>
  <conditionalFormatting sqref="M268">
    <cfRule type="expression" priority="218" stopIfTrue="1">
      <formula>$Q268="删除"</formula>
    </cfRule>
  </conditionalFormatting>
  <conditionalFormatting sqref="M267">
    <cfRule type="expression" priority="224" stopIfTrue="1">
      <formula>$Q267="删除"</formula>
    </cfRule>
  </conditionalFormatting>
  <conditionalFormatting sqref="H267:I267">
    <cfRule type="expression" priority="223" stopIfTrue="1">
      <formula>$Q267="删除"</formula>
    </cfRule>
  </conditionalFormatting>
  <conditionalFormatting sqref="J267">
    <cfRule type="expression" priority="221" stopIfTrue="1">
      <formula>$Q267="删除"</formula>
    </cfRule>
  </conditionalFormatting>
  <conditionalFormatting sqref="L267">
    <cfRule type="expression" priority="220" stopIfTrue="1">
      <formula>$Q267="删除"</formula>
    </cfRule>
  </conditionalFormatting>
  <conditionalFormatting sqref="N267">
    <cfRule type="expression" priority="219" stopIfTrue="1">
      <formula>$Q267="删除"</formula>
    </cfRule>
  </conditionalFormatting>
  <conditionalFormatting sqref="H268:I268">
    <cfRule type="expression" priority="217" stopIfTrue="1">
      <formula>$Q268="删除"</formula>
    </cfRule>
  </conditionalFormatting>
  <conditionalFormatting sqref="J268">
    <cfRule type="expression" priority="215" stopIfTrue="1">
      <formula>$Q268="删除"</formula>
    </cfRule>
  </conditionalFormatting>
  <conditionalFormatting sqref="L268">
    <cfRule type="expression" priority="214" stopIfTrue="1">
      <formula>$Q268="删除"</formula>
    </cfRule>
  </conditionalFormatting>
  <conditionalFormatting sqref="L269">
    <cfRule type="expression" priority="208" stopIfTrue="1">
      <formula>$Q269="删除"</formula>
    </cfRule>
  </conditionalFormatting>
  <conditionalFormatting sqref="N268">
    <cfRule type="expression" priority="213" stopIfTrue="1">
      <formula>$Q268="删除"</formula>
    </cfRule>
  </conditionalFormatting>
  <conditionalFormatting sqref="M269">
    <cfRule type="expression" priority="212" stopIfTrue="1">
      <formula>$Q269="删除"</formula>
    </cfRule>
  </conditionalFormatting>
  <conditionalFormatting sqref="H269:I269">
    <cfRule type="expression" priority="211" stopIfTrue="1">
      <formula>$Q269="删除"</formula>
    </cfRule>
  </conditionalFormatting>
  <conditionalFormatting sqref="J269">
    <cfRule type="expression" priority="209" stopIfTrue="1">
      <formula>$Q269="删除"</formula>
    </cfRule>
  </conditionalFormatting>
  <conditionalFormatting sqref="L270">
    <cfRule type="expression" priority="202" stopIfTrue="1">
      <formula>$Q270="删除"</formula>
    </cfRule>
  </conditionalFormatting>
  <conditionalFormatting sqref="N269">
    <cfRule type="expression" priority="207" stopIfTrue="1">
      <formula>$Q269="删除"</formula>
    </cfRule>
  </conditionalFormatting>
  <conditionalFormatting sqref="M270">
    <cfRule type="expression" priority="206" stopIfTrue="1">
      <formula>$Q270="删除"</formula>
    </cfRule>
  </conditionalFormatting>
  <conditionalFormatting sqref="H270:I270">
    <cfRule type="expression" priority="205" stopIfTrue="1">
      <formula>$Q270="删除"</formula>
    </cfRule>
  </conditionalFormatting>
  <conditionalFormatting sqref="J270">
    <cfRule type="expression" priority="203" stopIfTrue="1">
      <formula>$Q270="删除"</formula>
    </cfRule>
  </conditionalFormatting>
  <conditionalFormatting sqref="N270">
    <cfRule type="expression" priority="201" stopIfTrue="1">
      <formula>$Q270="删除"</formula>
    </cfRule>
  </conditionalFormatting>
  <conditionalFormatting sqref="H271:I271">
    <cfRule type="expression" priority="199" stopIfTrue="1">
      <formula>$Q271="删除"</formula>
    </cfRule>
  </conditionalFormatting>
  <conditionalFormatting sqref="M271">
    <cfRule type="expression" priority="200" stopIfTrue="1">
      <formula>$Q271="删除"</formula>
    </cfRule>
  </conditionalFormatting>
  <conditionalFormatting sqref="J271">
    <cfRule type="expression" priority="197" stopIfTrue="1">
      <formula>$Q271="删除"</formula>
    </cfRule>
  </conditionalFormatting>
  <conditionalFormatting sqref="L271">
    <cfRule type="expression" priority="196" stopIfTrue="1">
      <formula>$Q271="删除"</formula>
    </cfRule>
  </conditionalFormatting>
  <conditionalFormatting sqref="N271">
    <cfRule type="expression" priority="195" stopIfTrue="1">
      <formula>$Q271="删除"</formula>
    </cfRule>
  </conditionalFormatting>
  <conditionalFormatting sqref="M272">
    <cfRule type="expression" priority="193" stopIfTrue="1">
      <formula>$Q272="删除"</formula>
    </cfRule>
  </conditionalFormatting>
  <conditionalFormatting sqref="N272">
    <cfRule type="expression" priority="191" stopIfTrue="1">
      <formula>$Q272="删除"</formula>
    </cfRule>
  </conditionalFormatting>
  <conditionalFormatting sqref="L272">
    <cfRule type="expression" priority="192" stopIfTrue="1">
      <formula>$Q272="删除"</formula>
    </cfRule>
  </conditionalFormatting>
  <conditionalFormatting sqref="H272:I272">
    <cfRule type="expression" priority="190" stopIfTrue="1">
      <formula>$Q272="删除"</formula>
    </cfRule>
  </conditionalFormatting>
  <conditionalFormatting sqref="J272">
    <cfRule type="expression" priority="188" stopIfTrue="1">
      <formula>$Q272="删除"</formula>
    </cfRule>
  </conditionalFormatting>
  <conditionalFormatting sqref="M273">
    <cfRule type="expression" priority="187" stopIfTrue="1">
      <formula>$Q273="删除"</formula>
    </cfRule>
  </conditionalFormatting>
  <conditionalFormatting sqref="N273">
    <cfRule type="expression" priority="185" stopIfTrue="1">
      <formula>$Q273="删除"</formula>
    </cfRule>
  </conditionalFormatting>
  <conditionalFormatting sqref="L273">
    <cfRule type="expression" priority="186" stopIfTrue="1">
      <formula>$Q273="删除"</formula>
    </cfRule>
  </conditionalFormatting>
  <conditionalFormatting sqref="H273:I273">
    <cfRule type="expression" priority="184" stopIfTrue="1">
      <formula>$Q273="删除"</formula>
    </cfRule>
  </conditionalFormatting>
  <conditionalFormatting sqref="J273">
    <cfRule type="expression" priority="182" stopIfTrue="1">
      <formula>$Q273="删除"</formula>
    </cfRule>
  </conditionalFormatting>
  <conditionalFormatting sqref="H275:J275 M275">
    <cfRule type="expression" priority="175" stopIfTrue="1">
      <formula>$Q275="删除"</formula>
    </cfRule>
  </conditionalFormatting>
  <conditionalFormatting sqref="H277:J277 L277:N277">
    <cfRule type="expression" priority="173" stopIfTrue="1">
      <formula>$Q277="删除"</formula>
    </cfRule>
  </conditionalFormatting>
  <conditionalFormatting sqref="H276:J276 L276:N276">
    <cfRule type="expression" priority="171" stopIfTrue="1">
      <formula>$Q276="删除"</formula>
    </cfRule>
  </conditionalFormatting>
  <conditionalFormatting sqref="K261:K264">
    <cfRule type="expression" priority="2704" stopIfTrue="1">
      <formula>$Q279="删除"</formula>
    </cfRule>
  </conditionalFormatting>
  <conditionalFormatting sqref="K259:K260">
    <cfRule type="expression" priority="2705" stopIfTrue="1">
      <formula>#REF!="删除"</formula>
    </cfRule>
  </conditionalFormatting>
  <conditionalFormatting sqref="M284">
    <cfRule type="expression" priority="166" stopIfTrue="1">
      <formula>$Q284="删除"</formula>
    </cfRule>
  </conditionalFormatting>
  <conditionalFormatting sqref="H284:I284">
    <cfRule type="expression" priority="165" stopIfTrue="1">
      <formula>$Q284="删除"</formula>
    </cfRule>
  </conditionalFormatting>
  <conditionalFormatting sqref="J284">
    <cfRule type="expression" priority="163" stopIfTrue="1">
      <formula>$Q284="删除"</formula>
    </cfRule>
  </conditionalFormatting>
  <conditionalFormatting sqref="L284">
    <cfRule type="expression" priority="162" stopIfTrue="1">
      <formula>$Q284="删除"</formula>
    </cfRule>
  </conditionalFormatting>
  <conditionalFormatting sqref="N284">
    <cfRule type="expression" priority="161" stopIfTrue="1">
      <formula>$Q284="删除"</formula>
    </cfRule>
  </conditionalFormatting>
  <conditionalFormatting sqref="M285">
    <cfRule type="expression" priority="160" stopIfTrue="1">
      <formula>$Q285="删除"</formula>
    </cfRule>
  </conditionalFormatting>
  <conditionalFormatting sqref="H285:I285">
    <cfRule type="expression" priority="159" stopIfTrue="1">
      <formula>$Q285="删除"</formula>
    </cfRule>
  </conditionalFormatting>
  <conditionalFormatting sqref="J285">
    <cfRule type="expression" priority="157" stopIfTrue="1">
      <formula>$Q285="删除"</formula>
    </cfRule>
  </conditionalFormatting>
  <conditionalFormatting sqref="L285">
    <cfRule type="expression" priority="156" stopIfTrue="1">
      <formula>$Q285="删除"</formula>
    </cfRule>
  </conditionalFormatting>
  <conditionalFormatting sqref="N285">
    <cfRule type="expression" priority="155" stopIfTrue="1">
      <formula>$Q285="删除"</formula>
    </cfRule>
  </conditionalFormatting>
  <conditionalFormatting sqref="M286">
    <cfRule type="expression" priority="154" stopIfTrue="1">
      <formula>$Q286="删除"</formula>
    </cfRule>
  </conditionalFormatting>
  <conditionalFormatting sqref="H286:I286">
    <cfRule type="expression" priority="153" stopIfTrue="1">
      <formula>$Q286="删除"</formula>
    </cfRule>
  </conditionalFormatting>
  <conditionalFormatting sqref="J286">
    <cfRule type="expression" priority="151" stopIfTrue="1">
      <formula>$Q286="删除"</formula>
    </cfRule>
  </conditionalFormatting>
  <conditionalFormatting sqref="L286">
    <cfRule type="expression" priority="150" stopIfTrue="1">
      <formula>$Q286="删除"</formula>
    </cfRule>
  </conditionalFormatting>
  <conditionalFormatting sqref="N286">
    <cfRule type="expression" priority="149" stopIfTrue="1">
      <formula>$Q286="删除"</formula>
    </cfRule>
  </conditionalFormatting>
  <conditionalFormatting sqref="M304">
    <cfRule type="expression" priority="147" stopIfTrue="1">
      <formula>$Q304="删除"</formula>
    </cfRule>
  </conditionalFormatting>
  <conditionalFormatting sqref="N304">
    <cfRule type="expression" priority="145" stopIfTrue="1">
      <formula>$Q304="删除"</formula>
    </cfRule>
  </conditionalFormatting>
  <conditionalFormatting sqref="L304">
    <cfRule type="expression" priority="146" stopIfTrue="1">
      <formula>$Q304="删除"</formula>
    </cfRule>
  </conditionalFormatting>
  <conditionalFormatting sqref="H304:I304">
    <cfRule type="expression" priority="143" stopIfTrue="1">
      <formula>$Q304="删除"</formula>
    </cfRule>
  </conditionalFormatting>
  <conditionalFormatting sqref="J304">
    <cfRule type="expression" priority="141" stopIfTrue="1">
      <formula>$Q304="删除"</formula>
    </cfRule>
  </conditionalFormatting>
  <conditionalFormatting sqref="M305">
    <cfRule type="expression" priority="139" stopIfTrue="1">
      <formula>$Q305="删除"</formula>
    </cfRule>
  </conditionalFormatting>
  <conditionalFormatting sqref="N305">
    <cfRule type="expression" priority="138" stopIfTrue="1">
      <formula>$Q305="删除"</formula>
    </cfRule>
  </conditionalFormatting>
  <conditionalFormatting sqref="J305">
    <cfRule type="expression" priority="134" stopIfTrue="1">
      <formula>$Q305="删除"</formula>
    </cfRule>
  </conditionalFormatting>
  <conditionalFormatting sqref="H305:I305">
    <cfRule type="expression" priority="136" stopIfTrue="1">
      <formula>$Q305="删除"</formula>
    </cfRule>
  </conditionalFormatting>
  <conditionalFormatting sqref="L305">
    <cfRule type="expression" priority="133" stopIfTrue="1">
      <formula>$Q305="删除"</formula>
    </cfRule>
  </conditionalFormatting>
  <conditionalFormatting sqref="N236">
    <cfRule type="expression" priority="132" stopIfTrue="1">
      <formula>$Q236="删除"</formula>
    </cfRule>
  </conditionalFormatting>
  <conditionalFormatting sqref="H75 K75">
    <cfRule type="expression" priority="129" stopIfTrue="1">
      <formula>$Q75="删除"</formula>
    </cfRule>
  </conditionalFormatting>
  <conditionalFormatting sqref="I75:J75">
    <cfRule type="expression" priority="128" stopIfTrue="1">
      <formula>$Q75="删除"</formula>
    </cfRule>
  </conditionalFormatting>
  <conditionalFormatting sqref="L75">
    <cfRule type="expression" priority="126" stopIfTrue="1">
      <formula>$Q75="删除"</formula>
    </cfRule>
  </conditionalFormatting>
  <conditionalFormatting sqref="H102">
    <cfRule type="expression" priority="123" stopIfTrue="1">
      <formula>$Q102="删除"</formula>
    </cfRule>
  </conditionalFormatting>
  <conditionalFormatting sqref="L102">
    <cfRule type="expression" priority="116" stopIfTrue="1">
      <formula>$Q102="删除"</formula>
    </cfRule>
  </conditionalFormatting>
  <conditionalFormatting sqref="M102">
    <cfRule type="expression" priority="115" stopIfTrue="1">
      <formula>$Q102="删除"</formula>
    </cfRule>
  </conditionalFormatting>
  <conditionalFormatting sqref="J116 L116">
    <cfRule type="expression" priority="112" stopIfTrue="1">
      <formula>$Q116="删除"</formula>
    </cfRule>
  </conditionalFormatting>
  <conditionalFormatting sqref="N116">
    <cfRule type="expression" priority="111" stopIfTrue="1">
      <formula>$Q116="删除"</formula>
    </cfRule>
  </conditionalFormatting>
  <conditionalFormatting sqref="H110:L110">
    <cfRule type="expression" priority="109" stopIfTrue="1">
      <formula>$Q110="删除"</formula>
    </cfRule>
  </conditionalFormatting>
  <conditionalFormatting sqref="H111:I111 K111:L111">
    <cfRule type="expression" priority="101" stopIfTrue="1">
      <formula>$Q111="删除"</formula>
    </cfRule>
  </conditionalFormatting>
  <conditionalFormatting sqref="J111">
    <cfRule type="expression" priority="93" stopIfTrue="1">
      <formula>$Q111="删除"</formula>
    </cfRule>
  </conditionalFormatting>
  <conditionalFormatting sqref="H131:J131 M131">
    <cfRule type="expression" priority="85" stopIfTrue="1">
      <formula>$Q131="删除"</formula>
    </cfRule>
  </conditionalFormatting>
  <conditionalFormatting sqref="H133:J133 L133:N133">
    <cfRule type="expression" priority="83" stopIfTrue="1">
      <formula>$Q133="删除"</formula>
    </cfRule>
  </conditionalFormatting>
  <conditionalFormatting sqref="H132:J132 L132:N132">
    <cfRule type="expression" priority="81" stopIfTrue="1">
      <formula>$Q132="删除"</formula>
    </cfRule>
  </conditionalFormatting>
  <conditionalFormatting sqref="H156:J156 M156">
    <cfRule type="expression" priority="79" stopIfTrue="1">
      <formula>$Q156="删除"</formula>
    </cfRule>
  </conditionalFormatting>
  <conditionalFormatting sqref="H157:J157 L157:N157">
    <cfRule type="expression" priority="77" stopIfTrue="1">
      <formula>$Q157="删除"</formula>
    </cfRule>
  </conditionalFormatting>
  <conditionalFormatting sqref="M90:N90">
    <cfRule type="expression" priority="74" stopIfTrue="1">
      <formula>$Q90="删除"</formula>
    </cfRule>
  </conditionalFormatting>
  <conditionalFormatting sqref="H90:J90 L90">
    <cfRule type="expression" priority="72" stopIfTrue="1">
      <formula>$Q90="删除"</formula>
    </cfRule>
  </conditionalFormatting>
  <conditionalFormatting sqref="K134">
    <cfRule type="expression" priority="70" stopIfTrue="1">
      <formula>$Q134="删除"</formula>
    </cfRule>
  </conditionalFormatting>
  <conditionalFormatting sqref="M134:N134">
    <cfRule type="expression" priority="67" stopIfTrue="1">
      <formula>$Q134="删除"</formula>
    </cfRule>
  </conditionalFormatting>
  <conditionalFormatting sqref="H134:J134 L134">
    <cfRule type="expression" priority="66" stopIfTrue="1">
      <formula>$Q134="删除"</formula>
    </cfRule>
  </conditionalFormatting>
  <conditionalFormatting sqref="J250">
    <cfRule type="expression" priority="45" stopIfTrue="1">
      <formula>$Q250="删除"</formula>
    </cfRule>
  </conditionalFormatting>
  <conditionalFormatting sqref="M193:N193">
    <cfRule type="expression" priority="61" stopIfTrue="1">
      <formula>$Q193="删除"</formula>
    </cfRule>
  </conditionalFormatting>
  <conditionalFormatting sqref="H193:J193 L193">
    <cfRule type="expression" priority="60" stopIfTrue="1">
      <formula>$Q193="删除"</formula>
    </cfRule>
  </conditionalFormatting>
  <conditionalFormatting sqref="M231:N231">
    <cfRule type="expression" priority="56" stopIfTrue="1">
      <formula>$Q231="删除"</formula>
    </cfRule>
  </conditionalFormatting>
  <conditionalFormatting sqref="H231:J231 L231">
    <cfRule type="expression" priority="55" stopIfTrue="1">
      <formula>$Q231="删除"</formula>
    </cfRule>
  </conditionalFormatting>
  <conditionalFormatting sqref="M278:N278">
    <cfRule type="expression" priority="51" stopIfTrue="1">
      <formula>$Q278="删除"</formula>
    </cfRule>
  </conditionalFormatting>
  <conditionalFormatting sqref="H278:J278 L278">
    <cfRule type="expression" priority="50" stopIfTrue="1">
      <formula>$Q278="删除"</formula>
    </cfRule>
  </conditionalFormatting>
  <conditionalFormatting sqref="K249">
    <cfRule type="expression" priority="48" stopIfTrue="1">
      <formula>$Q249="删除"</formula>
    </cfRule>
  </conditionalFormatting>
  <conditionalFormatting sqref="J253">
    <cfRule type="expression" priority="47" stopIfTrue="1">
      <formula>$Q253="删除"</formula>
    </cfRule>
  </conditionalFormatting>
  <conditionalFormatting sqref="J251">
    <cfRule type="expression" priority="46" stopIfTrue="1">
      <formula>$Q251="删除"</formula>
    </cfRule>
  </conditionalFormatting>
  <conditionalFormatting sqref="H35:N35">
    <cfRule type="expression" priority="39" stopIfTrue="1">
      <formula>$Q35="删除"</formula>
    </cfRule>
  </conditionalFormatting>
  <conditionalFormatting sqref="H36:N36">
    <cfRule type="expression" priority="37" stopIfTrue="1">
      <formula>$Q36="删除"</formula>
    </cfRule>
  </conditionalFormatting>
  <conditionalFormatting sqref="M292">
    <cfRule type="expression" priority="24" stopIfTrue="1">
      <formula>$Q292="删除"</formula>
    </cfRule>
  </conditionalFormatting>
  <conditionalFormatting sqref="H293:I293">
    <cfRule type="expression" priority="17" stopIfTrue="1">
      <formula>$Q293="删除"</formula>
    </cfRule>
  </conditionalFormatting>
  <conditionalFormatting sqref="H292:I292 L292:L294">
    <cfRule type="expression" priority="22" stopIfTrue="1">
      <formula>$Q292="删除"</formula>
    </cfRule>
  </conditionalFormatting>
  <conditionalFormatting sqref="J292:J294">
    <cfRule type="expression" priority="20" stopIfTrue="1">
      <formula>$Q292="删除"</formula>
    </cfRule>
  </conditionalFormatting>
  <conditionalFormatting sqref="M293">
    <cfRule type="expression" priority="19" stopIfTrue="1">
      <formula>$Q293="删除"</formula>
    </cfRule>
  </conditionalFormatting>
  <conditionalFormatting sqref="N292:N294">
    <cfRule type="expression" priority="9" stopIfTrue="1">
      <formula>$Q292="删除"</formula>
    </cfRule>
  </conditionalFormatting>
  <conditionalFormatting sqref="M294">
    <cfRule type="expression" priority="15" stopIfTrue="1">
      <formula>$Q294="删除"</formula>
    </cfRule>
  </conditionalFormatting>
  <conditionalFormatting sqref="M82 I82:J82">
    <cfRule type="expression" priority="7" stopIfTrue="1">
      <formula>$Q82="删除"</formula>
    </cfRule>
  </conditionalFormatting>
  <conditionalFormatting sqref="H294:I294">
    <cfRule type="expression" priority="13" stopIfTrue="1">
      <formula>$Q294="删除"</formula>
    </cfRule>
  </conditionalFormatting>
  <conditionalFormatting sqref="K82">
    <cfRule type="expression" priority="8" stopIfTrue="1">
      <formula>$Q82="删除"</formula>
    </cfRule>
  </conditionalFormatting>
  <conditionalFormatting sqref="L82">
    <cfRule type="expression" priority="5" stopIfTrue="1">
      <formula>$Q82="删除"</formula>
    </cfRule>
  </conditionalFormatting>
  <conditionalFormatting sqref="H82">
    <cfRule type="expression" priority="4" stopIfTrue="1">
      <formula>$Q82="删除"</formula>
    </cfRule>
  </conditionalFormatting>
  <conditionalFormatting sqref="N82">
    <cfRule type="expression" priority="2" stopIfTrue="1">
      <formula>$Q82="删除"</formula>
    </cfRule>
  </conditionalFormatting>
  <conditionalFormatting sqref="P13">
    <cfRule type="expression" priority="2910" stopIfTrue="1">
      <formula>$Q11="删除"</formula>
    </cfRule>
  </conditionalFormatting>
  <dataValidations count="7">
    <dataValidation type="list" allowBlank="1" showInputMessage="1" showErrorMessage="1" sqref="D820:D825 D306:D809">
      <formula1>ModuleName</formula1>
    </dataValidation>
    <dataValidation type="list" allowBlank="1" showInputMessage="1" showErrorMessage="1" sqref="S206:S207 S306:S309 W306:W309 AA306:AA309 AA43:AA71 W43:W71 S43:S71 S85:S195 W85:W195 AA85:AA195 AA11:AA41 S11:S41 W11:W41 S233:S236 W233:W236 AA233:AA236 AA203:AA204 W203:W204 S203:S204 AA673 W673 S673 AA666:AA668 W666:W668 S666:S668 AA654:AA656 W654:W656 S654:S656 AA647:AA649 W647:W649 S647:S649 AA642 W642 S642 AA631 W631 S631 AA605 W605 S605 AA551:AA553 W551:W553 S551:S553 AA491:AA538 W491:W538 S491:S538 AA470:AA488 W470:W488 S470:S488 AA464:AA465 W464:W465 S464:S465 AA460:AA461 W460:W461 S460:S461 AA454:AA457 W454:W457 S454:S457 AA451 W451 S451 AA442:AA444 W442:W444 S442:S444 AA435:AA437 W435:W437 S435:S437 AA423:AA425 W423:W425 S423:S425 AA416:AA418 W416:W418 S416:S418 AA411 W411 S411 AA400 W400 S400 AA374 W374 S374 AA347 W347 S347 AA340:AA341 W340:W341 S340:S341 AA337 W337 S337 AA321:AA334 W321:W334 S321:S334 AA314:AA316 W314:W316 S314:S316 AA298 W298 S298 AA287:AA291 W287:W291 S287:S291 AA280 W280 S280 AA241:AA246 W241:W246 S241:S246 AA220:AA222 W220:W222 S220:S222 AA206:AA207 W206:W207">
      <formula1>"OK,NG,POK,NT,SKIP"</formula1>
    </dataValidation>
    <dataValidation type="list" allowBlank="1" showInputMessage="1" showErrorMessage="1" promptTitle="§温馨提示§" prompt="修订状态为“删除”时，请将“纳入测试”设置为“否”。" sqref="Q545:Q557 Q11:Q538 Q820:Q825 Q776:Q788 Q579:Q769">
      <formula1>"新增,修改,删除"</formula1>
    </dataValidation>
    <dataValidation type="list" allowBlank="1" showInputMessage="1" showErrorMessage="1" sqref="H11:H1569">
      <formula1>"高,中,低"</formula1>
    </dataValidation>
    <dataValidation type="list" allowBlank="1" showInputMessage="1" showErrorMessage="1" sqref="I11:I1569">
      <formula1>"正常系,异常系"</formula1>
    </dataValidation>
    <dataValidation type="list" allowBlank="1" showInputMessage="1" showErrorMessage="1" sqref="R11:R1569">
      <formula1>"是,否"</formula1>
    </dataValidation>
    <dataValidation type="list" allowBlank="1" showInputMessage="1" showErrorMessage="1" sqref="P11:P305">
      <formula1>"手工,自动化"</formula1>
    </dataValidation>
  </dataValidations>
  <hyperlinks>
    <hyperlink ref="M60" r:id="rId3"/>
    <hyperlink ref="M166" r:id="rId4"/>
  </hyperlinks>
  <pageMargins left="0.69861111111111107" right="0.69861111111111107" top="0.75" bottom="0.75" header="0.3" footer="0.3"/>
  <pageSetup paperSize="9" orientation="portrait" horizontalDpi="200" verticalDpi="200" r:id="rId5"/>
  <headerFooter alignWithMargins="0"/>
  <legacyDrawing r:id="rId6"/>
</worksheet>
</file>

<file path=xl/worksheets/sheet5.xml><?xml version="1.0" encoding="utf-8"?>
<worksheet xmlns="http://schemas.openxmlformats.org/spreadsheetml/2006/main" xmlns:r="http://schemas.openxmlformats.org/officeDocument/2006/relationships">
  <dimension ref="A1:AF1453"/>
  <sheetViews>
    <sheetView zoomScale="85" zoomScaleNormal="85" workbookViewId="0">
      <selection activeCell="E11" sqref="E11"/>
    </sheetView>
  </sheetViews>
  <sheetFormatPr defaultColWidth="9" defaultRowHeight="12" outlineLevelRow="1"/>
  <cols>
    <col min="1" max="1" width="1.125" style="55" customWidth="1"/>
    <col min="2" max="2" width="4.25" style="58" customWidth="1"/>
    <col min="3" max="3" width="7.125" style="58" customWidth="1"/>
    <col min="4" max="4" width="11.5" style="58" customWidth="1"/>
    <col min="5" max="5" width="9.5" style="59" customWidth="1"/>
    <col min="6" max="6" width="10.25" style="58" customWidth="1"/>
    <col min="7" max="7" width="12" style="58" customWidth="1"/>
    <col min="8" max="9" width="7" style="58" customWidth="1"/>
    <col min="10" max="11" width="23.75" style="59" customWidth="1"/>
    <col min="12" max="13" width="26.875" style="59" customWidth="1"/>
    <col min="14" max="14" width="21.125" style="59" customWidth="1"/>
    <col min="15" max="15" width="8" style="59" customWidth="1"/>
    <col min="16" max="16" width="8" style="55" customWidth="1"/>
    <col min="17" max="17" width="8.75" style="55" customWidth="1"/>
    <col min="18" max="18" width="8.5" style="55" customWidth="1"/>
    <col min="19" max="19" width="10" style="55" customWidth="1"/>
    <col min="20" max="22" width="9" style="55" customWidth="1"/>
    <col min="23" max="23" width="10" style="55" customWidth="1"/>
    <col min="24" max="26" width="9" style="55"/>
    <col min="27" max="27" width="10" style="55" customWidth="1"/>
    <col min="28" max="16384" width="9" style="55"/>
  </cols>
  <sheetData>
    <row r="1" spans="1:31" ht="4.5" customHeight="1"/>
    <row r="2" spans="1:31" s="5" customFormat="1" ht="21.75" hidden="1" customHeight="1" outlineLevel="1">
      <c r="B2" s="260" t="s">
        <v>0</v>
      </c>
      <c r="C2" s="260"/>
      <c r="D2" s="260"/>
      <c r="E2" s="260"/>
      <c r="F2" s="260"/>
      <c r="G2" s="260"/>
      <c r="H2" s="260"/>
      <c r="I2" s="260"/>
      <c r="J2" s="261"/>
      <c r="K2" s="260"/>
      <c r="L2" s="261"/>
      <c r="M2" s="261"/>
      <c r="N2" s="260"/>
      <c r="O2" s="260"/>
      <c r="P2" s="260"/>
      <c r="Q2" s="11"/>
      <c r="R2" s="11"/>
    </row>
    <row r="3" spans="1:31" s="5" customFormat="1" ht="6" hidden="1" customHeight="1" outlineLevel="1">
      <c r="B3" s="12"/>
      <c r="C3" s="12"/>
      <c r="D3" s="12"/>
      <c r="E3" s="12"/>
      <c r="F3" s="12"/>
      <c r="G3" s="12"/>
      <c r="H3" s="12"/>
      <c r="I3" s="12"/>
      <c r="J3" s="94"/>
      <c r="K3" s="12"/>
      <c r="L3" s="94"/>
      <c r="M3" s="94"/>
      <c r="N3" s="12"/>
      <c r="O3" s="12"/>
      <c r="P3" s="12"/>
      <c r="Q3" s="12"/>
      <c r="R3" s="12"/>
    </row>
    <row r="4" spans="1:31" s="5" customFormat="1" ht="18" hidden="1" customHeight="1" outlineLevel="1">
      <c r="A4" s="60"/>
      <c r="B4" s="206"/>
      <c r="C4" s="206"/>
      <c r="D4" s="206"/>
      <c r="E4" s="206"/>
      <c r="F4" s="206"/>
      <c r="G4" s="206"/>
      <c r="H4" s="206"/>
      <c r="I4" s="206"/>
      <c r="J4" s="207"/>
      <c r="K4" s="206"/>
      <c r="L4" s="207"/>
      <c r="M4" s="207"/>
      <c r="N4" s="206"/>
      <c r="O4" s="206"/>
      <c r="P4" s="206"/>
      <c r="Q4" s="206"/>
      <c r="R4" s="206"/>
      <c r="S4" s="262" t="s">
        <v>26</v>
      </c>
      <c r="T4" s="262"/>
      <c r="U4" s="262"/>
      <c r="V4" s="262"/>
      <c r="W4" s="262" t="s">
        <v>27</v>
      </c>
      <c r="X4" s="262"/>
      <c r="Y4" s="262"/>
      <c r="Z4" s="262"/>
      <c r="AA4" s="262" t="s">
        <v>28</v>
      </c>
      <c r="AB4" s="262"/>
      <c r="AC4" s="262"/>
      <c r="AD4" s="262"/>
      <c r="AE4" s="208"/>
    </row>
    <row r="5" spans="1:31" s="5" customFormat="1" ht="18" hidden="1" customHeight="1" outlineLevel="1">
      <c r="A5" s="60"/>
      <c r="B5" s="206"/>
      <c r="C5" s="206"/>
      <c r="D5" s="206"/>
      <c r="E5" s="206"/>
      <c r="F5" s="206"/>
      <c r="G5" s="206"/>
      <c r="H5" s="206"/>
      <c r="I5" s="206"/>
      <c r="J5" s="207"/>
      <c r="K5" s="206"/>
      <c r="L5" s="207"/>
      <c r="M5" s="207"/>
      <c r="N5" s="206"/>
      <c r="O5" s="206"/>
      <c r="P5" s="206"/>
      <c r="Q5" s="206"/>
      <c r="R5" s="206"/>
      <c r="S5" s="209" t="s">
        <v>29</v>
      </c>
      <c r="T5" s="209" t="e">
        <f>SUMPRODUCT(($G$11:$G$1875&lt;&gt;"")*($Q$11:$Q$1874&lt;&gt;"删除"))</f>
        <v>#N/A</v>
      </c>
      <c r="U5" s="209" t="s">
        <v>30</v>
      </c>
      <c r="V5" s="209">
        <f>SUMPRODUCT(($R$11:$R$1671="是")*(S$11:S$1671=U$5))</f>
        <v>0</v>
      </c>
      <c r="W5" s="209" t="s">
        <v>29</v>
      </c>
      <c r="X5" s="209" t="e">
        <f t="array" ref="X5">SUMPRODUCT(($G$11:$G$1875&lt;&gt;"")*($Q$11:$Q$1874&lt;&gt;"删除"))</f>
        <v>#N/A</v>
      </c>
      <c r="Y5" s="209" t="s">
        <v>30</v>
      </c>
      <c r="Z5" s="209">
        <f>SUMPRODUCT(($R$11:$R$1671="是")*(W$11:W$1671=Y$5))</f>
        <v>0</v>
      </c>
      <c r="AA5" s="209" t="s">
        <v>29</v>
      </c>
      <c r="AB5" s="209" t="e">
        <f t="array" ref="AB5">SUMPRODUCT(($G$11:$G$1875&lt;&gt;"")*($Q$11:$Q$1874&lt;&gt;"删除"))</f>
        <v>#N/A</v>
      </c>
      <c r="AC5" s="209" t="s">
        <v>30</v>
      </c>
      <c r="AD5" s="209">
        <f>SUMPRODUCT(($R$11:$R$1671="是")*(AA$11:AA$1671=AC$5))</f>
        <v>0</v>
      </c>
      <c r="AE5" s="208"/>
    </row>
    <row r="6" spans="1:31" s="5" customFormat="1" ht="18" hidden="1" customHeight="1" outlineLevel="1">
      <c r="A6" s="60"/>
      <c r="B6" s="206"/>
      <c r="C6" s="206"/>
      <c r="D6" s="206"/>
      <c r="E6" s="206"/>
      <c r="F6" s="206"/>
      <c r="G6" s="206"/>
      <c r="H6" s="206"/>
      <c r="I6" s="206"/>
      <c r="J6" s="207"/>
      <c r="K6" s="206"/>
      <c r="L6" s="207"/>
      <c r="M6" s="207"/>
      <c r="N6" s="206"/>
      <c r="O6" s="206"/>
      <c r="P6" s="206"/>
      <c r="Q6" s="206"/>
      <c r="R6" s="206"/>
      <c r="S6" s="209" t="s">
        <v>31</v>
      </c>
      <c r="T6" s="209">
        <f t="array" ref="T6">COUNTIF($R$10:$R$1671,"是")</f>
        <v>3</v>
      </c>
      <c r="U6" s="209" t="s">
        <v>32</v>
      </c>
      <c r="V6" s="209">
        <f>SUMPRODUCT(($R$11:$R$1671="是")*(S$11:S$1671=U$6))</f>
        <v>0</v>
      </c>
      <c r="W6" s="209" t="s">
        <v>31</v>
      </c>
      <c r="X6" s="209">
        <f t="array" ref="X6">COUNTIF($R$10:$R$1671,"是")</f>
        <v>3</v>
      </c>
      <c r="Y6" s="209" t="s">
        <v>32</v>
      </c>
      <c r="Z6" s="209">
        <f>SUMPRODUCT(($R$11:$R$1671="是")*(W$11:W$1671=Y$6))</f>
        <v>0</v>
      </c>
      <c r="AA6" s="209" t="s">
        <v>31</v>
      </c>
      <c r="AB6" s="209">
        <f t="array" ref="AB6">COUNTIF($R$10:$R$1671,"是")</f>
        <v>3</v>
      </c>
      <c r="AC6" s="209" t="s">
        <v>32</v>
      </c>
      <c r="AD6" s="209">
        <f>SUMPRODUCT(($R$11:$R$1671="是")*(AA$11:AA$1671=AC$6))</f>
        <v>0</v>
      </c>
      <c r="AE6" s="208"/>
    </row>
    <row r="7" spans="1:31" s="5" customFormat="1" ht="18" hidden="1" customHeight="1" outlineLevel="1">
      <c r="A7" s="60"/>
      <c r="B7" s="206"/>
      <c r="C7" s="206"/>
      <c r="D7" s="206"/>
      <c r="E7" s="206"/>
      <c r="F7" s="206"/>
      <c r="G7" s="206"/>
      <c r="H7" s="206"/>
      <c r="I7" s="206"/>
      <c r="J7" s="207"/>
      <c r="K7" s="206"/>
      <c r="L7" s="207"/>
      <c r="M7" s="207"/>
      <c r="N7" s="206"/>
      <c r="O7" s="206"/>
      <c r="P7" s="206"/>
      <c r="Q7" s="206"/>
      <c r="R7" s="206"/>
      <c r="S7" s="209" t="s">
        <v>33</v>
      </c>
      <c r="T7" s="209">
        <f>IF(V5+V6+V7=0,0%,(V5+V6+V7)/(T6))</f>
        <v>0</v>
      </c>
      <c r="U7" s="209" t="s">
        <v>34</v>
      </c>
      <c r="V7" s="209">
        <f>SUMPRODUCT(($R$11:$R$1671="是")*(S$11:S$1671=U$7))</f>
        <v>0</v>
      </c>
      <c r="W7" s="209" t="s">
        <v>33</v>
      </c>
      <c r="X7" s="209">
        <f>IF(Z5+Z6+Z7=0,0%,(Z5+Z6+Z7)/(X6))</f>
        <v>0</v>
      </c>
      <c r="Y7" s="209" t="s">
        <v>34</v>
      </c>
      <c r="Z7" s="209">
        <f>SUMPRODUCT(($R$11:$R$1671="是")*(W$11:W$1671=Y$7))</f>
        <v>0</v>
      </c>
      <c r="AA7" s="209" t="s">
        <v>33</v>
      </c>
      <c r="AB7" s="209">
        <f>IF(AD5+AD6+AD7=0,0%,(AD5+AD6+AD7)/(AB6))</f>
        <v>0</v>
      </c>
      <c r="AC7" s="209" t="s">
        <v>34</v>
      </c>
      <c r="AD7" s="209">
        <f>SUMPRODUCT(($R$11:$R$1671="是")*(AA$11:AA$1671=AC$7))</f>
        <v>0</v>
      </c>
      <c r="AE7" s="208"/>
    </row>
    <row r="8" spans="1:31" s="5" customFormat="1" ht="57" hidden="1" customHeight="1" outlineLevel="1">
      <c r="A8" s="60"/>
      <c r="B8" s="206"/>
      <c r="C8" s="206"/>
      <c r="D8" s="210" t="s">
        <v>967</v>
      </c>
      <c r="E8" s="210" t="s">
        <v>35</v>
      </c>
      <c r="F8" s="210" t="s">
        <v>36</v>
      </c>
      <c r="G8" s="210" t="s">
        <v>37</v>
      </c>
      <c r="H8" s="206"/>
      <c r="I8" s="206"/>
      <c r="J8" s="207"/>
      <c r="K8" s="206"/>
      <c r="L8" s="207"/>
      <c r="M8" s="207"/>
      <c r="N8" s="206"/>
      <c r="O8" s="206"/>
      <c r="P8" s="206"/>
      <c r="Q8" s="206"/>
      <c r="R8" s="206"/>
      <c r="S8" s="209" t="s">
        <v>38</v>
      </c>
      <c r="T8" s="209">
        <f t="array" ref="T8">IF(V5=0,0%,V5/(V5+V6+V7))</f>
        <v>0</v>
      </c>
      <c r="U8" s="209" t="s">
        <v>39</v>
      </c>
      <c r="V8" s="209">
        <f>SUMPRODUCT(($R$11:$R$1671="是")*(S$11:S$1671=U$8))</f>
        <v>0</v>
      </c>
      <c r="W8" s="209" t="s">
        <v>38</v>
      </c>
      <c r="X8" s="209">
        <f t="array" ref="X8">IF(Z5=0,0%,Z5/(Z5+Z6+Z7))</f>
        <v>0</v>
      </c>
      <c r="Y8" s="209" t="s">
        <v>39</v>
      </c>
      <c r="Z8" s="209">
        <f>SUMPRODUCT(($R$11:$R$1671="是")*(W$11:W$1671=Y$8))</f>
        <v>0</v>
      </c>
      <c r="AA8" s="209" t="s">
        <v>38</v>
      </c>
      <c r="AB8" s="209">
        <f t="array" ref="AB8">IF(AD5=0,0%,AD5/(AD5+AD6+AD7))</f>
        <v>0</v>
      </c>
      <c r="AC8" s="209" t="s">
        <v>39</v>
      </c>
      <c r="AD8" s="209">
        <f>SUMPRODUCT(($R$11:$R$1671="是")*(AA$11:AA$1671=AC$8))</f>
        <v>0</v>
      </c>
      <c r="AE8" s="208"/>
    </row>
    <row r="9" spans="1:31" s="5" customFormat="1" hidden="1" outlineLevel="1">
      <c r="A9" s="60"/>
      <c r="B9" s="206"/>
      <c r="C9" s="206"/>
      <c r="D9" s="206" t="s">
        <v>968</v>
      </c>
      <c r="E9" s="206" t="s">
        <v>965</v>
      </c>
      <c r="F9" s="206"/>
      <c r="G9" s="206" t="s">
        <v>964</v>
      </c>
      <c r="H9" s="206"/>
      <c r="I9" s="206"/>
      <c r="J9" s="207"/>
      <c r="K9" s="206"/>
      <c r="L9" s="207"/>
      <c r="M9" s="207"/>
      <c r="N9" s="206"/>
      <c r="O9" s="206"/>
      <c r="P9" s="206"/>
      <c r="Q9" s="206"/>
      <c r="R9" s="206"/>
      <c r="S9" s="209" t="s">
        <v>40</v>
      </c>
      <c r="T9" s="209">
        <f t="array" ref="T9">SUMPRODUCT(($R$11:$R$1671="是")*(S$11:S$1671=S9))</f>
        <v>0</v>
      </c>
      <c r="U9" s="209" t="s">
        <v>41</v>
      </c>
      <c r="V9" s="209">
        <f t="array" ref="V9">(T6-V8-V7-V6-V5-T9)</f>
        <v>3</v>
      </c>
      <c r="W9" s="209" t="s">
        <v>40</v>
      </c>
      <c r="X9" s="209">
        <f t="array" ref="X9">SUMPRODUCT(($R$11:$R$1671="是")*(W$11:W$1671=W9))</f>
        <v>0</v>
      </c>
      <c r="Y9" s="209" t="s">
        <v>41</v>
      </c>
      <c r="Z9" s="209">
        <f t="array" ref="Z9">(X6-Z8-Z7-Z6-Z5-X9)</f>
        <v>3</v>
      </c>
      <c r="AA9" s="209" t="s">
        <v>40</v>
      </c>
      <c r="AB9" s="209">
        <f t="array" ref="AB9">SUMPRODUCT(($R$11:$R$1671="是")*(AA$11:AA$1671=AA9))</f>
        <v>0</v>
      </c>
      <c r="AC9" s="209" t="s">
        <v>41</v>
      </c>
      <c r="AD9" s="209">
        <f t="array" ref="AD9">(AB6-AD8-AD7-AD6-AD5-AB9)</f>
        <v>3</v>
      </c>
      <c r="AE9" s="208"/>
    </row>
    <row r="10" spans="1:31" s="54" customFormat="1" ht="17.25" customHeight="1" collapsed="1">
      <c r="A10" s="62"/>
      <c r="B10" s="211" t="s">
        <v>42</v>
      </c>
      <c r="C10" s="211" t="s">
        <v>16</v>
      </c>
      <c r="D10" s="211" t="s">
        <v>43</v>
      </c>
      <c r="E10" s="211" t="s">
        <v>44</v>
      </c>
      <c r="F10" s="211" t="s">
        <v>45</v>
      </c>
      <c r="G10" s="211" t="s">
        <v>46</v>
      </c>
      <c r="H10" s="211" t="s">
        <v>47</v>
      </c>
      <c r="I10" s="211" t="s">
        <v>48</v>
      </c>
      <c r="J10" s="212" t="s">
        <v>49</v>
      </c>
      <c r="K10" s="211" t="s">
        <v>50</v>
      </c>
      <c r="L10" s="213" t="s">
        <v>51</v>
      </c>
      <c r="M10" s="213" t="s">
        <v>52</v>
      </c>
      <c r="N10" s="69" t="s">
        <v>53</v>
      </c>
      <c r="O10" s="69" t="s">
        <v>54</v>
      </c>
      <c r="P10" s="211" t="s">
        <v>55</v>
      </c>
      <c r="Q10" s="211" t="s">
        <v>56</v>
      </c>
      <c r="R10" s="211" t="s">
        <v>31</v>
      </c>
      <c r="S10" s="69" t="s">
        <v>57</v>
      </c>
      <c r="T10" s="211" t="s">
        <v>58</v>
      </c>
      <c r="U10" s="69" t="s">
        <v>59</v>
      </c>
      <c r="V10" s="211" t="s">
        <v>60</v>
      </c>
      <c r="W10" s="69" t="s">
        <v>57</v>
      </c>
      <c r="X10" s="211" t="s">
        <v>58</v>
      </c>
      <c r="Y10" s="69" t="s">
        <v>59</v>
      </c>
      <c r="Z10" s="211" t="s">
        <v>60</v>
      </c>
      <c r="AA10" s="69" t="s">
        <v>57</v>
      </c>
      <c r="AB10" s="211" t="s">
        <v>58</v>
      </c>
      <c r="AC10" s="69" t="s">
        <v>59</v>
      </c>
      <c r="AD10" s="211" t="s">
        <v>60</v>
      </c>
      <c r="AE10" s="214" t="s">
        <v>61</v>
      </c>
    </row>
    <row r="11" spans="1:31" ht="132">
      <c r="A11" s="23"/>
      <c r="B11" s="215">
        <f>SUBTOTAL(103,$C$11:C11)</f>
        <v>1</v>
      </c>
      <c r="C11" s="215">
        <f>测试大纲!$A$19</f>
        <v>4</v>
      </c>
      <c r="D11" s="239" t="s">
        <v>240</v>
      </c>
      <c r="E11" s="227" t="s">
        <v>241</v>
      </c>
      <c r="F11" s="215"/>
      <c r="G11" s="215" t="str">
        <f>$D$9 &amp; "-"&amp;测试大纲!I$19&amp;"-"&amp;TEXT(SUBTOTAL(103,$C$11:C11),"000")</f>
        <v>Web-BGCX-001</v>
      </c>
      <c r="H11" s="219" t="s">
        <v>337</v>
      </c>
      <c r="I11" s="219" t="s">
        <v>62</v>
      </c>
      <c r="J11" s="220" t="s">
        <v>726</v>
      </c>
      <c r="K11" s="226" t="s">
        <v>426</v>
      </c>
      <c r="L11" s="221"/>
      <c r="M11" s="215"/>
      <c r="N11" s="221" t="s">
        <v>763</v>
      </c>
      <c r="O11" s="214"/>
      <c r="P11" s="222"/>
      <c r="Q11" s="222"/>
      <c r="R11" s="223"/>
      <c r="S11" s="223"/>
      <c r="T11" s="222"/>
      <c r="U11" s="214"/>
      <c r="V11" s="222"/>
      <c r="W11" s="223"/>
      <c r="X11" s="222"/>
      <c r="Y11" s="214"/>
      <c r="Z11" s="222"/>
      <c r="AA11" s="223"/>
      <c r="AB11" s="222"/>
      <c r="AC11" s="214"/>
      <c r="AD11" s="222"/>
      <c r="AE11" s="222"/>
    </row>
    <row r="12" spans="1:31" ht="36">
      <c r="A12" s="23"/>
      <c r="B12" s="215">
        <f>SUBTOTAL(103,$C$11:C12)</f>
        <v>2</v>
      </c>
      <c r="C12" s="215">
        <f>测试大纲!$A$19</f>
        <v>4</v>
      </c>
      <c r="D12" s="239" t="s">
        <v>240</v>
      </c>
      <c r="E12" s="227" t="s">
        <v>241</v>
      </c>
      <c r="F12" s="215"/>
      <c r="G12" s="215" t="str">
        <f>$D$9 &amp; "-"&amp;测试大纲!I$19&amp;"-"&amp;TEXT(SUBTOTAL(103,$C$11:C12),"000")</f>
        <v>Web-BGCX-002</v>
      </c>
      <c r="H12" s="219" t="s">
        <v>337</v>
      </c>
      <c r="I12" s="219" t="s">
        <v>62</v>
      </c>
      <c r="J12" s="220" t="s">
        <v>727</v>
      </c>
      <c r="K12" s="226" t="s">
        <v>426</v>
      </c>
      <c r="L12" s="215"/>
      <c r="M12" s="215"/>
      <c r="N12" s="220" t="s">
        <v>520</v>
      </c>
      <c r="O12" s="214"/>
      <c r="P12" s="222"/>
      <c r="Q12" s="222"/>
      <c r="R12" s="223"/>
      <c r="S12" s="223"/>
      <c r="T12" s="222"/>
      <c r="U12" s="214"/>
      <c r="V12" s="222"/>
      <c r="W12" s="223"/>
      <c r="X12" s="222"/>
      <c r="Y12" s="214"/>
      <c r="Z12" s="222"/>
      <c r="AA12" s="223"/>
      <c r="AB12" s="222"/>
      <c r="AC12" s="214"/>
      <c r="AD12" s="222"/>
      <c r="AE12" s="222"/>
    </row>
    <row r="13" spans="1:31" ht="24">
      <c r="A13" s="23"/>
      <c r="B13" s="215">
        <f>SUBTOTAL(103,$C$11:C13)</f>
        <v>3</v>
      </c>
      <c r="C13" s="215">
        <f>测试大纲!$A$19</f>
        <v>4</v>
      </c>
      <c r="D13" s="239" t="s">
        <v>240</v>
      </c>
      <c r="E13" s="227" t="s">
        <v>241</v>
      </c>
      <c r="F13" s="236"/>
      <c r="G13" s="215" t="str">
        <f>$D$9 &amp; "-"&amp;测试大纲!I$19&amp;"-"&amp;TEXT(SUBTOTAL(103,$C$11:C13),"000")</f>
        <v>Web-BGCX-003</v>
      </c>
      <c r="H13" s="219" t="s">
        <v>337</v>
      </c>
      <c r="I13" s="219" t="s">
        <v>62</v>
      </c>
      <c r="J13" s="220" t="s">
        <v>229</v>
      </c>
      <c r="K13" s="226" t="s">
        <v>426</v>
      </c>
      <c r="L13" s="227" t="s">
        <v>230</v>
      </c>
      <c r="M13" s="227"/>
      <c r="N13" s="220" t="s">
        <v>247</v>
      </c>
      <c r="O13" s="214"/>
      <c r="P13" s="222"/>
      <c r="Q13" s="222"/>
      <c r="R13" s="223"/>
      <c r="S13" s="223"/>
      <c r="T13" s="222"/>
      <c r="U13" s="214"/>
      <c r="V13" s="222"/>
      <c r="W13" s="223"/>
      <c r="X13" s="222"/>
      <c r="Y13" s="214"/>
      <c r="Z13" s="222"/>
      <c r="AA13" s="223"/>
      <c r="AB13" s="222"/>
      <c r="AC13" s="214"/>
      <c r="AD13" s="222"/>
      <c r="AE13" s="222"/>
    </row>
    <row r="14" spans="1:31" ht="24">
      <c r="A14" s="23"/>
      <c r="B14" s="215">
        <f>SUBTOTAL(103,$C$11:C14)</f>
        <v>4</v>
      </c>
      <c r="C14" s="215">
        <f>测试大纲!$A$19</f>
        <v>4</v>
      </c>
      <c r="D14" s="239" t="s">
        <v>240</v>
      </c>
      <c r="E14" s="227" t="s">
        <v>241</v>
      </c>
      <c r="F14" s="215"/>
      <c r="G14" s="215" t="str">
        <f>$D$9 &amp; "-"&amp;测试大纲!I$19&amp;"-"&amp;TEXT(SUBTOTAL(103,$C$11:C14),"000")</f>
        <v>Web-BGCX-004</v>
      </c>
      <c r="H14" s="219" t="s">
        <v>340</v>
      </c>
      <c r="I14" s="219" t="s">
        <v>62</v>
      </c>
      <c r="J14" s="220" t="s">
        <v>826</v>
      </c>
      <c r="K14" s="226" t="s">
        <v>426</v>
      </c>
      <c r="L14" s="215" t="s">
        <v>330</v>
      </c>
      <c r="M14" s="215" t="s">
        <v>827</v>
      </c>
      <c r="N14" s="220" t="s">
        <v>828</v>
      </c>
      <c r="O14" s="214"/>
      <c r="P14" s="222"/>
      <c r="Q14" s="222"/>
      <c r="R14" s="223"/>
      <c r="S14" s="223"/>
      <c r="T14" s="222"/>
      <c r="U14" s="214"/>
      <c r="V14" s="222"/>
      <c r="W14" s="223"/>
      <c r="X14" s="222"/>
      <c r="Y14" s="214"/>
      <c r="Z14" s="222"/>
      <c r="AA14" s="223"/>
      <c r="AB14" s="222"/>
      <c r="AC14" s="214"/>
      <c r="AD14" s="222"/>
      <c r="AE14" s="222"/>
    </row>
    <row r="15" spans="1:31" ht="24">
      <c r="A15" s="23"/>
      <c r="B15" s="215">
        <f>SUBTOTAL(103,$C$11:C15)</f>
        <v>5</v>
      </c>
      <c r="C15" s="215">
        <f>测试大纲!$A$19</f>
        <v>4</v>
      </c>
      <c r="D15" s="239" t="s">
        <v>240</v>
      </c>
      <c r="E15" s="227" t="s">
        <v>241</v>
      </c>
      <c r="F15" s="236"/>
      <c r="G15" s="215" t="str">
        <f>$D$9 &amp; "-"&amp;测试大纲!I$19&amp;"-"&amp;TEXT(SUBTOTAL(103,$C$11:C15),"000")</f>
        <v>Web-BGCX-005</v>
      </c>
      <c r="H15" s="219" t="s">
        <v>337</v>
      </c>
      <c r="I15" s="219" t="s">
        <v>62</v>
      </c>
      <c r="J15" s="220" t="s">
        <v>160</v>
      </c>
      <c r="K15" s="226" t="s">
        <v>426</v>
      </c>
      <c r="L15" s="240" t="s">
        <v>166</v>
      </c>
      <c r="M15" s="225" t="s">
        <v>392</v>
      </c>
      <c r="N15" s="220" t="s">
        <v>161</v>
      </c>
      <c r="O15" s="214"/>
      <c r="P15" s="222"/>
      <c r="Q15" s="222"/>
      <c r="R15" s="223"/>
      <c r="S15" s="223"/>
      <c r="T15" s="222"/>
      <c r="U15" s="214"/>
      <c r="V15" s="222"/>
      <c r="W15" s="223"/>
      <c r="X15" s="222"/>
      <c r="Y15" s="214"/>
      <c r="Z15" s="222"/>
      <c r="AA15" s="223"/>
      <c r="AB15" s="222"/>
      <c r="AC15" s="214"/>
      <c r="AD15" s="222"/>
      <c r="AE15" s="222"/>
    </row>
    <row r="16" spans="1:31" ht="24">
      <c r="A16" s="23"/>
      <c r="B16" s="215">
        <f>SUBTOTAL(103,$C$11:C16)</f>
        <v>6</v>
      </c>
      <c r="C16" s="215">
        <f>测试大纲!$A$19</f>
        <v>4</v>
      </c>
      <c r="D16" s="239" t="s">
        <v>240</v>
      </c>
      <c r="E16" s="227" t="s">
        <v>241</v>
      </c>
      <c r="F16" s="236"/>
      <c r="G16" s="215" t="str">
        <f>$D$9 &amp; "-"&amp;测试大纲!I$19&amp;"-"&amp;TEXT(SUBTOTAL(103,$C$11:C16),"000")</f>
        <v>Web-BGCX-006</v>
      </c>
      <c r="H16" s="219" t="s">
        <v>337</v>
      </c>
      <c r="I16" s="219" t="s">
        <v>62</v>
      </c>
      <c r="J16" s="220" t="s">
        <v>248</v>
      </c>
      <c r="K16" s="226" t="s">
        <v>426</v>
      </c>
      <c r="L16" s="225" t="s">
        <v>399</v>
      </c>
      <c r="M16" s="225"/>
      <c r="N16" s="220" t="s">
        <v>162</v>
      </c>
      <c r="O16" s="214"/>
      <c r="P16" s="222"/>
      <c r="Q16" s="222"/>
      <c r="R16" s="223"/>
      <c r="S16" s="223"/>
      <c r="T16" s="222"/>
      <c r="U16" s="214"/>
      <c r="V16" s="222"/>
      <c r="W16" s="223"/>
      <c r="X16" s="222"/>
      <c r="Y16" s="214"/>
      <c r="Z16" s="222"/>
      <c r="AA16" s="223"/>
      <c r="AB16" s="222"/>
      <c r="AC16" s="214"/>
      <c r="AD16" s="222"/>
      <c r="AE16" s="222"/>
    </row>
    <row r="17" spans="1:31" ht="24">
      <c r="A17" s="23"/>
      <c r="B17" s="215">
        <f>SUBTOTAL(103,$C$11:C17)</f>
        <v>7</v>
      </c>
      <c r="C17" s="215">
        <f>测试大纲!$A$19</f>
        <v>4</v>
      </c>
      <c r="D17" s="239" t="s">
        <v>240</v>
      </c>
      <c r="E17" s="227" t="s">
        <v>241</v>
      </c>
      <c r="F17" s="236"/>
      <c r="G17" s="215" t="str">
        <f>$D$9 &amp; "-"&amp;测试大纲!I$19&amp;"-"&amp;TEXT(SUBTOTAL(103,$C$11:C17),"000")</f>
        <v>Web-BGCX-007</v>
      </c>
      <c r="H17" s="219" t="s">
        <v>337</v>
      </c>
      <c r="I17" s="219" t="s">
        <v>62</v>
      </c>
      <c r="J17" s="220" t="s">
        <v>189</v>
      </c>
      <c r="K17" s="226" t="s">
        <v>426</v>
      </c>
      <c r="L17" s="227" t="s">
        <v>232</v>
      </c>
      <c r="M17" s="225" t="s">
        <v>398</v>
      </c>
      <c r="N17" s="220" t="s">
        <v>162</v>
      </c>
      <c r="O17" s="214"/>
      <c r="P17" s="222"/>
      <c r="Q17" s="222"/>
      <c r="R17" s="223"/>
      <c r="S17" s="223"/>
      <c r="T17" s="222"/>
      <c r="U17" s="214"/>
      <c r="V17" s="222"/>
      <c r="W17" s="223"/>
      <c r="X17" s="222"/>
      <c r="Y17" s="214"/>
      <c r="Z17" s="222"/>
      <c r="AA17" s="223"/>
      <c r="AB17" s="222"/>
      <c r="AC17" s="214"/>
      <c r="AD17" s="222"/>
      <c r="AE17" s="222"/>
    </row>
    <row r="18" spans="1:31" ht="24">
      <c r="A18" s="23"/>
      <c r="B18" s="215">
        <f>SUBTOTAL(103,$C$11:C18)</f>
        <v>8</v>
      </c>
      <c r="C18" s="215">
        <f>测试大纲!$A$19</f>
        <v>4</v>
      </c>
      <c r="D18" s="239" t="s">
        <v>240</v>
      </c>
      <c r="E18" s="227" t="s">
        <v>241</v>
      </c>
      <c r="F18" s="236"/>
      <c r="G18" s="215" t="str">
        <f>$D$9 &amp; "-"&amp;测试大纲!I$19&amp;"-"&amp;TEXT(SUBTOTAL(103,$C$11:C18),"000")</f>
        <v>Web-BGCX-008</v>
      </c>
      <c r="H18" s="219" t="s">
        <v>337</v>
      </c>
      <c r="I18" s="219" t="s">
        <v>165</v>
      </c>
      <c r="J18" s="220" t="s">
        <v>573</v>
      </c>
      <c r="K18" s="226" t="s">
        <v>426</v>
      </c>
      <c r="L18" s="227" t="s">
        <v>166</v>
      </c>
      <c r="M18" s="225" t="s">
        <v>400</v>
      </c>
      <c r="N18" s="220" t="s">
        <v>197</v>
      </c>
      <c r="O18" s="214"/>
      <c r="P18" s="222"/>
      <c r="Q18" s="222"/>
      <c r="R18" s="223"/>
      <c r="S18" s="223"/>
      <c r="T18" s="222"/>
      <c r="U18" s="214"/>
      <c r="V18" s="222"/>
      <c r="W18" s="223"/>
      <c r="X18" s="222"/>
      <c r="Y18" s="214"/>
      <c r="Z18" s="222"/>
      <c r="AA18" s="223"/>
      <c r="AB18" s="222"/>
      <c r="AC18" s="214"/>
      <c r="AD18" s="222"/>
      <c r="AE18" s="222"/>
    </row>
    <row r="19" spans="1:31" ht="24">
      <c r="A19" s="23"/>
      <c r="B19" s="215">
        <f>SUBTOTAL(103,$C$11:C19)</f>
        <v>9</v>
      </c>
      <c r="C19" s="215">
        <f>测试大纲!$A$19</f>
        <v>4</v>
      </c>
      <c r="D19" s="239" t="s">
        <v>240</v>
      </c>
      <c r="E19" s="227" t="s">
        <v>241</v>
      </c>
      <c r="F19" s="236"/>
      <c r="G19" s="215" t="str">
        <f>$D$9 &amp; "-"&amp;测试大纲!I$19&amp;"-"&amp;TEXT(SUBTOTAL(103,$C$11:C19),"000")</f>
        <v>Web-BGCX-009</v>
      </c>
      <c r="H19" s="219" t="s">
        <v>338</v>
      </c>
      <c r="I19" s="219" t="s">
        <v>165</v>
      </c>
      <c r="J19" s="220" t="s">
        <v>225</v>
      </c>
      <c r="K19" s="226" t="s">
        <v>426</v>
      </c>
      <c r="L19" s="227" t="s">
        <v>223</v>
      </c>
      <c r="M19" s="225" t="s">
        <v>401</v>
      </c>
      <c r="N19" s="220" t="s">
        <v>224</v>
      </c>
      <c r="O19" s="214"/>
      <c r="P19" s="222"/>
      <c r="Q19" s="222"/>
      <c r="R19" s="223"/>
      <c r="S19" s="223"/>
      <c r="T19" s="222"/>
      <c r="U19" s="214"/>
      <c r="V19" s="222"/>
      <c r="W19" s="223"/>
      <c r="X19" s="222"/>
      <c r="Y19" s="214"/>
      <c r="Z19" s="222"/>
      <c r="AA19" s="223"/>
      <c r="AB19" s="222"/>
      <c r="AC19" s="214"/>
      <c r="AD19" s="222"/>
      <c r="AE19" s="222"/>
    </row>
    <row r="20" spans="1:31" ht="48">
      <c r="A20" s="23"/>
      <c r="B20" s="215">
        <f>SUBTOTAL(103,$C$11:C20)</f>
        <v>10</v>
      </c>
      <c r="C20" s="215">
        <f>测试大纲!$A$19</f>
        <v>4</v>
      </c>
      <c r="D20" s="239" t="s">
        <v>240</v>
      </c>
      <c r="E20" s="227" t="s">
        <v>241</v>
      </c>
      <c r="F20" s="236"/>
      <c r="G20" s="215" t="str">
        <f>$D$9 &amp; "-"&amp;测试大纲!I$19&amp;"-"&amp;TEXT(SUBTOTAL(103,$C$11:C20),"000")</f>
        <v>Web-BGCX-010</v>
      </c>
      <c r="H20" s="219" t="s">
        <v>337</v>
      </c>
      <c r="I20" s="219" t="s">
        <v>62</v>
      </c>
      <c r="J20" s="220" t="s">
        <v>163</v>
      </c>
      <c r="K20" s="226" t="s">
        <v>426</v>
      </c>
      <c r="L20" s="215" t="s">
        <v>882</v>
      </c>
      <c r="M20" s="215" t="s">
        <v>768</v>
      </c>
      <c r="N20" s="220" t="s">
        <v>234</v>
      </c>
      <c r="O20" s="214"/>
      <c r="P20" s="222"/>
      <c r="Q20" s="222"/>
      <c r="R20" s="223"/>
      <c r="S20" s="223"/>
      <c r="T20" s="222"/>
      <c r="U20" s="214"/>
      <c r="V20" s="222"/>
      <c r="W20" s="223"/>
      <c r="X20" s="222"/>
      <c r="Y20" s="214"/>
      <c r="Z20" s="222"/>
      <c r="AA20" s="223"/>
      <c r="AB20" s="222"/>
      <c r="AC20" s="214"/>
      <c r="AD20" s="222"/>
      <c r="AE20" s="222"/>
    </row>
    <row r="21" spans="1:31" ht="48">
      <c r="A21" s="23"/>
      <c r="B21" s="215">
        <f>SUBTOTAL(103,$C$11:C21)</f>
        <v>11</v>
      </c>
      <c r="C21" s="215">
        <f>测试大纲!$A$19</f>
        <v>4</v>
      </c>
      <c r="D21" s="239" t="s">
        <v>240</v>
      </c>
      <c r="E21" s="227" t="s">
        <v>241</v>
      </c>
      <c r="F21" s="215"/>
      <c r="G21" s="215" t="str">
        <f>$D$9 &amp; "-"&amp;测试大纲!I$19&amp;"-"&amp;TEXT(SUBTOTAL(103,$C$11:C21),"000")</f>
        <v>Web-BGCX-011</v>
      </c>
      <c r="H21" s="219" t="s">
        <v>337</v>
      </c>
      <c r="I21" s="219" t="s">
        <v>165</v>
      </c>
      <c r="J21" s="220" t="s">
        <v>614</v>
      </c>
      <c r="K21" s="226" t="s">
        <v>426</v>
      </c>
      <c r="L21" s="215" t="s">
        <v>764</v>
      </c>
      <c r="M21" s="215" t="s">
        <v>769</v>
      </c>
      <c r="N21" s="220" t="s">
        <v>463</v>
      </c>
      <c r="O21" s="214"/>
      <c r="P21" s="222"/>
      <c r="Q21" s="222"/>
      <c r="R21" s="223"/>
      <c r="S21" s="223"/>
      <c r="T21" s="222"/>
      <c r="U21" s="214"/>
      <c r="V21" s="222"/>
      <c r="W21" s="223"/>
      <c r="X21" s="222"/>
      <c r="Y21" s="214"/>
      <c r="Z21" s="222"/>
      <c r="AA21" s="223"/>
      <c r="AB21" s="222"/>
      <c r="AC21" s="214"/>
      <c r="AD21" s="222"/>
      <c r="AE21" s="222"/>
    </row>
    <row r="22" spans="1:31" ht="48">
      <c r="A22" s="23"/>
      <c r="B22" s="215">
        <f>SUBTOTAL(103,$C$11:C22)</f>
        <v>12</v>
      </c>
      <c r="C22" s="215">
        <f>测试大纲!$A$19</f>
        <v>4</v>
      </c>
      <c r="D22" s="239" t="s">
        <v>240</v>
      </c>
      <c r="E22" s="227" t="s">
        <v>241</v>
      </c>
      <c r="F22" s="215"/>
      <c r="G22" s="215" t="str">
        <f>$D$9 &amp; "-"&amp;测试大纲!I$19&amp;"-"&amp;TEXT(SUBTOTAL(103,$C$11:C22),"000")</f>
        <v>Web-BGCX-012</v>
      </c>
      <c r="H22" s="219" t="s">
        <v>337</v>
      </c>
      <c r="I22" s="219" t="s">
        <v>165</v>
      </c>
      <c r="J22" s="220" t="s">
        <v>765</v>
      </c>
      <c r="K22" s="226" t="s">
        <v>426</v>
      </c>
      <c r="L22" s="215" t="s">
        <v>764</v>
      </c>
      <c r="M22" s="215" t="s">
        <v>766</v>
      </c>
      <c r="N22" s="220" t="s">
        <v>463</v>
      </c>
      <c r="O22" s="214"/>
      <c r="P22" s="222"/>
      <c r="Q22" s="222"/>
      <c r="R22" s="223"/>
      <c r="S22" s="223"/>
      <c r="T22" s="222"/>
      <c r="U22" s="214"/>
      <c r="V22" s="222"/>
      <c r="W22" s="223"/>
      <c r="X22" s="222"/>
      <c r="Y22" s="214"/>
      <c r="Z22" s="222"/>
      <c r="AA22" s="223"/>
      <c r="AB22" s="222"/>
      <c r="AC22" s="214"/>
      <c r="AD22" s="222"/>
      <c r="AE22" s="222"/>
    </row>
    <row r="23" spans="1:31" ht="48">
      <c r="A23" s="23"/>
      <c r="B23" s="215">
        <f>SUBTOTAL(103,$C$11:C23)</f>
        <v>13</v>
      </c>
      <c r="C23" s="215">
        <f>测试大纲!$A$19</f>
        <v>4</v>
      </c>
      <c r="D23" s="239" t="s">
        <v>240</v>
      </c>
      <c r="E23" s="227" t="s">
        <v>241</v>
      </c>
      <c r="F23" s="215"/>
      <c r="G23" s="215" t="str">
        <f>$D$9 &amp; "-"&amp;测试大纲!I$19&amp;"-"&amp;TEXT(SUBTOTAL(103,$C$11:C23),"000")</f>
        <v>Web-BGCX-013</v>
      </c>
      <c r="H23" s="219" t="s">
        <v>337</v>
      </c>
      <c r="I23" s="219" t="s">
        <v>165</v>
      </c>
      <c r="J23" s="220" t="s">
        <v>767</v>
      </c>
      <c r="K23" s="226" t="s">
        <v>426</v>
      </c>
      <c r="L23" s="215" t="s">
        <v>764</v>
      </c>
      <c r="M23" s="215" t="s">
        <v>768</v>
      </c>
      <c r="N23" s="220" t="s">
        <v>463</v>
      </c>
      <c r="O23" s="214"/>
      <c r="P23" s="222"/>
      <c r="Q23" s="222"/>
      <c r="R23" s="223"/>
      <c r="S23" s="223"/>
      <c r="T23" s="222"/>
      <c r="U23" s="214"/>
      <c r="V23" s="222"/>
      <c r="W23" s="223"/>
      <c r="X23" s="222"/>
      <c r="Y23" s="214"/>
      <c r="Z23" s="222"/>
      <c r="AA23" s="223"/>
      <c r="AB23" s="222"/>
      <c r="AC23" s="214"/>
      <c r="AD23" s="222"/>
      <c r="AE23" s="222"/>
    </row>
    <row r="24" spans="1:31" ht="24">
      <c r="A24" s="23"/>
      <c r="B24" s="215">
        <f>SUBTOTAL(103,$C$11:C24)</f>
        <v>14</v>
      </c>
      <c r="C24" s="215">
        <f>测试大纲!$A$19</f>
        <v>4</v>
      </c>
      <c r="D24" s="239" t="s">
        <v>240</v>
      </c>
      <c r="E24" s="227" t="s">
        <v>241</v>
      </c>
      <c r="F24" s="236"/>
      <c r="G24" s="215" t="str">
        <f>$D$9 &amp; "-"&amp;测试大纲!I$19&amp;"-"&amp;TEXT(SUBTOTAL(103,$C$11:C24),"000")</f>
        <v>Web-BGCX-014</v>
      </c>
      <c r="H24" s="219" t="s">
        <v>337</v>
      </c>
      <c r="I24" s="219" t="s">
        <v>62</v>
      </c>
      <c r="J24" s="220" t="s">
        <v>211</v>
      </c>
      <c r="K24" s="226" t="s">
        <v>426</v>
      </c>
      <c r="L24" s="227" t="s">
        <v>220</v>
      </c>
      <c r="M24" s="228"/>
      <c r="N24" s="220" t="s">
        <v>213</v>
      </c>
      <c r="O24" s="214"/>
      <c r="P24" s="222"/>
      <c r="Q24" s="222"/>
      <c r="R24" s="223"/>
      <c r="S24" s="223"/>
      <c r="T24" s="222"/>
      <c r="U24" s="214"/>
      <c r="V24" s="222"/>
      <c r="W24" s="223"/>
      <c r="X24" s="222"/>
      <c r="Y24" s="214"/>
      <c r="Z24" s="222"/>
      <c r="AA24" s="223"/>
      <c r="AB24" s="222"/>
      <c r="AC24" s="214"/>
      <c r="AD24" s="222"/>
      <c r="AE24" s="222"/>
    </row>
    <row r="25" spans="1:31" ht="48">
      <c r="A25" s="23"/>
      <c r="B25" s="215">
        <f>SUBTOTAL(103,$C$11:C25)</f>
        <v>15</v>
      </c>
      <c r="C25" s="215">
        <f>测试大纲!$A$19</f>
        <v>4</v>
      </c>
      <c r="D25" s="239" t="s">
        <v>240</v>
      </c>
      <c r="E25" s="227" t="s">
        <v>241</v>
      </c>
      <c r="F25" s="236"/>
      <c r="G25" s="215" t="str">
        <f>$D$9 &amp; "-"&amp;测试大纲!I$19&amp;"-"&amp;TEXT(SUBTOTAL(103,$C$11:C25),"000")</f>
        <v>Web-BGCX-015</v>
      </c>
      <c r="H25" s="219" t="s">
        <v>337</v>
      </c>
      <c r="I25" s="219" t="s">
        <v>62</v>
      </c>
      <c r="J25" s="220" t="s">
        <v>236</v>
      </c>
      <c r="K25" s="226" t="s">
        <v>426</v>
      </c>
      <c r="L25" s="227" t="s">
        <v>238</v>
      </c>
      <c r="M25" s="227"/>
      <c r="N25" s="220" t="s">
        <v>239</v>
      </c>
      <c r="O25" s="214"/>
      <c r="P25" s="222"/>
      <c r="Q25" s="222"/>
      <c r="R25" s="223"/>
      <c r="S25" s="223"/>
      <c r="T25" s="222"/>
      <c r="U25" s="214"/>
      <c r="V25" s="222"/>
      <c r="W25" s="223"/>
      <c r="X25" s="222"/>
      <c r="Y25" s="214"/>
      <c r="Z25" s="222"/>
      <c r="AA25" s="223"/>
      <c r="AB25" s="222"/>
      <c r="AC25" s="214"/>
      <c r="AD25" s="222"/>
      <c r="AE25" s="222"/>
    </row>
    <row r="26" spans="1:31" ht="24">
      <c r="A26" s="23"/>
      <c r="B26" s="215">
        <f>SUBTOTAL(103,$C$11:C26)</f>
        <v>16</v>
      </c>
      <c r="C26" s="215">
        <f>测试大纲!$A$19</f>
        <v>4</v>
      </c>
      <c r="D26" s="239" t="s">
        <v>240</v>
      </c>
      <c r="E26" s="227" t="s">
        <v>241</v>
      </c>
      <c r="F26" s="236"/>
      <c r="G26" s="215" t="str">
        <f>$D$9 &amp; "-"&amp;测试大纲!I$19&amp;"-"&amp;TEXT(SUBTOTAL(103,$C$11:C26),"000")</f>
        <v>Web-BGCX-016</v>
      </c>
      <c r="H26" s="219" t="s">
        <v>337</v>
      </c>
      <c r="I26" s="219" t="s">
        <v>62</v>
      </c>
      <c r="J26" s="220" t="s">
        <v>164</v>
      </c>
      <c r="K26" s="226" t="s">
        <v>426</v>
      </c>
      <c r="L26" s="228" t="s">
        <v>194</v>
      </c>
      <c r="M26" s="228" t="s">
        <v>195</v>
      </c>
      <c r="N26" s="220" t="s">
        <v>196</v>
      </c>
      <c r="O26" s="214"/>
      <c r="P26" s="222"/>
      <c r="Q26" s="222"/>
      <c r="R26" s="223"/>
      <c r="S26" s="223"/>
      <c r="T26" s="222"/>
      <c r="U26" s="214"/>
      <c r="V26" s="222"/>
      <c r="W26" s="223"/>
      <c r="X26" s="222"/>
      <c r="Y26" s="214"/>
      <c r="Z26" s="222"/>
      <c r="AA26" s="223"/>
      <c r="AB26" s="222"/>
      <c r="AC26" s="214"/>
      <c r="AD26" s="222"/>
      <c r="AE26" s="222"/>
    </row>
    <row r="27" spans="1:31" ht="24">
      <c r="A27" s="23"/>
      <c r="B27" s="215">
        <f>SUBTOTAL(103,$C$11:C27)</f>
        <v>17</v>
      </c>
      <c r="C27" s="215">
        <f>测试大纲!$A$19</f>
        <v>4</v>
      </c>
      <c r="D27" s="239" t="s">
        <v>240</v>
      </c>
      <c r="E27" s="227" t="s">
        <v>241</v>
      </c>
      <c r="F27" s="215"/>
      <c r="G27" s="215" t="str">
        <f>$D$9 &amp; "-"&amp;测试大纲!I$19&amp;"-"&amp;TEXT(SUBTOTAL(103,$C$11:C27),"000")</f>
        <v>Web-BGCX-017</v>
      </c>
      <c r="H27" s="219" t="s">
        <v>340</v>
      </c>
      <c r="I27" s="219" t="s">
        <v>62</v>
      </c>
      <c r="J27" s="220" t="s">
        <v>584</v>
      </c>
      <c r="K27" s="226" t="s">
        <v>426</v>
      </c>
      <c r="L27" s="215" t="s">
        <v>770</v>
      </c>
      <c r="M27" s="215" t="s">
        <v>531</v>
      </c>
      <c r="N27" s="220" t="s">
        <v>461</v>
      </c>
      <c r="O27" s="214"/>
      <c r="P27" s="222"/>
      <c r="Q27" s="222"/>
      <c r="R27" s="223"/>
      <c r="S27" s="223"/>
      <c r="T27" s="222"/>
      <c r="U27" s="214"/>
      <c r="V27" s="222"/>
      <c r="W27" s="223"/>
      <c r="X27" s="222"/>
      <c r="Y27" s="214"/>
      <c r="Z27" s="222"/>
      <c r="AA27" s="223"/>
      <c r="AB27" s="222"/>
      <c r="AC27" s="214"/>
      <c r="AD27" s="222"/>
      <c r="AE27" s="222"/>
    </row>
    <row r="28" spans="1:31" ht="24">
      <c r="A28" s="23"/>
      <c r="B28" s="215">
        <f>SUBTOTAL(103,$C$11:C28)</f>
        <v>18</v>
      </c>
      <c r="C28" s="215">
        <f>测试大纲!$A$19</f>
        <v>4</v>
      </c>
      <c r="D28" s="239" t="s">
        <v>240</v>
      </c>
      <c r="E28" s="227" t="s">
        <v>241</v>
      </c>
      <c r="F28" s="215"/>
      <c r="G28" s="215" t="str">
        <f>$D$9 &amp; "-"&amp;测试大纲!I$19&amp;"-"&amp;TEXT(SUBTOTAL(103,$C$11:C28),"000")</f>
        <v>Web-BGCX-018</v>
      </c>
      <c r="H28" s="219" t="s">
        <v>340</v>
      </c>
      <c r="I28" s="219" t="s">
        <v>62</v>
      </c>
      <c r="J28" s="220" t="s">
        <v>585</v>
      </c>
      <c r="K28" s="226" t="s">
        <v>426</v>
      </c>
      <c r="L28" s="215" t="s">
        <v>770</v>
      </c>
      <c r="M28" s="215" t="s">
        <v>530</v>
      </c>
      <c r="N28" s="220" t="s">
        <v>461</v>
      </c>
      <c r="O28" s="214"/>
      <c r="P28" s="222"/>
      <c r="Q28" s="222"/>
      <c r="R28" s="223"/>
      <c r="S28" s="223"/>
      <c r="T28" s="222"/>
      <c r="U28" s="214"/>
      <c r="V28" s="222"/>
      <c r="W28" s="223"/>
      <c r="X28" s="222"/>
      <c r="Y28" s="214"/>
      <c r="Z28" s="222"/>
      <c r="AA28" s="223"/>
      <c r="AB28" s="222"/>
      <c r="AC28" s="214"/>
      <c r="AD28" s="222"/>
      <c r="AE28" s="222"/>
    </row>
    <row r="29" spans="1:31" ht="24">
      <c r="A29" s="23"/>
      <c r="B29" s="215">
        <f>SUBTOTAL(103,$C$11:C29)</f>
        <v>19</v>
      </c>
      <c r="C29" s="215">
        <f>测试大纲!$A$19</f>
        <v>4</v>
      </c>
      <c r="D29" s="239" t="s">
        <v>240</v>
      </c>
      <c r="E29" s="227" t="s">
        <v>241</v>
      </c>
      <c r="F29" s="215"/>
      <c r="G29" s="215" t="str">
        <f>$D$9 &amp; "-"&amp;测试大纲!I$19&amp;"-"&amp;TEXT(SUBTOTAL(103,$C$11:C29),"000")</f>
        <v>Web-BGCX-019</v>
      </c>
      <c r="H29" s="219" t="s">
        <v>340</v>
      </c>
      <c r="I29" s="219" t="s">
        <v>62</v>
      </c>
      <c r="J29" s="220" t="s">
        <v>586</v>
      </c>
      <c r="K29" s="226" t="s">
        <v>426</v>
      </c>
      <c r="L29" s="215" t="s">
        <v>770</v>
      </c>
      <c r="M29" s="215" t="s">
        <v>532</v>
      </c>
      <c r="N29" s="220" t="s">
        <v>461</v>
      </c>
      <c r="O29" s="214"/>
      <c r="P29" s="222"/>
      <c r="Q29" s="222"/>
      <c r="R29" s="223"/>
      <c r="S29" s="223"/>
      <c r="T29" s="222"/>
      <c r="U29" s="214"/>
      <c r="V29" s="222"/>
      <c r="W29" s="223"/>
      <c r="X29" s="222"/>
      <c r="Y29" s="214"/>
      <c r="Z29" s="222"/>
      <c r="AA29" s="223"/>
      <c r="AB29" s="222"/>
      <c r="AC29" s="214"/>
      <c r="AD29" s="222"/>
      <c r="AE29" s="222"/>
    </row>
    <row r="30" spans="1:31" ht="24">
      <c r="A30" s="23"/>
      <c r="B30" s="215">
        <f>SUBTOTAL(103,$C$11:C30)</f>
        <v>20</v>
      </c>
      <c r="C30" s="215">
        <f>测试大纲!$A$19</f>
        <v>4</v>
      </c>
      <c r="D30" s="239" t="s">
        <v>240</v>
      </c>
      <c r="E30" s="227" t="s">
        <v>241</v>
      </c>
      <c r="F30" s="236"/>
      <c r="G30" s="215" t="str">
        <f>$D$9 &amp; "-"&amp;测试大纲!I$19&amp;"-"&amp;TEXT(SUBTOTAL(103,$C$11:C30),"000")</f>
        <v>Web-BGCX-020</v>
      </c>
      <c r="H30" s="219" t="s">
        <v>337</v>
      </c>
      <c r="I30" s="219" t="s">
        <v>62</v>
      </c>
      <c r="J30" s="220" t="s">
        <v>209</v>
      </c>
      <c r="K30" s="226" t="s">
        <v>426</v>
      </c>
      <c r="L30" s="215" t="s">
        <v>934</v>
      </c>
      <c r="M30" s="231" t="s">
        <v>218</v>
      </c>
      <c r="N30" s="231" t="s">
        <v>219</v>
      </c>
      <c r="O30" s="214"/>
      <c r="P30" s="222"/>
      <c r="Q30" s="222"/>
      <c r="R30" s="223"/>
      <c r="S30" s="223"/>
      <c r="T30" s="222"/>
      <c r="U30" s="214"/>
      <c r="V30" s="222"/>
      <c r="W30" s="223"/>
      <c r="X30" s="222"/>
      <c r="Y30" s="214"/>
      <c r="Z30" s="222"/>
      <c r="AA30" s="223"/>
      <c r="AB30" s="222"/>
      <c r="AC30" s="214"/>
      <c r="AD30" s="222"/>
      <c r="AE30" s="222"/>
    </row>
    <row r="31" spans="1:31" ht="48">
      <c r="A31" s="23"/>
      <c r="B31" s="215">
        <f>SUBTOTAL(103,$C$11:C31)</f>
        <v>21</v>
      </c>
      <c r="C31" s="215">
        <f>测试大纲!$A$19</f>
        <v>4</v>
      </c>
      <c r="D31" s="239" t="s">
        <v>240</v>
      </c>
      <c r="E31" s="227" t="s">
        <v>241</v>
      </c>
      <c r="F31" s="236"/>
      <c r="G31" s="215" t="str">
        <f>$D$9 &amp; "-"&amp;测试大纲!I$19&amp;"-"&amp;TEXT(SUBTOTAL(103,$C$11:C31),"000")</f>
        <v>Web-BGCX-021</v>
      </c>
      <c r="H31" s="219" t="s">
        <v>337</v>
      </c>
      <c r="I31" s="219" t="s">
        <v>62</v>
      </c>
      <c r="J31" s="220" t="s">
        <v>246</v>
      </c>
      <c r="K31" s="225" t="s">
        <v>426</v>
      </c>
      <c r="L31" s="215" t="s">
        <v>935</v>
      </c>
      <c r="M31" s="231"/>
      <c r="N31" s="241" t="s">
        <v>307</v>
      </c>
      <c r="O31" s="214"/>
      <c r="P31" s="222"/>
      <c r="Q31" s="222"/>
      <c r="R31" s="223"/>
      <c r="S31" s="223"/>
      <c r="T31" s="222"/>
      <c r="U31" s="214"/>
      <c r="V31" s="222"/>
      <c r="W31" s="223"/>
      <c r="X31" s="222"/>
      <c r="Y31" s="214"/>
      <c r="Z31" s="222"/>
      <c r="AA31" s="223"/>
      <c r="AB31" s="222"/>
      <c r="AC31" s="214"/>
      <c r="AD31" s="222"/>
      <c r="AE31" s="222"/>
    </row>
    <row r="32" spans="1:31" ht="24">
      <c r="A32" s="23"/>
      <c r="B32" s="215">
        <f>SUBTOTAL(103,$C$11:C32)</f>
        <v>22</v>
      </c>
      <c r="C32" s="215">
        <f>测试大纲!$A$19</f>
        <v>4</v>
      </c>
      <c r="D32" s="239" t="s">
        <v>240</v>
      </c>
      <c r="E32" s="227" t="s">
        <v>241</v>
      </c>
      <c r="F32" s="236"/>
      <c r="G32" s="215" t="str">
        <f>$D$9 &amp; "-"&amp;测试大纲!I$19&amp;"-"&amp;TEXT(SUBTOTAL(103,$C$11:C32),"000")</f>
        <v>Web-BGCX-022</v>
      </c>
      <c r="H32" s="219" t="s">
        <v>338</v>
      </c>
      <c r="I32" s="219" t="s">
        <v>62</v>
      </c>
      <c r="J32" s="242" t="s">
        <v>773</v>
      </c>
      <c r="K32" s="225" t="s">
        <v>426</v>
      </c>
      <c r="L32" s="215" t="s">
        <v>936</v>
      </c>
      <c r="M32" s="215"/>
      <c r="N32" s="237" t="s">
        <v>431</v>
      </c>
      <c r="O32" s="214"/>
      <c r="P32" s="222"/>
      <c r="Q32" s="222"/>
      <c r="R32" s="223"/>
      <c r="S32" s="223"/>
      <c r="T32" s="222"/>
      <c r="U32" s="214"/>
      <c r="V32" s="222"/>
      <c r="W32" s="223"/>
      <c r="X32" s="222"/>
      <c r="Y32" s="214"/>
      <c r="Z32" s="222"/>
      <c r="AA32" s="223"/>
      <c r="AB32" s="222"/>
      <c r="AC32" s="214"/>
      <c r="AD32" s="222"/>
      <c r="AE32" s="222"/>
    </row>
    <row r="33" spans="1:31" ht="36">
      <c r="A33" s="23"/>
      <c r="B33" s="215">
        <f>SUBTOTAL(103,$C$11:C33)</f>
        <v>23</v>
      </c>
      <c r="C33" s="215">
        <f>测试大纲!$A$19</f>
        <v>4</v>
      </c>
      <c r="D33" s="239" t="s">
        <v>240</v>
      </c>
      <c r="E33" s="227" t="s">
        <v>241</v>
      </c>
      <c r="F33" s="236"/>
      <c r="G33" s="215" t="str">
        <f>$D$9 &amp; "-"&amp;测试大纲!I$19&amp;"-"&amp;TEXT(SUBTOTAL(103,$C$11:C33),"000")</f>
        <v>Web-BGCX-023</v>
      </c>
      <c r="H33" s="219" t="s">
        <v>337</v>
      </c>
      <c r="I33" s="219" t="s">
        <v>62</v>
      </c>
      <c r="J33" s="220" t="s">
        <v>402</v>
      </c>
      <c r="K33" s="215" t="s">
        <v>774</v>
      </c>
      <c r="L33" s="225" t="s">
        <v>403</v>
      </c>
      <c r="M33" s="218"/>
      <c r="N33" s="220" t="s">
        <v>176</v>
      </c>
      <c r="O33" s="214"/>
      <c r="P33" s="222"/>
      <c r="Q33" s="222"/>
      <c r="R33" s="223"/>
      <c r="S33" s="223"/>
      <c r="T33" s="222"/>
      <c r="U33" s="214"/>
      <c r="V33" s="222"/>
      <c r="W33" s="223"/>
      <c r="X33" s="222"/>
      <c r="Y33" s="214"/>
      <c r="Z33" s="222"/>
      <c r="AA33" s="223"/>
      <c r="AB33" s="222"/>
      <c r="AC33" s="214"/>
      <c r="AD33" s="222"/>
      <c r="AE33" s="222"/>
    </row>
    <row r="34" spans="1:31" ht="36">
      <c r="A34" s="23"/>
      <c r="B34" s="215">
        <f>SUBTOTAL(103,$C$11:C34)</f>
        <v>24</v>
      </c>
      <c r="C34" s="215">
        <f>测试大纲!$A$19</f>
        <v>4</v>
      </c>
      <c r="D34" s="239" t="s">
        <v>240</v>
      </c>
      <c r="E34" s="227" t="s">
        <v>241</v>
      </c>
      <c r="F34" s="236"/>
      <c r="G34" s="215" t="str">
        <f>$D$9 &amp; "-"&amp;测试大纲!I$19&amp;"-"&amp;TEXT(SUBTOTAL(103,$C$11:C34),"000")</f>
        <v>Web-BGCX-024</v>
      </c>
      <c r="H34" s="219" t="s">
        <v>337</v>
      </c>
      <c r="I34" s="219" t="s">
        <v>62</v>
      </c>
      <c r="J34" s="220" t="s">
        <v>169</v>
      </c>
      <c r="K34" s="215" t="s">
        <v>774</v>
      </c>
      <c r="L34" s="230" t="s">
        <v>171</v>
      </c>
      <c r="M34" s="230">
        <v>2</v>
      </c>
      <c r="N34" s="220" t="s">
        <v>176</v>
      </c>
      <c r="O34" s="214"/>
      <c r="P34" s="222"/>
      <c r="Q34" s="222"/>
      <c r="R34" s="223"/>
      <c r="S34" s="223"/>
      <c r="T34" s="222"/>
      <c r="U34" s="214"/>
      <c r="V34" s="222"/>
      <c r="W34" s="223"/>
      <c r="X34" s="222"/>
      <c r="Y34" s="214"/>
      <c r="Z34" s="222"/>
      <c r="AA34" s="223"/>
      <c r="AB34" s="222"/>
      <c r="AC34" s="214"/>
      <c r="AD34" s="222"/>
      <c r="AE34" s="222"/>
    </row>
    <row r="35" spans="1:31" ht="36">
      <c r="A35" s="23"/>
      <c r="B35" s="215">
        <f>SUBTOTAL(103,$C$11:C35)</f>
        <v>25</v>
      </c>
      <c r="C35" s="215">
        <f>测试大纲!$A$19</f>
        <v>4</v>
      </c>
      <c r="D35" s="239" t="s">
        <v>240</v>
      </c>
      <c r="E35" s="227" t="s">
        <v>241</v>
      </c>
      <c r="F35" s="236"/>
      <c r="G35" s="215" t="str">
        <f>$D$9 &amp; "-"&amp;测试大纲!I$19&amp;"-"&amp;TEXT(SUBTOTAL(103,$C$11:C35),"000")</f>
        <v>Web-BGCX-025</v>
      </c>
      <c r="H35" s="219" t="s">
        <v>337</v>
      </c>
      <c r="I35" s="219" t="s">
        <v>62</v>
      </c>
      <c r="J35" s="220" t="s">
        <v>172</v>
      </c>
      <c r="K35" s="215" t="s">
        <v>774</v>
      </c>
      <c r="L35" s="230" t="s">
        <v>173</v>
      </c>
      <c r="M35" s="230"/>
      <c r="N35" s="220" t="s">
        <v>177</v>
      </c>
      <c r="O35" s="214"/>
      <c r="P35" s="222"/>
      <c r="Q35" s="222"/>
      <c r="R35" s="223"/>
      <c r="S35" s="223"/>
      <c r="T35" s="222"/>
      <c r="U35" s="214"/>
      <c r="V35" s="222"/>
      <c r="W35" s="223"/>
      <c r="X35" s="222"/>
      <c r="Y35" s="214"/>
      <c r="Z35" s="222"/>
      <c r="AA35" s="223"/>
      <c r="AB35" s="222"/>
      <c r="AC35" s="214"/>
      <c r="AD35" s="222"/>
      <c r="AE35" s="222"/>
    </row>
    <row r="36" spans="1:31" ht="36">
      <c r="A36" s="23"/>
      <c r="B36" s="215">
        <f>SUBTOTAL(103,$C$11:C36)</f>
        <v>26</v>
      </c>
      <c r="C36" s="215">
        <f>测试大纲!$A$19</f>
        <v>4</v>
      </c>
      <c r="D36" s="239" t="s">
        <v>240</v>
      </c>
      <c r="E36" s="227" t="s">
        <v>241</v>
      </c>
      <c r="F36" s="236"/>
      <c r="G36" s="215" t="str">
        <f>$D$9 &amp; "-"&amp;测试大纲!I$19&amp;"-"&amp;TEXT(SUBTOTAL(103,$C$11:C36),"000")</f>
        <v>Web-BGCX-026</v>
      </c>
      <c r="H36" s="219" t="s">
        <v>337</v>
      </c>
      <c r="I36" s="219" t="s">
        <v>62</v>
      </c>
      <c r="J36" s="220" t="s">
        <v>174</v>
      </c>
      <c r="K36" s="215" t="s">
        <v>774</v>
      </c>
      <c r="L36" s="230" t="s">
        <v>175</v>
      </c>
      <c r="M36" s="230"/>
      <c r="N36" s="220" t="s">
        <v>178</v>
      </c>
      <c r="O36" s="214"/>
      <c r="P36" s="222"/>
      <c r="Q36" s="222"/>
      <c r="R36" s="223"/>
      <c r="S36" s="223"/>
      <c r="T36" s="222"/>
      <c r="U36" s="214"/>
      <c r="V36" s="222"/>
      <c r="W36" s="223"/>
      <c r="X36" s="222"/>
      <c r="Y36" s="214"/>
      <c r="Z36" s="222"/>
      <c r="AA36" s="223"/>
      <c r="AB36" s="222"/>
      <c r="AC36" s="214"/>
      <c r="AD36" s="222"/>
      <c r="AE36" s="222"/>
    </row>
    <row r="37" spans="1:31" ht="36">
      <c r="A37" s="23"/>
      <c r="B37" s="215">
        <f>SUBTOTAL(103,$C$11:C37)</f>
        <v>27</v>
      </c>
      <c r="C37" s="215">
        <f>测试大纲!$A$19</f>
        <v>4</v>
      </c>
      <c r="D37" s="239" t="s">
        <v>240</v>
      </c>
      <c r="E37" s="227" t="s">
        <v>241</v>
      </c>
      <c r="F37" s="236"/>
      <c r="G37" s="215" t="str">
        <f>$D$9 &amp; "-"&amp;测试大纲!I$19&amp;"-"&amp;TEXT(SUBTOTAL(103,$C$11:C37),"000")</f>
        <v>Web-BGCX-027</v>
      </c>
      <c r="H37" s="219" t="s">
        <v>337</v>
      </c>
      <c r="I37" s="219" t="s">
        <v>165</v>
      </c>
      <c r="J37" s="220" t="s">
        <v>881</v>
      </c>
      <c r="K37" s="215" t="s">
        <v>774</v>
      </c>
      <c r="L37" s="230" t="s">
        <v>171</v>
      </c>
      <c r="M37" s="231">
        <v>0</v>
      </c>
      <c r="N37" s="220" t="s">
        <v>210</v>
      </c>
      <c r="O37" s="214"/>
      <c r="P37" s="222"/>
      <c r="Q37" s="222"/>
      <c r="R37" s="223"/>
      <c r="S37" s="223"/>
      <c r="T37" s="222"/>
      <c r="U37" s="214"/>
      <c r="V37" s="222"/>
      <c r="W37" s="223"/>
      <c r="X37" s="222"/>
      <c r="Y37" s="214"/>
      <c r="Z37" s="222"/>
      <c r="AA37" s="223"/>
      <c r="AB37" s="222"/>
      <c r="AC37" s="214"/>
      <c r="AD37" s="222"/>
      <c r="AE37" s="222"/>
    </row>
    <row r="38" spans="1:31" ht="36">
      <c r="A38" s="23"/>
      <c r="B38" s="215">
        <f>SUBTOTAL(103,$C$11:C38)</f>
        <v>28</v>
      </c>
      <c r="C38" s="215">
        <f>测试大纲!$A$19</f>
        <v>4</v>
      </c>
      <c r="D38" s="239" t="s">
        <v>240</v>
      </c>
      <c r="E38" s="227" t="s">
        <v>241</v>
      </c>
      <c r="F38" s="218"/>
      <c r="G38" s="215" t="str">
        <f>$D$9 &amp; "-"&amp;测试大纲!I$19&amp;"-"&amp;TEXT(SUBTOTAL(103,$C$11:C38),"000")</f>
        <v>Web-BGCX-028</v>
      </c>
      <c r="H38" s="219" t="s">
        <v>337</v>
      </c>
      <c r="I38" s="219" t="s">
        <v>62</v>
      </c>
      <c r="J38" s="220" t="s">
        <v>432</v>
      </c>
      <c r="K38" s="215" t="s">
        <v>774</v>
      </c>
      <c r="L38" s="230"/>
      <c r="M38" s="231"/>
      <c r="N38" s="220" t="s">
        <v>433</v>
      </c>
      <c r="O38" s="214"/>
      <c r="P38" s="222"/>
      <c r="Q38" s="222"/>
      <c r="R38" s="223"/>
      <c r="S38" s="223"/>
      <c r="T38" s="222"/>
      <c r="U38" s="214"/>
      <c r="V38" s="222"/>
      <c r="W38" s="223"/>
      <c r="X38" s="222"/>
      <c r="Y38" s="214"/>
      <c r="Z38" s="222"/>
      <c r="AA38" s="223"/>
      <c r="AB38" s="222"/>
      <c r="AC38" s="214"/>
      <c r="AD38" s="222"/>
      <c r="AE38" s="222"/>
    </row>
    <row r="39" spans="1:31" ht="36">
      <c r="A39" s="23"/>
      <c r="B39" s="215">
        <f>SUBTOTAL(103,$C$11:C39)</f>
        <v>29</v>
      </c>
      <c r="C39" s="215">
        <f>测试大纲!$A$19</f>
        <v>4</v>
      </c>
      <c r="D39" s="239" t="s">
        <v>240</v>
      </c>
      <c r="E39" s="227" t="s">
        <v>241</v>
      </c>
      <c r="F39" s="218"/>
      <c r="G39" s="215" t="str">
        <f>$D$9 &amp; "-"&amp;测试大纲!I$19&amp;"-"&amp;TEXT(SUBTOTAL(103,$C$11:C39),"000")</f>
        <v>Web-BGCX-029</v>
      </c>
      <c r="H39" s="219" t="s">
        <v>337</v>
      </c>
      <c r="I39" s="219" t="s">
        <v>62</v>
      </c>
      <c r="J39" s="220" t="s">
        <v>434</v>
      </c>
      <c r="K39" s="215" t="s">
        <v>774</v>
      </c>
      <c r="L39" s="225" t="s">
        <v>415</v>
      </c>
      <c r="M39" s="231"/>
      <c r="N39" s="220" t="s">
        <v>433</v>
      </c>
      <c r="O39" s="214"/>
      <c r="P39" s="222"/>
      <c r="Q39" s="222"/>
      <c r="R39" s="223"/>
      <c r="S39" s="223"/>
      <c r="T39" s="222"/>
      <c r="U39" s="214"/>
      <c r="V39" s="222"/>
      <c r="W39" s="223"/>
      <c r="X39" s="222"/>
      <c r="Y39" s="214"/>
      <c r="Z39" s="222"/>
      <c r="AA39" s="223"/>
      <c r="AB39" s="222"/>
      <c r="AC39" s="214"/>
      <c r="AD39" s="222"/>
      <c r="AE39" s="222"/>
    </row>
    <row r="40" spans="1:31" ht="36">
      <c r="A40" s="23"/>
      <c r="B40" s="215">
        <f>SUBTOTAL(103,$C$11:C40)</f>
        <v>30</v>
      </c>
      <c r="C40" s="215">
        <f>测试大纲!$A$19</f>
        <v>4</v>
      </c>
      <c r="D40" s="239" t="s">
        <v>240</v>
      </c>
      <c r="E40" s="227" t="s">
        <v>241</v>
      </c>
      <c r="F40" s="218"/>
      <c r="G40" s="215" t="str">
        <f>$D$9 &amp; "-"&amp;测试大纲!I$19&amp;"-"&amp;TEXT(SUBTOTAL(103,$C$11:C40),"000")</f>
        <v>Web-BGCX-030</v>
      </c>
      <c r="H40" s="219" t="s">
        <v>337</v>
      </c>
      <c r="I40" s="219" t="s">
        <v>62</v>
      </c>
      <c r="J40" s="220" t="s">
        <v>435</v>
      </c>
      <c r="K40" s="215" t="s">
        <v>774</v>
      </c>
      <c r="L40" s="225" t="s">
        <v>436</v>
      </c>
      <c r="M40" s="225" t="s">
        <v>437</v>
      </c>
      <c r="N40" s="220" t="s">
        <v>438</v>
      </c>
      <c r="O40" s="214"/>
      <c r="P40" s="222"/>
      <c r="Q40" s="222"/>
      <c r="R40" s="223"/>
      <c r="S40" s="223"/>
      <c r="T40" s="222"/>
      <c r="U40" s="214"/>
      <c r="V40" s="222"/>
      <c r="W40" s="223"/>
      <c r="X40" s="222"/>
      <c r="Y40" s="214"/>
      <c r="Z40" s="222"/>
      <c r="AA40" s="223"/>
      <c r="AB40" s="222"/>
      <c r="AC40" s="214"/>
      <c r="AD40" s="222"/>
      <c r="AE40" s="222"/>
    </row>
    <row r="41" spans="1:31" ht="36">
      <c r="A41" s="23"/>
      <c r="B41" s="215">
        <f>SUBTOTAL(103,$C$11:C41)</f>
        <v>31</v>
      </c>
      <c r="C41" s="215">
        <f>测试大纲!$A$19</f>
        <v>4</v>
      </c>
      <c r="D41" s="239" t="s">
        <v>240</v>
      </c>
      <c r="E41" s="227" t="s">
        <v>241</v>
      </c>
      <c r="F41" s="215"/>
      <c r="G41" s="215" t="str">
        <f>$D$9 &amp; "-"&amp;测试大纲!I$19&amp;"-"&amp;TEXT(SUBTOTAL(103,$C$11:C41),"000")</f>
        <v>Web-BGCX-031</v>
      </c>
      <c r="H41" s="219" t="s">
        <v>337</v>
      </c>
      <c r="I41" s="219" t="s">
        <v>62</v>
      </c>
      <c r="J41" s="220" t="s">
        <v>595</v>
      </c>
      <c r="K41" s="215" t="s">
        <v>774</v>
      </c>
      <c r="L41" s="215" t="s">
        <v>476</v>
      </c>
      <c r="M41" s="215"/>
      <c r="N41" s="220" t="s">
        <v>477</v>
      </c>
      <c r="O41" s="214"/>
      <c r="P41" s="222"/>
      <c r="Q41" s="222"/>
      <c r="R41" s="223"/>
      <c r="S41" s="223"/>
      <c r="T41" s="222"/>
      <c r="U41" s="214"/>
      <c r="V41" s="222"/>
      <c r="W41" s="223"/>
      <c r="X41" s="222"/>
      <c r="Y41" s="214"/>
      <c r="Z41" s="222"/>
      <c r="AA41" s="223"/>
      <c r="AB41" s="222"/>
      <c r="AC41" s="214"/>
      <c r="AD41" s="222"/>
      <c r="AE41" s="222"/>
    </row>
    <row r="42" spans="1:31" ht="103.15" customHeight="1">
      <c r="A42" s="23"/>
      <c r="B42" s="215">
        <f>SUBTOTAL(103,$C$11:C42)</f>
        <v>32</v>
      </c>
      <c r="C42" s="215">
        <f>测试大纲!$A$19</f>
        <v>4</v>
      </c>
      <c r="D42" s="239" t="s">
        <v>240</v>
      </c>
      <c r="E42" s="227" t="s">
        <v>241</v>
      </c>
      <c r="F42" s="215"/>
      <c r="G42" s="215" t="str">
        <f>$D$9 &amp; "-"&amp;测试大纲!I$19&amp;"-"&amp;TEXT(SUBTOTAL(103,$C$11:C42),"000")</f>
        <v>Web-BGCX-032</v>
      </c>
      <c r="H42" s="219" t="s">
        <v>337</v>
      </c>
      <c r="I42" s="219" t="s">
        <v>165</v>
      </c>
      <c r="J42" s="220" t="s">
        <v>596</v>
      </c>
      <c r="K42" s="215" t="s">
        <v>774</v>
      </c>
      <c r="L42" s="215" t="s">
        <v>930</v>
      </c>
      <c r="M42" s="215" t="s">
        <v>480</v>
      </c>
      <c r="N42" s="220" t="s">
        <v>481</v>
      </c>
      <c r="O42" s="214"/>
      <c r="P42" s="222"/>
      <c r="Q42" s="222"/>
      <c r="R42" s="223"/>
      <c r="S42" s="223"/>
      <c r="T42" s="222"/>
      <c r="U42" s="214"/>
      <c r="V42" s="222"/>
      <c r="W42" s="223"/>
      <c r="X42" s="222"/>
      <c r="Y42" s="214"/>
      <c r="Z42" s="222"/>
      <c r="AA42" s="223"/>
      <c r="AB42" s="222"/>
      <c r="AC42" s="214"/>
      <c r="AD42" s="222"/>
      <c r="AE42" s="222"/>
    </row>
    <row r="43" spans="1:31" ht="144">
      <c r="A43" s="23"/>
      <c r="B43" s="215">
        <f>SUBTOTAL(103,$C$11:C43)</f>
        <v>33</v>
      </c>
      <c r="C43" s="215">
        <f>测试大纲!$A$19</f>
        <v>4</v>
      </c>
      <c r="D43" s="239" t="s">
        <v>240</v>
      </c>
      <c r="E43" s="227" t="s">
        <v>249</v>
      </c>
      <c r="F43" s="215"/>
      <c r="G43" s="215" t="str">
        <f>$D$9 &amp; "-"&amp;测试大纲!I$20&amp;"-"&amp;TEXT(SUBTOTAL(103,$C$43:C43),"000")</f>
        <v>Web-WTCX-001</v>
      </c>
      <c r="H43" s="219" t="s">
        <v>337</v>
      </c>
      <c r="I43" s="219" t="s">
        <v>62</v>
      </c>
      <c r="J43" s="220" t="s">
        <v>726</v>
      </c>
      <c r="K43" s="226" t="s">
        <v>427</v>
      </c>
      <c r="L43" s="221"/>
      <c r="M43" s="215"/>
      <c r="N43" s="221" t="s">
        <v>775</v>
      </c>
      <c r="O43" s="214"/>
      <c r="P43" s="222"/>
      <c r="Q43" s="222"/>
      <c r="R43" s="223"/>
      <c r="S43" s="223"/>
      <c r="T43" s="222"/>
      <c r="U43" s="214"/>
      <c r="V43" s="222"/>
      <c r="W43" s="223"/>
      <c r="X43" s="222"/>
      <c r="Y43" s="214"/>
      <c r="Z43" s="222"/>
      <c r="AA43" s="223"/>
      <c r="AB43" s="222"/>
      <c r="AC43" s="214"/>
      <c r="AD43" s="222"/>
      <c r="AE43" s="222"/>
    </row>
    <row r="44" spans="1:31" ht="36">
      <c r="A44" s="23"/>
      <c r="B44" s="215">
        <f>SUBTOTAL(103,$C$11:C44)</f>
        <v>34</v>
      </c>
      <c r="C44" s="215">
        <f>测试大纲!$A$19</f>
        <v>4</v>
      </c>
      <c r="D44" s="239" t="s">
        <v>240</v>
      </c>
      <c r="E44" s="227" t="s">
        <v>249</v>
      </c>
      <c r="F44" s="215"/>
      <c r="G44" s="215" t="str">
        <f>$D$9 &amp; "-"&amp;测试大纲!I$20&amp;"-"&amp;TEXT(SUBTOTAL(103,$C$43:C44),"000")</f>
        <v>Web-WTCX-002</v>
      </c>
      <c r="H44" s="219" t="s">
        <v>337</v>
      </c>
      <c r="I44" s="219" t="s">
        <v>62</v>
      </c>
      <c r="J44" s="220" t="s">
        <v>727</v>
      </c>
      <c r="K44" s="226" t="s">
        <v>427</v>
      </c>
      <c r="L44" s="215"/>
      <c r="M44" s="215"/>
      <c r="N44" s="220" t="s">
        <v>520</v>
      </c>
      <c r="O44" s="214"/>
      <c r="P44" s="222"/>
      <c r="Q44" s="222"/>
      <c r="R44" s="223"/>
      <c r="S44" s="223"/>
      <c r="T44" s="222"/>
      <c r="U44" s="214"/>
      <c r="V44" s="222"/>
      <c r="W44" s="223"/>
      <c r="X44" s="222"/>
      <c r="Y44" s="214"/>
      <c r="Z44" s="222"/>
      <c r="AA44" s="223"/>
      <c r="AB44" s="222"/>
      <c r="AC44" s="214"/>
      <c r="AD44" s="222"/>
      <c r="AE44" s="222"/>
    </row>
    <row r="45" spans="1:31" ht="24">
      <c r="A45" s="23"/>
      <c r="B45" s="215">
        <f>SUBTOTAL(103,$C$11:C45)</f>
        <v>35</v>
      </c>
      <c r="C45" s="215">
        <f>测试大纲!$A$19</f>
        <v>4</v>
      </c>
      <c r="D45" s="239" t="s">
        <v>240</v>
      </c>
      <c r="E45" s="227" t="s">
        <v>249</v>
      </c>
      <c r="F45" s="236"/>
      <c r="G45" s="215" t="str">
        <f>$D$9 &amp; "-"&amp;测试大纲!I$20&amp;"-"&amp;TEXT(SUBTOTAL(103,$C$43:C45),"000")</f>
        <v>Web-WTCX-003</v>
      </c>
      <c r="H45" s="219" t="s">
        <v>337</v>
      </c>
      <c r="I45" s="219" t="s">
        <v>62</v>
      </c>
      <c r="J45" s="220" t="s">
        <v>229</v>
      </c>
      <c r="K45" s="226" t="s">
        <v>427</v>
      </c>
      <c r="L45" s="227" t="s">
        <v>230</v>
      </c>
      <c r="M45" s="227"/>
      <c r="N45" s="220" t="s">
        <v>247</v>
      </c>
      <c r="O45" s="214"/>
      <c r="P45" s="222"/>
      <c r="Q45" s="222"/>
      <c r="R45" s="223"/>
      <c r="S45" s="223"/>
      <c r="T45" s="222"/>
      <c r="U45" s="214"/>
      <c r="V45" s="222"/>
      <c r="W45" s="223"/>
      <c r="X45" s="222"/>
      <c r="Y45" s="214"/>
      <c r="Z45" s="222"/>
      <c r="AA45" s="223"/>
      <c r="AB45" s="222"/>
      <c r="AC45" s="214"/>
      <c r="AD45" s="222"/>
      <c r="AE45" s="222"/>
    </row>
    <row r="46" spans="1:31" ht="24">
      <c r="A46" s="23"/>
      <c r="B46" s="215">
        <f>SUBTOTAL(103,$C$11:C46)</f>
        <v>36</v>
      </c>
      <c r="C46" s="215">
        <f>测试大纲!$A$19</f>
        <v>4</v>
      </c>
      <c r="D46" s="239" t="s">
        <v>240</v>
      </c>
      <c r="E46" s="227" t="s">
        <v>249</v>
      </c>
      <c r="F46" s="215"/>
      <c r="G46" s="215" t="str">
        <f>$D$9 &amp; "-"&amp;测试大纲!I$20&amp;"-"&amp;TEXT(SUBTOTAL(103,$C$43:C46),"000")</f>
        <v>Web-WTCX-004</v>
      </c>
      <c r="H46" s="219" t="s">
        <v>340</v>
      </c>
      <c r="I46" s="219" t="s">
        <v>62</v>
      </c>
      <c r="J46" s="220" t="s">
        <v>826</v>
      </c>
      <c r="K46" s="226" t="s">
        <v>427</v>
      </c>
      <c r="L46" s="215" t="s">
        <v>330</v>
      </c>
      <c r="M46" s="215" t="s">
        <v>827</v>
      </c>
      <c r="N46" s="220" t="s">
        <v>828</v>
      </c>
      <c r="O46" s="214"/>
      <c r="P46" s="222"/>
      <c r="Q46" s="222"/>
      <c r="R46" s="223"/>
      <c r="S46" s="223"/>
      <c r="T46" s="222"/>
      <c r="U46" s="214"/>
      <c r="V46" s="222"/>
      <c r="W46" s="223"/>
      <c r="X46" s="222"/>
      <c r="Y46" s="214"/>
      <c r="Z46" s="222"/>
      <c r="AA46" s="223"/>
      <c r="AB46" s="222"/>
      <c r="AC46" s="214"/>
      <c r="AD46" s="222"/>
      <c r="AE46" s="222"/>
    </row>
    <row r="47" spans="1:31" ht="24">
      <c r="A47" s="23"/>
      <c r="B47" s="215">
        <f>SUBTOTAL(103,$C$11:C47)</f>
        <v>37</v>
      </c>
      <c r="C47" s="215">
        <f>测试大纲!$A$19</f>
        <v>4</v>
      </c>
      <c r="D47" s="239" t="s">
        <v>240</v>
      </c>
      <c r="E47" s="227" t="s">
        <v>249</v>
      </c>
      <c r="F47" s="236"/>
      <c r="G47" s="215" t="str">
        <f>$D$9 &amp; "-"&amp;测试大纲!I$20&amp;"-"&amp;TEXT(SUBTOTAL(103,$C$43:C47),"000")</f>
        <v>Web-WTCX-005</v>
      </c>
      <c r="H47" s="219" t="s">
        <v>337</v>
      </c>
      <c r="I47" s="219" t="s">
        <v>62</v>
      </c>
      <c r="J47" s="220" t="s">
        <v>160</v>
      </c>
      <c r="K47" s="226" t="s">
        <v>427</v>
      </c>
      <c r="L47" s="230" t="s">
        <v>166</v>
      </c>
      <c r="M47" s="225" t="s">
        <v>392</v>
      </c>
      <c r="N47" s="220" t="s">
        <v>253</v>
      </c>
      <c r="O47" s="214"/>
      <c r="P47" s="222"/>
      <c r="Q47" s="222"/>
      <c r="R47" s="223"/>
      <c r="S47" s="223"/>
      <c r="T47" s="222"/>
      <c r="U47" s="214"/>
      <c r="V47" s="222"/>
      <c r="W47" s="223"/>
      <c r="X47" s="222"/>
      <c r="Y47" s="214"/>
      <c r="Z47" s="222"/>
      <c r="AA47" s="223"/>
      <c r="AB47" s="222"/>
      <c r="AC47" s="214"/>
      <c r="AD47" s="222"/>
      <c r="AE47" s="222"/>
    </row>
    <row r="48" spans="1:31" ht="24">
      <c r="A48" s="23"/>
      <c r="B48" s="215">
        <f>SUBTOTAL(103,$C$11:C48)</f>
        <v>38</v>
      </c>
      <c r="C48" s="215">
        <f>测试大纲!$A$19</f>
        <v>4</v>
      </c>
      <c r="D48" s="239" t="s">
        <v>240</v>
      </c>
      <c r="E48" s="227" t="s">
        <v>249</v>
      </c>
      <c r="F48" s="236"/>
      <c r="G48" s="215" t="str">
        <f>$D$9 &amp; "-"&amp;测试大纲!I$20&amp;"-"&amp;TEXT(SUBTOTAL(103,$C$43:C48),"000")</f>
        <v>Web-WTCX-006</v>
      </c>
      <c r="H48" s="219" t="s">
        <v>337</v>
      </c>
      <c r="I48" s="219" t="s">
        <v>62</v>
      </c>
      <c r="J48" s="220" t="s">
        <v>254</v>
      </c>
      <c r="K48" s="226" t="s">
        <v>427</v>
      </c>
      <c r="L48" s="227" t="s">
        <v>256</v>
      </c>
      <c r="M48" s="225" t="s">
        <v>404</v>
      </c>
      <c r="N48" s="220" t="s">
        <v>258</v>
      </c>
      <c r="O48" s="214"/>
      <c r="P48" s="222"/>
      <c r="Q48" s="222"/>
      <c r="R48" s="223"/>
      <c r="S48" s="223"/>
      <c r="T48" s="222"/>
      <c r="U48" s="214"/>
      <c r="V48" s="222"/>
      <c r="W48" s="223"/>
      <c r="X48" s="222"/>
      <c r="Y48" s="214"/>
      <c r="Z48" s="222"/>
      <c r="AA48" s="223"/>
      <c r="AB48" s="222"/>
      <c r="AC48" s="214"/>
      <c r="AD48" s="222"/>
      <c r="AE48" s="222"/>
    </row>
    <row r="49" spans="1:31" ht="24">
      <c r="A49" s="23"/>
      <c r="B49" s="215">
        <f>SUBTOTAL(103,$C$11:C49)</f>
        <v>39</v>
      </c>
      <c r="C49" s="215">
        <f>测试大纲!$A$19</f>
        <v>4</v>
      </c>
      <c r="D49" s="239" t="s">
        <v>240</v>
      </c>
      <c r="E49" s="227" t="s">
        <v>249</v>
      </c>
      <c r="F49" s="236"/>
      <c r="G49" s="215" t="str">
        <f>$D$9 &amp; "-"&amp;测试大纲!I$20&amp;"-"&amp;TEXT(SUBTOTAL(103,$C$43:C49),"000")</f>
        <v>Web-WTCX-007</v>
      </c>
      <c r="H49" s="219" t="s">
        <v>337</v>
      </c>
      <c r="I49" s="219" t="s">
        <v>62</v>
      </c>
      <c r="J49" s="220" t="s">
        <v>255</v>
      </c>
      <c r="K49" s="226" t="s">
        <v>427</v>
      </c>
      <c r="L49" s="227" t="s">
        <v>257</v>
      </c>
      <c r="M49" s="225" t="s">
        <v>405</v>
      </c>
      <c r="N49" s="220" t="s">
        <v>258</v>
      </c>
      <c r="O49" s="214"/>
      <c r="P49" s="222"/>
      <c r="Q49" s="222"/>
      <c r="R49" s="223"/>
      <c r="S49" s="223"/>
      <c r="T49" s="222"/>
      <c r="U49" s="214"/>
      <c r="V49" s="222"/>
      <c r="W49" s="223"/>
      <c r="X49" s="222"/>
      <c r="Y49" s="214"/>
      <c r="Z49" s="222"/>
      <c r="AA49" s="223"/>
      <c r="AB49" s="222"/>
      <c r="AC49" s="214"/>
      <c r="AD49" s="222"/>
      <c r="AE49" s="222"/>
    </row>
    <row r="50" spans="1:31" ht="24">
      <c r="A50" s="23"/>
      <c r="B50" s="215">
        <f>SUBTOTAL(103,$C$11:C50)</f>
        <v>40</v>
      </c>
      <c r="C50" s="215">
        <f>测试大纲!$A$19</f>
        <v>4</v>
      </c>
      <c r="D50" s="239" t="s">
        <v>240</v>
      </c>
      <c r="E50" s="227" t="s">
        <v>249</v>
      </c>
      <c r="F50" s="236"/>
      <c r="G50" s="215" t="str">
        <f>$D$9 &amp; "-"&amp;测试大纲!I$20&amp;"-"&amp;TEXT(SUBTOTAL(103,$C$43:C50),"000")</f>
        <v>Web-WTCX-008</v>
      </c>
      <c r="H50" s="219" t="s">
        <v>337</v>
      </c>
      <c r="I50" s="219" t="s">
        <v>62</v>
      </c>
      <c r="J50" s="220" t="s">
        <v>189</v>
      </c>
      <c r="K50" s="226" t="s">
        <v>427</v>
      </c>
      <c r="L50" s="227" t="s">
        <v>232</v>
      </c>
      <c r="M50" s="225" t="s">
        <v>406</v>
      </c>
      <c r="N50" s="220" t="s">
        <v>252</v>
      </c>
      <c r="O50" s="214"/>
      <c r="P50" s="222"/>
      <c r="Q50" s="222"/>
      <c r="R50" s="223"/>
      <c r="S50" s="223"/>
      <c r="T50" s="222"/>
      <c r="U50" s="214"/>
      <c r="V50" s="222"/>
      <c r="W50" s="223"/>
      <c r="X50" s="222"/>
      <c r="Y50" s="214"/>
      <c r="Z50" s="222"/>
      <c r="AA50" s="223"/>
      <c r="AB50" s="222"/>
      <c r="AC50" s="214"/>
      <c r="AD50" s="222"/>
      <c r="AE50" s="222"/>
    </row>
    <row r="51" spans="1:31" ht="24">
      <c r="A51" s="23"/>
      <c r="B51" s="215">
        <f>SUBTOTAL(103,$C$11:C51)</f>
        <v>41</v>
      </c>
      <c r="C51" s="215">
        <f>测试大纲!$A$19</f>
        <v>4</v>
      </c>
      <c r="D51" s="239" t="s">
        <v>240</v>
      </c>
      <c r="E51" s="227" t="s">
        <v>249</v>
      </c>
      <c r="F51" s="236"/>
      <c r="G51" s="215" t="str">
        <f>$D$9 &amp; "-"&amp;测试大纲!I$20&amp;"-"&amp;TEXT(SUBTOTAL(103,$C$43:C51),"000")</f>
        <v>Web-WTCX-009</v>
      </c>
      <c r="H51" s="219" t="s">
        <v>337</v>
      </c>
      <c r="I51" s="219" t="s">
        <v>165</v>
      </c>
      <c r="J51" s="220" t="s">
        <v>573</v>
      </c>
      <c r="K51" s="226" t="s">
        <v>427</v>
      </c>
      <c r="L51" s="227" t="s">
        <v>166</v>
      </c>
      <c r="M51" s="227" t="s">
        <v>233</v>
      </c>
      <c r="N51" s="220" t="s">
        <v>779</v>
      </c>
      <c r="O51" s="214"/>
      <c r="P51" s="222"/>
      <c r="Q51" s="222"/>
      <c r="R51" s="223"/>
      <c r="S51" s="223"/>
      <c r="T51" s="222"/>
      <c r="U51" s="214"/>
      <c r="V51" s="222"/>
      <c r="W51" s="223"/>
      <c r="X51" s="222"/>
      <c r="Y51" s="214"/>
      <c r="Z51" s="222"/>
      <c r="AA51" s="223"/>
      <c r="AB51" s="222"/>
      <c r="AC51" s="214"/>
      <c r="AD51" s="222"/>
      <c r="AE51" s="222"/>
    </row>
    <row r="52" spans="1:31" ht="24">
      <c r="A52" s="23"/>
      <c r="B52" s="215">
        <f>SUBTOTAL(103,$C$11:C52)</f>
        <v>42</v>
      </c>
      <c r="C52" s="215">
        <f>测试大纲!$A$19</f>
        <v>4</v>
      </c>
      <c r="D52" s="239" t="s">
        <v>240</v>
      </c>
      <c r="E52" s="227" t="s">
        <v>249</v>
      </c>
      <c r="F52" s="236"/>
      <c r="G52" s="215" t="str">
        <f>$D$9 &amp; "-"&amp;测试大纲!I$20&amp;"-"&amp;TEXT(SUBTOTAL(103,$C$43:C52),"000")</f>
        <v>Web-WTCX-010</v>
      </c>
      <c r="H52" s="219" t="s">
        <v>338</v>
      </c>
      <c r="I52" s="219" t="s">
        <v>165</v>
      </c>
      <c r="J52" s="220" t="s">
        <v>259</v>
      </c>
      <c r="K52" s="226" t="s">
        <v>427</v>
      </c>
      <c r="L52" s="227" t="s">
        <v>223</v>
      </c>
      <c r="M52" s="227" t="s">
        <v>227</v>
      </c>
      <c r="N52" s="237" t="s">
        <v>224</v>
      </c>
      <c r="O52" s="214"/>
      <c r="P52" s="222"/>
      <c r="Q52" s="222"/>
      <c r="R52" s="223"/>
      <c r="S52" s="223"/>
      <c r="T52" s="222"/>
      <c r="U52" s="214"/>
      <c r="V52" s="222"/>
      <c r="W52" s="223"/>
      <c r="X52" s="222"/>
      <c r="Y52" s="214"/>
      <c r="Z52" s="222"/>
      <c r="AA52" s="223"/>
      <c r="AB52" s="222"/>
      <c r="AC52" s="214"/>
      <c r="AD52" s="222"/>
      <c r="AE52" s="222"/>
    </row>
    <row r="53" spans="1:31" ht="60">
      <c r="A53" s="23"/>
      <c r="B53" s="215">
        <f>SUBTOTAL(103,$C$11:C53)</f>
        <v>43</v>
      </c>
      <c r="C53" s="215">
        <f>测试大纲!$A$19</f>
        <v>4</v>
      </c>
      <c r="D53" s="239" t="s">
        <v>240</v>
      </c>
      <c r="E53" s="227" t="s">
        <v>249</v>
      </c>
      <c r="F53" s="236"/>
      <c r="G53" s="215" t="str">
        <f>$D$9 &amp; "-"&amp;测试大纲!I$20&amp;"-"&amp;TEXT(SUBTOTAL(103,$C$43:C53),"000")</f>
        <v>Web-WTCX-011</v>
      </c>
      <c r="H53" s="219" t="s">
        <v>337</v>
      </c>
      <c r="I53" s="219" t="s">
        <v>165</v>
      </c>
      <c r="J53" s="220" t="s">
        <v>614</v>
      </c>
      <c r="K53" s="226" t="s">
        <v>427</v>
      </c>
      <c r="L53" s="227" t="s">
        <v>260</v>
      </c>
      <c r="M53" s="215" t="s">
        <v>776</v>
      </c>
      <c r="N53" s="220" t="s">
        <v>779</v>
      </c>
      <c r="O53" s="214"/>
      <c r="P53" s="222"/>
      <c r="Q53" s="222"/>
      <c r="R53" s="223"/>
      <c r="S53" s="223"/>
      <c r="T53" s="222"/>
      <c r="U53" s="214"/>
      <c r="V53" s="222"/>
      <c r="W53" s="223"/>
      <c r="X53" s="222"/>
      <c r="Y53" s="214"/>
      <c r="Z53" s="222"/>
      <c r="AA53" s="223"/>
      <c r="AB53" s="222"/>
      <c r="AC53" s="214"/>
      <c r="AD53" s="222"/>
      <c r="AE53" s="222"/>
    </row>
    <row r="54" spans="1:31" ht="60">
      <c r="A54" s="23"/>
      <c r="B54" s="215">
        <f>SUBTOTAL(103,$C$11:C54)</f>
        <v>44</v>
      </c>
      <c r="C54" s="215">
        <f>测试大纲!$A$19</f>
        <v>4</v>
      </c>
      <c r="D54" s="239" t="s">
        <v>240</v>
      </c>
      <c r="E54" s="227" t="s">
        <v>249</v>
      </c>
      <c r="F54" s="236"/>
      <c r="G54" s="215" t="str">
        <f>$D$9 &amp; "-"&amp;测试大纲!I$20&amp;"-"&amp;TEXT(SUBTOTAL(103,$C$43:C54),"000")</f>
        <v>Web-WTCX-012</v>
      </c>
      <c r="H54" s="219" t="s">
        <v>337</v>
      </c>
      <c r="I54" s="219" t="s">
        <v>165</v>
      </c>
      <c r="J54" s="220" t="s">
        <v>777</v>
      </c>
      <c r="K54" s="226" t="s">
        <v>427</v>
      </c>
      <c r="L54" s="227" t="s">
        <v>260</v>
      </c>
      <c r="M54" s="215" t="s">
        <v>778</v>
      </c>
      <c r="N54" s="220" t="s">
        <v>779</v>
      </c>
      <c r="O54" s="214"/>
      <c r="P54" s="222"/>
      <c r="Q54" s="222"/>
      <c r="R54" s="223"/>
      <c r="S54" s="223"/>
      <c r="T54" s="222"/>
      <c r="U54" s="214"/>
      <c r="V54" s="222"/>
      <c r="W54" s="223"/>
      <c r="X54" s="222"/>
      <c r="Y54" s="214"/>
      <c r="Z54" s="222"/>
      <c r="AA54" s="223"/>
      <c r="AB54" s="222"/>
      <c r="AC54" s="214"/>
      <c r="AD54" s="222"/>
      <c r="AE54" s="222"/>
    </row>
    <row r="55" spans="1:31" ht="60">
      <c r="A55" s="23"/>
      <c r="B55" s="215">
        <f>SUBTOTAL(103,$C$11:C55)</f>
        <v>45</v>
      </c>
      <c r="C55" s="215">
        <f>测试大纲!$A$19</f>
        <v>4</v>
      </c>
      <c r="D55" s="239" t="s">
        <v>240</v>
      </c>
      <c r="E55" s="227" t="s">
        <v>249</v>
      </c>
      <c r="F55" s="236"/>
      <c r="G55" s="215" t="str">
        <f>$D$9 &amp; "-"&amp;测试大纲!I$20&amp;"-"&amp;TEXT(SUBTOTAL(103,$C$43:C55),"000")</f>
        <v>Web-WTCX-013</v>
      </c>
      <c r="H55" s="219" t="s">
        <v>337</v>
      </c>
      <c r="I55" s="219" t="s">
        <v>165</v>
      </c>
      <c r="J55" s="220" t="s">
        <v>780</v>
      </c>
      <c r="K55" s="226" t="s">
        <v>427</v>
      </c>
      <c r="L55" s="227" t="s">
        <v>260</v>
      </c>
      <c r="M55" s="215" t="s">
        <v>781</v>
      </c>
      <c r="N55" s="220" t="s">
        <v>779</v>
      </c>
      <c r="O55" s="214"/>
      <c r="P55" s="222"/>
      <c r="Q55" s="222"/>
      <c r="R55" s="223"/>
      <c r="S55" s="223"/>
      <c r="T55" s="222"/>
      <c r="U55" s="214"/>
      <c r="V55" s="222"/>
      <c r="W55" s="223"/>
      <c r="X55" s="222"/>
      <c r="Y55" s="214"/>
      <c r="Z55" s="222"/>
      <c r="AA55" s="223"/>
      <c r="AB55" s="222"/>
      <c r="AC55" s="214"/>
      <c r="AD55" s="222"/>
      <c r="AE55" s="222"/>
    </row>
    <row r="56" spans="1:31" ht="60">
      <c r="A56" s="23"/>
      <c r="B56" s="215">
        <f>SUBTOTAL(103,$C$11:C56)</f>
        <v>46</v>
      </c>
      <c r="C56" s="215">
        <f>测试大纲!$A$19</f>
        <v>4</v>
      </c>
      <c r="D56" s="239" t="s">
        <v>240</v>
      </c>
      <c r="E56" s="227" t="s">
        <v>249</v>
      </c>
      <c r="F56" s="236"/>
      <c r="G56" s="215" t="str">
        <f>$D$9 &amp; "-"&amp;测试大纲!I$20&amp;"-"&amp;TEXT(SUBTOTAL(103,$C$43:C56),"000")</f>
        <v>Web-WTCX-014</v>
      </c>
      <c r="H56" s="219" t="s">
        <v>337</v>
      </c>
      <c r="I56" s="219" t="s">
        <v>165</v>
      </c>
      <c r="J56" s="220" t="s">
        <v>765</v>
      </c>
      <c r="K56" s="226" t="s">
        <v>427</v>
      </c>
      <c r="L56" s="227" t="s">
        <v>260</v>
      </c>
      <c r="M56" s="215" t="s">
        <v>782</v>
      </c>
      <c r="N56" s="220" t="s">
        <v>779</v>
      </c>
      <c r="O56" s="214"/>
      <c r="P56" s="222"/>
      <c r="Q56" s="222"/>
      <c r="R56" s="223"/>
      <c r="S56" s="223"/>
      <c r="T56" s="222"/>
      <c r="U56" s="214"/>
      <c r="V56" s="222"/>
      <c r="W56" s="223"/>
      <c r="X56" s="222"/>
      <c r="Y56" s="214"/>
      <c r="Z56" s="222"/>
      <c r="AA56" s="223"/>
      <c r="AB56" s="222"/>
      <c r="AC56" s="214"/>
      <c r="AD56" s="222"/>
      <c r="AE56" s="222"/>
    </row>
    <row r="57" spans="1:31" ht="60">
      <c r="A57" s="23"/>
      <c r="B57" s="215">
        <f>SUBTOTAL(103,$C$11:C57)</f>
        <v>47</v>
      </c>
      <c r="C57" s="215">
        <f>测试大纲!$A$19</f>
        <v>4</v>
      </c>
      <c r="D57" s="239" t="s">
        <v>240</v>
      </c>
      <c r="E57" s="227" t="s">
        <v>249</v>
      </c>
      <c r="F57" s="236"/>
      <c r="G57" s="215" t="str">
        <f>$D$9 &amp; "-"&amp;测试大纲!I$20&amp;"-"&amp;TEXT(SUBTOTAL(103,$C$43:C57),"000")</f>
        <v>Web-WTCX-015</v>
      </c>
      <c r="H57" s="219" t="s">
        <v>337</v>
      </c>
      <c r="I57" s="219" t="s">
        <v>62</v>
      </c>
      <c r="J57" s="220" t="s">
        <v>163</v>
      </c>
      <c r="K57" s="226" t="s">
        <v>427</v>
      </c>
      <c r="L57" s="227" t="s">
        <v>260</v>
      </c>
      <c r="M57" s="225" t="s">
        <v>407</v>
      </c>
      <c r="N57" s="220" t="s">
        <v>251</v>
      </c>
      <c r="O57" s="214"/>
      <c r="P57" s="222"/>
      <c r="Q57" s="222"/>
      <c r="R57" s="223"/>
      <c r="S57" s="223"/>
      <c r="T57" s="222"/>
      <c r="U57" s="214"/>
      <c r="V57" s="222"/>
      <c r="W57" s="223"/>
      <c r="X57" s="222"/>
      <c r="Y57" s="214"/>
      <c r="Z57" s="222"/>
      <c r="AA57" s="223"/>
      <c r="AB57" s="222"/>
      <c r="AC57" s="214"/>
      <c r="AD57" s="222"/>
      <c r="AE57" s="222"/>
    </row>
    <row r="58" spans="1:31" ht="24">
      <c r="A58" s="23"/>
      <c r="B58" s="215">
        <f>SUBTOTAL(103,$C$11:C58)</f>
        <v>48</v>
      </c>
      <c r="C58" s="215">
        <f>测试大纲!$A$19</f>
        <v>4</v>
      </c>
      <c r="D58" s="239" t="s">
        <v>240</v>
      </c>
      <c r="E58" s="227" t="s">
        <v>249</v>
      </c>
      <c r="F58" s="236"/>
      <c r="G58" s="215" t="str">
        <f>$D$9 &amp; "-"&amp;测试大纲!I$20&amp;"-"&amp;TEXT(SUBTOTAL(103,$C$43:C58),"000")</f>
        <v>Web-WTCX-016</v>
      </c>
      <c r="H58" s="219" t="s">
        <v>337</v>
      </c>
      <c r="I58" s="219" t="s">
        <v>62</v>
      </c>
      <c r="J58" s="220" t="s">
        <v>211</v>
      </c>
      <c r="K58" s="226" t="s">
        <v>427</v>
      </c>
      <c r="L58" s="227" t="s">
        <v>220</v>
      </c>
      <c r="M58" s="228"/>
      <c r="N58" s="220" t="s">
        <v>213</v>
      </c>
      <c r="O58" s="214"/>
      <c r="P58" s="222"/>
      <c r="Q58" s="222"/>
      <c r="R58" s="223"/>
      <c r="S58" s="223"/>
      <c r="T58" s="222"/>
      <c r="U58" s="214"/>
      <c r="V58" s="222"/>
      <c r="W58" s="223"/>
      <c r="X58" s="222"/>
      <c r="Y58" s="214"/>
      <c r="Z58" s="222"/>
      <c r="AA58" s="223"/>
      <c r="AB58" s="222"/>
      <c r="AC58" s="214"/>
      <c r="AD58" s="222"/>
      <c r="AE58" s="222"/>
    </row>
    <row r="59" spans="1:31" ht="24">
      <c r="A59" s="23"/>
      <c r="B59" s="215">
        <f>SUBTOTAL(103,$C$11:C59)</f>
        <v>49</v>
      </c>
      <c r="C59" s="215">
        <f>测试大纲!$A$19</f>
        <v>4</v>
      </c>
      <c r="D59" s="239" t="s">
        <v>240</v>
      </c>
      <c r="E59" s="227" t="s">
        <v>249</v>
      </c>
      <c r="F59" s="236"/>
      <c r="G59" s="215" t="str">
        <f>$D$9 &amp; "-"&amp;测试大纲!I$20&amp;"-"&amp;TEXT(SUBTOTAL(103,$C$43:C59),"000")</f>
        <v>Web-WTCX-017</v>
      </c>
      <c r="H59" s="219" t="s">
        <v>340</v>
      </c>
      <c r="I59" s="219" t="s">
        <v>165</v>
      </c>
      <c r="J59" s="220" t="s">
        <v>408</v>
      </c>
      <c r="K59" s="226" t="s">
        <v>427</v>
      </c>
      <c r="L59" s="225" t="s">
        <v>409</v>
      </c>
      <c r="M59" s="228"/>
      <c r="N59" s="220"/>
      <c r="O59" s="214"/>
      <c r="P59" s="222"/>
      <c r="Q59" s="222"/>
      <c r="R59" s="223"/>
      <c r="S59" s="223"/>
      <c r="T59" s="222"/>
      <c r="U59" s="214"/>
      <c r="V59" s="222"/>
      <c r="W59" s="223"/>
      <c r="X59" s="222"/>
      <c r="Y59" s="214"/>
      <c r="Z59" s="222"/>
      <c r="AA59" s="223"/>
      <c r="AB59" s="222"/>
      <c r="AC59" s="214"/>
      <c r="AD59" s="222"/>
      <c r="AE59" s="222"/>
    </row>
    <row r="60" spans="1:31" ht="48">
      <c r="A60" s="23"/>
      <c r="B60" s="215">
        <f>SUBTOTAL(103,$C$11:C60)</f>
        <v>50</v>
      </c>
      <c r="C60" s="215">
        <f>测试大纲!$A$19</f>
        <v>4</v>
      </c>
      <c r="D60" s="239" t="s">
        <v>240</v>
      </c>
      <c r="E60" s="227" t="s">
        <v>249</v>
      </c>
      <c r="F60" s="236"/>
      <c r="G60" s="215" t="str">
        <f>$D$9 &amp; "-"&amp;测试大纲!I$20&amp;"-"&amp;TEXT(SUBTOTAL(103,$C$43:C60),"000")</f>
        <v>Web-WTCX-018</v>
      </c>
      <c r="H60" s="219" t="s">
        <v>337</v>
      </c>
      <c r="I60" s="219" t="s">
        <v>62</v>
      </c>
      <c r="J60" s="220" t="s">
        <v>236</v>
      </c>
      <c r="K60" s="226" t="s">
        <v>427</v>
      </c>
      <c r="L60" s="227" t="s">
        <v>238</v>
      </c>
      <c r="M60" s="227"/>
      <c r="N60" s="220" t="s">
        <v>239</v>
      </c>
      <c r="O60" s="214"/>
      <c r="P60" s="222"/>
      <c r="Q60" s="222"/>
      <c r="R60" s="223"/>
      <c r="S60" s="223"/>
      <c r="T60" s="222"/>
      <c r="U60" s="214"/>
      <c r="V60" s="222"/>
      <c r="W60" s="223"/>
      <c r="X60" s="222"/>
      <c r="Y60" s="214"/>
      <c r="Z60" s="222"/>
      <c r="AA60" s="223"/>
      <c r="AB60" s="222"/>
      <c r="AC60" s="214"/>
      <c r="AD60" s="222"/>
      <c r="AE60" s="222"/>
    </row>
    <row r="61" spans="1:31" ht="24">
      <c r="A61" s="23"/>
      <c r="B61" s="215">
        <f>SUBTOTAL(103,$C$11:C61)</f>
        <v>51</v>
      </c>
      <c r="C61" s="215">
        <f>测试大纲!$A$19</f>
        <v>4</v>
      </c>
      <c r="D61" s="239" t="s">
        <v>240</v>
      </c>
      <c r="E61" s="227" t="s">
        <v>249</v>
      </c>
      <c r="F61" s="236"/>
      <c r="G61" s="215" t="str">
        <f>$D$9 &amp; "-"&amp;测试大纲!I$20&amp;"-"&amp;TEXT(SUBTOTAL(103,$C$43:C61),"000")</f>
        <v>Web-WTCX-019</v>
      </c>
      <c r="H61" s="219" t="s">
        <v>337</v>
      </c>
      <c r="I61" s="219" t="s">
        <v>62</v>
      </c>
      <c r="J61" s="220" t="s">
        <v>164</v>
      </c>
      <c r="K61" s="226" t="s">
        <v>427</v>
      </c>
      <c r="L61" s="228" t="s">
        <v>194</v>
      </c>
      <c r="M61" s="225" t="s">
        <v>353</v>
      </c>
      <c r="N61" s="220" t="s">
        <v>196</v>
      </c>
      <c r="O61" s="214"/>
      <c r="P61" s="222"/>
      <c r="Q61" s="222"/>
      <c r="R61" s="223"/>
      <c r="S61" s="223"/>
      <c r="T61" s="222"/>
      <c r="U61" s="214"/>
      <c r="V61" s="222"/>
      <c r="W61" s="223"/>
      <c r="X61" s="222"/>
      <c r="Y61" s="214"/>
      <c r="Z61" s="222"/>
      <c r="AA61" s="223"/>
      <c r="AB61" s="222"/>
      <c r="AC61" s="214"/>
      <c r="AD61" s="222"/>
      <c r="AE61" s="222"/>
    </row>
    <row r="62" spans="1:31" ht="24">
      <c r="A62" s="23"/>
      <c r="B62" s="215">
        <f>SUBTOTAL(103,$C$11:C62)</f>
        <v>52</v>
      </c>
      <c r="C62" s="215">
        <f>测试大纲!$A$19</f>
        <v>4</v>
      </c>
      <c r="D62" s="239" t="s">
        <v>240</v>
      </c>
      <c r="E62" s="227" t="s">
        <v>249</v>
      </c>
      <c r="F62" s="215"/>
      <c r="G62" s="215" t="str">
        <f>$D$9 &amp; "-"&amp;测试大纲!I$20&amp;"-"&amp;TEXT(SUBTOTAL(103,$C$43:C62),"000")</f>
        <v>Web-WTCX-020</v>
      </c>
      <c r="H62" s="219" t="s">
        <v>340</v>
      </c>
      <c r="I62" s="219" t="s">
        <v>62</v>
      </c>
      <c r="J62" s="220" t="s">
        <v>584</v>
      </c>
      <c r="K62" s="226" t="s">
        <v>427</v>
      </c>
      <c r="L62" s="215" t="s">
        <v>770</v>
      </c>
      <c r="M62" s="215" t="s">
        <v>531</v>
      </c>
      <c r="N62" s="220" t="s">
        <v>461</v>
      </c>
      <c r="O62" s="214"/>
      <c r="P62" s="222"/>
      <c r="Q62" s="222"/>
      <c r="R62" s="223"/>
      <c r="S62" s="223"/>
      <c r="T62" s="222"/>
      <c r="U62" s="214"/>
      <c r="V62" s="222"/>
      <c r="W62" s="223"/>
      <c r="X62" s="222"/>
      <c r="Y62" s="214"/>
      <c r="Z62" s="222"/>
      <c r="AA62" s="223"/>
      <c r="AB62" s="222"/>
      <c r="AC62" s="214"/>
      <c r="AD62" s="222"/>
      <c r="AE62" s="222"/>
    </row>
    <row r="63" spans="1:31" ht="24">
      <c r="A63" s="23"/>
      <c r="B63" s="215">
        <f>SUBTOTAL(103,$C$11:C63)</f>
        <v>53</v>
      </c>
      <c r="C63" s="215">
        <f>测试大纲!$A$19</f>
        <v>4</v>
      </c>
      <c r="D63" s="239" t="s">
        <v>240</v>
      </c>
      <c r="E63" s="227" t="s">
        <v>249</v>
      </c>
      <c r="F63" s="215"/>
      <c r="G63" s="215" t="str">
        <f>$D$9 &amp; "-"&amp;测试大纲!I$20&amp;"-"&amp;TEXT(SUBTOTAL(103,$C$43:C63),"000")</f>
        <v>Web-WTCX-021</v>
      </c>
      <c r="H63" s="219" t="s">
        <v>340</v>
      </c>
      <c r="I63" s="219" t="s">
        <v>62</v>
      </c>
      <c r="J63" s="220" t="s">
        <v>585</v>
      </c>
      <c r="K63" s="226" t="s">
        <v>427</v>
      </c>
      <c r="L63" s="215" t="s">
        <v>770</v>
      </c>
      <c r="M63" s="215" t="s">
        <v>530</v>
      </c>
      <c r="N63" s="220" t="s">
        <v>461</v>
      </c>
      <c r="O63" s="214"/>
      <c r="P63" s="222"/>
      <c r="Q63" s="222"/>
      <c r="R63" s="223"/>
      <c r="S63" s="223"/>
      <c r="T63" s="222"/>
      <c r="U63" s="214"/>
      <c r="V63" s="222"/>
      <c r="W63" s="223"/>
      <c r="X63" s="222"/>
      <c r="Y63" s="214"/>
      <c r="Z63" s="222"/>
      <c r="AA63" s="223"/>
      <c r="AB63" s="222"/>
      <c r="AC63" s="214"/>
      <c r="AD63" s="222"/>
      <c r="AE63" s="222"/>
    </row>
    <row r="64" spans="1:31" ht="24">
      <c r="A64" s="23"/>
      <c r="B64" s="215">
        <f>SUBTOTAL(103,$C$11:C64)</f>
        <v>54</v>
      </c>
      <c r="C64" s="215">
        <f>测试大纲!$A$19</f>
        <v>4</v>
      </c>
      <c r="D64" s="239" t="s">
        <v>240</v>
      </c>
      <c r="E64" s="227" t="s">
        <v>249</v>
      </c>
      <c r="F64" s="215"/>
      <c r="G64" s="215" t="str">
        <f>$D$9 &amp; "-"&amp;测试大纲!I$20&amp;"-"&amp;TEXT(SUBTOTAL(103,$C$43:C64),"000")</f>
        <v>Web-WTCX-022</v>
      </c>
      <c r="H64" s="219" t="s">
        <v>340</v>
      </c>
      <c r="I64" s="219" t="s">
        <v>62</v>
      </c>
      <c r="J64" s="220" t="s">
        <v>586</v>
      </c>
      <c r="K64" s="226" t="s">
        <v>427</v>
      </c>
      <c r="L64" s="215" t="s">
        <v>770</v>
      </c>
      <c r="M64" s="215" t="s">
        <v>532</v>
      </c>
      <c r="N64" s="220" t="s">
        <v>461</v>
      </c>
      <c r="O64" s="214"/>
      <c r="P64" s="222"/>
      <c r="Q64" s="222"/>
      <c r="R64" s="223"/>
      <c r="S64" s="223"/>
      <c r="T64" s="222"/>
      <c r="U64" s="214"/>
      <c r="V64" s="222"/>
      <c r="W64" s="223"/>
      <c r="X64" s="222"/>
      <c r="Y64" s="214"/>
      <c r="Z64" s="222"/>
      <c r="AA64" s="223"/>
      <c r="AB64" s="222"/>
      <c r="AC64" s="214"/>
      <c r="AD64" s="222"/>
      <c r="AE64" s="222"/>
    </row>
    <row r="65" spans="1:31" ht="24">
      <c r="A65" s="23"/>
      <c r="B65" s="215">
        <f>SUBTOTAL(103,$C$11:C65)</f>
        <v>55</v>
      </c>
      <c r="C65" s="215">
        <f>测试大纲!$A$19</f>
        <v>4</v>
      </c>
      <c r="D65" s="239" t="s">
        <v>240</v>
      </c>
      <c r="E65" s="227" t="s">
        <v>249</v>
      </c>
      <c r="F65" s="236"/>
      <c r="G65" s="215" t="str">
        <f>$D$9 &amp; "-"&amp;测试大纲!I$20&amp;"-"&amp;TEXT(SUBTOTAL(103,$C$43:C65),"000")</f>
        <v>Web-WTCX-023</v>
      </c>
      <c r="H65" s="219" t="s">
        <v>337</v>
      </c>
      <c r="I65" s="219" t="s">
        <v>62</v>
      </c>
      <c r="J65" s="220" t="s">
        <v>209</v>
      </c>
      <c r="K65" s="226" t="s">
        <v>427</v>
      </c>
      <c r="L65" s="231" t="s">
        <v>208</v>
      </c>
      <c r="M65" s="225" t="s">
        <v>397</v>
      </c>
      <c r="N65" s="227" t="s">
        <v>250</v>
      </c>
      <c r="O65" s="214"/>
      <c r="P65" s="222"/>
      <c r="Q65" s="222"/>
      <c r="R65" s="223"/>
      <c r="S65" s="223"/>
      <c r="T65" s="222"/>
      <c r="U65" s="214"/>
      <c r="V65" s="222"/>
      <c r="W65" s="223"/>
      <c r="X65" s="222"/>
      <c r="Y65" s="214"/>
      <c r="Z65" s="222"/>
      <c r="AA65" s="223"/>
      <c r="AB65" s="222"/>
      <c r="AC65" s="214"/>
      <c r="AD65" s="222"/>
      <c r="AE65" s="222"/>
    </row>
    <row r="66" spans="1:31" ht="24">
      <c r="A66" s="23"/>
      <c r="B66" s="215">
        <f>SUBTOTAL(103,$C$11:C66)</f>
        <v>56</v>
      </c>
      <c r="C66" s="215">
        <f>测试大纲!$A$19</f>
        <v>4</v>
      </c>
      <c r="D66" s="239" t="s">
        <v>240</v>
      </c>
      <c r="E66" s="227" t="s">
        <v>249</v>
      </c>
      <c r="F66" s="236"/>
      <c r="G66" s="215" t="str">
        <f>$D$9 &amp; "-"&amp;测试大纲!I$20&amp;"-"&amp;TEXT(SUBTOTAL(103,$C$43:C66),"000")</f>
        <v>Web-WTCX-024</v>
      </c>
      <c r="H66" s="219" t="s">
        <v>337</v>
      </c>
      <c r="I66" s="219" t="s">
        <v>62</v>
      </c>
      <c r="J66" s="220" t="s">
        <v>246</v>
      </c>
      <c r="K66" s="226" t="s">
        <v>427</v>
      </c>
      <c r="L66" s="231" t="s">
        <v>208</v>
      </c>
      <c r="M66" s="225" t="s">
        <v>397</v>
      </c>
      <c r="N66" s="227"/>
      <c r="O66" s="214"/>
      <c r="P66" s="222"/>
      <c r="Q66" s="222"/>
      <c r="R66" s="223"/>
      <c r="S66" s="223"/>
      <c r="T66" s="222"/>
      <c r="U66" s="214"/>
      <c r="V66" s="222"/>
      <c r="W66" s="223"/>
      <c r="X66" s="222"/>
      <c r="Y66" s="214"/>
      <c r="Z66" s="222"/>
      <c r="AA66" s="223"/>
      <c r="AB66" s="222"/>
      <c r="AC66" s="214"/>
      <c r="AD66" s="222"/>
      <c r="AE66" s="222"/>
    </row>
    <row r="67" spans="1:31" ht="36">
      <c r="A67" s="23"/>
      <c r="B67" s="215">
        <f>SUBTOTAL(103,$C$11:C67)</f>
        <v>57</v>
      </c>
      <c r="C67" s="215">
        <f>测试大纲!$A$19</f>
        <v>4</v>
      </c>
      <c r="D67" s="239" t="s">
        <v>240</v>
      </c>
      <c r="E67" s="227" t="s">
        <v>249</v>
      </c>
      <c r="F67" s="236"/>
      <c r="G67" s="215" t="str">
        <f>$D$9 &amp; "-"&amp;测试大纲!I$20&amp;"-"&amp;TEXT(SUBTOTAL(103,$C$43:C67),"000")</f>
        <v>Web-WTCX-025</v>
      </c>
      <c r="H67" s="219" t="s">
        <v>337</v>
      </c>
      <c r="I67" s="219" t="s">
        <v>62</v>
      </c>
      <c r="J67" s="220" t="s">
        <v>170</v>
      </c>
      <c r="K67" s="225" t="s">
        <v>428</v>
      </c>
      <c r="L67" s="225" t="s">
        <v>413</v>
      </c>
      <c r="M67" s="218">
        <v>2</v>
      </c>
      <c r="N67" s="220" t="s">
        <v>176</v>
      </c>
      <c r="O67" s="214"/>
      <c r="P67" s="222"/>
      <c r="Q67" s="222"/>
      <c r="R67" s="223"/>
      <c r="S67" s="223"/>
      <c r="T67" s="222"/>
      <c r="U67" s="214"/>
      <c r="V67" s="222"/>
      <c r="W67" s="223"/>
      <c r="X67" s="222"/>
      <c r="Y67" s="214"/>
      <c r="Z67" s="222"/>
      <c r="AA67" s="223"/>
      <c r="AB67" s="222"/>
      <c r="AC67" s="214"/>
      <c r="AD67" s="222"/>
      <c r="AE67" s="222"/>
    </row>
    <row r="68" spans="1:31" ht="36">
      <c r="A68" s="23"/>
      <c r="B68" s="215">
        <f>SUBTOTAL(103,$C$11:C68)</f>
        <v>58</v>
      </c>
      <c r="C68" s="215">
        <f>测试大纲!$A$19</f>
        <v>4</v>
      </c>
      <c r="D68" s="239" t="s">
        <v>240</v>
      </c>
      <c r="E68" s="227" t="s">
        <v>249</v>
      </c>
      <c r="F68" s="236"/>
      <c r="G68" s="215" t="str">
        <f>$D$9 &amp; "-"&amp;测试大纲!I$20&amp;"-"&amp;TEXT(SUBTOTAL(103,$C$43:C68),"000")</f>
        <v>Web-WTCX-026</v>
      </c>
      <c r="H68" s="219" t="s">
        <v>337</v>
      </c>
      <c r="I68" s="219" t="s">
        <v>62</v>
      </c>
      <c r="J68" s="220" t="s">
        <v>169</v>
      </c>
      <c r="K68" s="225" t="s">
        <v>428</v>
      </c>
      <c r="L68" s="230" t="s">
        <v>171</v>
      </c>
      <c r="M68" s="230">
        <v>2</v>
      </c>
      <c r="N68" s="220" t="s">
        <v>176</v>
      </c>
      <c r="O68" s="214"/>
      <c r="P68" s="222"/>
      <c r="Q68" s="222"/>
      <c r="R68" s="223"/>
      <c r="S68" s="223"/>
      <c r="T68" s="222"/>
      <c r="U68" s="214"/>
      <c r="V68" s="222"/>
      <c r="W68" s="223"/>
      <c r="X68" s="222"/>
      <c r="Y68" s="214"/>
      <c r="Z68" s="222"/>
      <c r="AA68" s="223"/>
      <c r="AB68" s="222"/>
      <c r="AC68" s="214"/>
      <c r="AD68" s="222"/>
      <c r="AE68" s="222"/>
    </row>
    <row r="69" spans="1:31" ht="36">
      <c r="A69" s="23"/>
      <c r="B69" s="215">
        <f>SUBTOTAL(103,$C$11:C69)</f>
        <v>59</v>
      </c>
      <c r="C69" s="215">
        <f>测试大纲!$A$19</f>
        <v>4</v>
      </c>
      <c r="D69" s="239" t="s">
        <v>240</v>
      </c>
      <c r="E69" s="227" t="s">
        <v>249</v>
      </c>
      <c r="F69" s="236"/>
      <c r="G69" s="215" t="str">
        <f>$D$9 &amp; "-"&amp;测试大纲!I$20&amp;"-"&amp;TEXT(SUBTOTAL(103,$C$43:C69),"000")</f>
        <v>Web-WTCX-027</v>
      </c>
      <c r="H69" s="219" t="s">
        <v>337</v>
      </c>
      <c r="I69" s="219" t="s">
        <v>62</v>
      </c>
      <c r="J69" s="220" t="s">
        <v>172</v>
      </c>
      <c r="K69" s="226" t="s">
        <v>428</v>
      </c>
      <c r="L69" s="225" t="s">
        <v>416</v>
      </c>
      <c r="M69" s="230"/>
      <c r="N69" s="220" t="s">
        <v>177</v>
      </c>
      <c r="O69" s="214"/>
      <c r="P69" s="222"/>
      <c r="Q69" s="222"/>
      <c r="R69" s="223"/>
      <c r="S69" s="223"/>
      <c r="T69" s="222"/>
      <c r="U69" s="214"/>
      <c r="V69" s="222"/>
      <c r="W69" s="223"/>
      <c r="X69" s="222"/>
      <c r="Y69" s="214"/>
      <c r="Z69" s="222"/>
      <c r="AA69" s="223"/>
      <c r="AB69" s="222"/>
      <c r="AC69" s="214"/>
      <c r="AD69" s="222"/>
      <c r="AE69" s="222"/>
    </row>
    <row r="70" spans="1:31" ht="36">
      <c r="A70" s="23"/>
      <c r="B70" s="215">
        <f>SUBTOTAL(103,$C$11:C70)</f>
        <v>60</v>
      </c>
      <c r="C70" s="215">
        <f>测试大纲!$A$19</f>
        <v>4</v>
      </c>
      <c r="D70" s="239" t="s">
        <v>240</v>
      </c>
      <c r="E70" s="227" t="s">
        <v>249</v>
      </c>
      <c r="F70" s="236"/>
      <c r="G70" s="215" t="str">
        <f>$D$9 &amp; "-"&amp;测试大纲!I$20&amp;"-"&amp;TEXT(SUBTOTAL(103,$C$43:C70),"000")</f>
        <v>Web-WTCX-028</v>
      </c>
      <c r="H70" s="219" t="s">
        <v>337</v>
      </c>
      <c r="I70" s="219" t="s">
        <v>62</v>
      </c>
      <c r="J70" s="220" t="s">
        <v>174</v>
      </c>
      <c r="K70" s="226" t="s">
        <v>428</v>
      </c>
      <c r="L70" s="225" t="s">
        <v>415</v>
      </c>
      <c r="M70" s="230"/>
      <c r="N70" s="220" t="s">
        <v>178</v>
      </c>
      <c r="O70" s="214"/>
      <c r="P70" s="222"/>
      <c r="Q70" s="222"/>
      <c r="R70" s="223"/>
      <c r="S70" s="223"/>
      <c r="T70" s="222"/>
      <c r="U70" s="214"/>
      <c r="V70" s="222"/>
      <c r="W70" s="223"/>
      <c r="X70" s="222"/>
      <c r="Y70" s="214"/>
      <c r="Z70" s="222"/>
      <c r="AA70" s="223"/>
      <c r="AB70" s="222"/>
      <c r="AC70" s="214"/>
      <c r="AD70" s="222"/>
      <c r="AE70" s="222"/>
    </row>
    <row r="71" spans="1:31" ht="36">
      <c r="A71" s="23"/>
      <c r="B71" s="215">
        <f>SUBTOTAL(103,$C$11:C71)</f>
        <v>61</v>
      </c>
      <c r="C71" s="215">
        <f>测试大纲!$A$19</f>
        <v>4</v>
      </c>
      <c r="D71" s="239" t="s">
        <v>240</v>
      </c>
      <c r="E71" s="227" t="s">
        <v>249</v>
      </c>
      <c r="F71" s="236"/>
      <c r="G71" s="215" t="str">
        <f>$D$9 &amp; "-"&amp;测试大纲!I$20&amp;"-"&amp;TEXT(SUBTOTAL(103,$C$43:C71),"000")</f>
        <v>Web-WTCX-029</v>
      </c>
      <c r="H71" s="219" t="s">
        <v>337</v>
      </c>
      <c r="I71" s="219" t="s">
        <v>165</v>
      </c>
      <c r="J71" s="220" t="s">
        <v>881</v>
      </c>
      <c r="K71" s="226" t="s">
        <v>439</v>
      </c>
      <c r="L71" s="230" t="s">
        <v>171</v>
      </c>
      <c r="M71" s="231">
        <v>0</v>
      </c>
      <c r="N71" s="220" t="s">
        <v>210</v>
      </c>
      <c r="O71" s="214"/>
      <c r="P71" s="222"/>
      <c r="Q71" s="222"/>
      <c r="R71" s="223"/>
      <c r="S71" s="223"/>
      <c r="T71" s="222"/>
      <c r="U71" s="214"/>
      <c r="V71" s="222"/>
      <c r="W71" s="223"/>
      <c r="X71" s="222"/>
      <c r="Y71" s="214"/>
      <c r="Z71" s="222"/>
      <c r="AA71" s="223"/>
      <c r="AB71" s="222"/>
      <c r="AC71" s="214"/>
      <c r="AD71" s="222"/>
      <c r="AE71" s="222"/>
    </row>
    <row r="72" spans="1:31" ht="36">
      <c r="A72" s="23"/>
      <c r="B72" s="215">
        <f>SUBTOTAL(103,$C$11:C72)</f>
        <v>62</v>
      </c>
      <c r="C72" s="215">
        <f>测试大纲!$A$19</f>
        <v>4</v>
      </c>
      <c r="D72" s="239" t="s">
        <v>240</v>
      </c>
      <c r="E72" s="227" t="s">
        <v>249</v>
      </c>
      <c r="F72" s="218"/>
      <c r="G72" s="215" t="str">
        <f>$D$9 &amp; "-"&amp;测试大纲!I$20&amp;"-"&amp;TEXT(SUBTOTAL(103,$C$43:C72),"000")</f>
        <v>Web-WTCX-030</v>
      </c>
      <c r="H72" s="219" t="s">
        <v>337</v>
      </c>
      <c r="I72" s="219" t="s">
        <v>62</v>
      </c>
      <c r="J72" s="220" t="s">
        <v>432</v>
      </c>
      <c r="K72" s="226" t="s">
        <v>439</v>
      </c>
      <c r="L72" s="230"/>
      <c r="M72" s="231"/>
      <c r="N72" s="220" t="s">
        <v>433</v>
      </c>
      <c r="O72" s="214"/>
      <c r="P72" s="222"/>
      <c r="Q72" s="222"/>
      <c r="R72" s="223"/>
      <c r="S72" s="223"/>
      <c r="T72" s="222"/>
      <c r="U72" s="214"/>
      <c r="V72" s="222"/>
      <c r="W72" s="223"/>
      <c r="X72" s="222"/>
      <c r="Y72" s="214"/>
      <c r="Z72" s="222"/>
      <c r="AA72" s="223"/>
      <c r="AB72" s="222"/>
      <c r="AC72" s="214"/>
      <c r="AD72" s="222"/>
      <c r="AE72" s="222"/>
    </row>
    <row r="73" spans="1:31" ht="36">
      <c r="A73" s="23"/>
      <c r="B73" s="215">
        <f>SUBTOTAL(103,$C$11:C73)</f>
        <v>63</v>
      </c>
      <c r="C73" s="215">
        <f>测试大纲!$A$19</f>
        <v>4</v>
      </c>
      <c r="D73" s="239" t="s">
        <v>240</v>
      </c>
      <c r="E73" s="227" t="s">
        <v>249</v>
      </c>
      <c r="F73" s="218"/>
      <c r="G73" s="215" t="str">
        <f>$D$9 &amp; "-"&amp;测试大纲!I$20&amp;"-"&amp;TEXT(SUBTOTAL(103,$C$43:C73),"000")</f>
        <v>Web-WTCX-031</v>
      </c>
      <c r="H73" s="219" t="s">
        <v>337</v>
      </c>
      <c r="I73" s="219" t="s">
        <v>62</v>
      </c>
      <c r="J73" s="220" t="s">
        <v>434</v>
      </c>
      <c r="K73" s="226" t="s">
        <v>439</v>
      </c>
      <c r="L73" s="225" t="s">
        <v>415</v>
      </c>
      <c r="M73" s="231"/>
      <c r="N73" s="220" t="s">
        <v>433</v>
      </c>
      <c r="O73" s="214"/>
      <c r="P73" s="222"/>
      <c r="Q73" s="222"/>
      <c r="R73" s="223"/>
      <c r="S73" s="223"/>
      <c r="T73" s="222"/>
      <c r="U73" s="214"/>
      <c r="V73" s="222"/>
      <c r="W73" s="223"/>
      <c r="X73" s="222"/>
      <c r="Y73" s="214"/>
      <c r="Z73" s="222"/>
      <c r="AA73" s="223"/>
      <c r="AB73" s="222"/>
      <c r="AC73" s="214"/>
      <c r="AD73" s="222"/>
      <c r="AE73" s="222"/>
    </row>
    <row r="74" spans="1:31" ht="36">
      <c r="A74" s="23"/>
      <c r="B74" s="215">
        <f>SUBTOTAL(103,$C$11:C74)</f>
        <v>64</v>
      </c>
      <c r="C74" s="215">
        <f>测试大纲!$A$19</f>
        <v>4</v>
      </c>
      <c r="D74" s="239" t="s">
        <v>240</v>
      </c>
      <c r="E74" s="227" t="s">
        <v>249</v>
      </c>
      <c r="F74" s="218"/>
      <c r="G74" s="215" t="str">
        <f>$D$9 &amp; "-"&amp;测试大纲!I$20&amp;"-"&amp;TEXT(SUBTOTAL(103,$C$43:C74),"000")</f>
        <v>Web-WTCX-032</v>
      </c>
      <c r="H74" s="219" t="s">
        <v>337</v>
      </c>
      <c r="I74" s="219" t="s">
        <v>62</v>
      </c>
      <c r="J74" s="220" t="s">
        <v>435</v>
      </c>
      <c r="K74" s="225" t="s">
        <v>439</v>
      </c>
      <c r="L74" s="225" t="s">
        <v>436</v>
      </c>
      <c r="M74" s="225" t="s">
        <v>437</v>
      </c>
      <c r="N74" s="220" t="s">
        <v>438</v>
      </c>
      <c r="O74" s="214"/>
      <c r="P74" s="222"/>
      <c r="Q74" s="222"/>
      <c r="R74" s="223"/>
      <c r="S74" s="223"/>
      <c r="T74" s="222"/>
      <c r="U74" s="214"/>
      <c r="V74" s="222"/>
      <c r="W74" s="223"/>
      <c r="X74" s="222"/>
      <c r="Y74" s="214"/>
      <c r="Z74" s="222"/>
      <c r="AA74" s="223"/>
      <c r="AB74" s="222"/>
      <c r="AC74" s="214"/>
      <c r="AD74" s="222"/>
      <c r="AE74" s="222"/>
    </row>
    <row r="75" spans="1:31" ht="36">
      <c r="A75" s="23"/>
      <c r="B75" s="215">
        <f>SUBTOTAL(103,$C$11:C75)</f>
        <v>65</v>
      </c>
      <c r="C75" s="215">
        <f>测试大纲!$A$19</f>
        <v>4</v>
      </c>
      <c r="D75" s="239" t="s">
        <v>240</v>
      </c>
      <c r="E75" s="227" t="s">
        <v>249</v>
      </c>
      <c r="F75" s="215"/>
      <c r="G75" s="215" t="str">
        <f>$D$9 &amp; "-"&amp;测试大纲!I$20&amp;"-"&amp;TEXT(SUBTOTAL(103,$C$43:C75),"000")</f>
        <v>Web-WTCX-033</v>
      </c>
      <c r="H75" s="219" t="s">
        <v>337</v>
      </c>
      <c r="I75" s="219" t="s">
        <v>62</v>
      </c>
      <c r="J75" s="220" t="s">
        <v>595</v>
      </c>
      <c r="K75" s="225" t="s">
        <v>439</v>
      </c>
      <c r="L75" s="215" t="s">
        <v>476</v>
      </c>
      <c r="M75" s="215"/>
      <c r="N75" s="220" t="s">
        <v>477</v>
      </c>
      <c r="O75" s="214"/>
      <c r="P75" s="222"/>
      <c r="Q75" s="222"/>
      <c r="R75" s="223"/>
      <c r="S75" s="223"/>
      <c r="T75" s="222"/>
      <c r="U75" s="214"/>
      <c r="V75" s="222"/>
      <c r="W75" s="223"/>
      <c r="X75" s="222"/>
      <c r="Y75" s="214"/>
      <c r="Z75" s="222"/>
      <c r="AA75" s="223"/>
      <c r="AB75" s="222"/>
      <c r="AC75" s="214"/>
      <c r="AD75" s="222"/>
      <c r="AE75" s="222"/>
    </row>
    <row r="76" spans="1:31" ht="48">
      <c r="A76" s="23"/>
      <c r="B76" s="215">
        <f>SUBTOTAL(103,$C$11:C76)</f>
        <v>66</v>
      </c>
      <c r="C76" s="215">
        <f>测试大纲!$A$19</f>
        <v>4</v>
      </c>
      <c r="D76" s="239" t="s">
        <v>240</v>
      </c>
      <c r="E76" s="227" t="s">
        <v>249</v>
      </c>
      <c r="F76" s="215"/>
      <c r="G76" s="215" t="str">
        <f>$D$9 &amp; "-"&amp;测试大纲!I$20&amp;"-"&amp;TEXT(SUBTOTAL(103,$C$43:C76),"000")</f>
        <v>Web-WTCX-034</v>
      </c>
      <c r="H76" s="219" t="s">
        <v>337</v>
      </c>
      <c r="I76" s="219" t="s">
        <v>62</v>
      </c>
      <c r="J76" s="220" t="s">
        <v>596</v>
      </c>
      <c r="K76" s="225" t="s">
        <v>439</v>
      </c>
      <c r="L76" s="215" t="s">
        <v>930</v>
      </c>
      <c r="M76" s="215" t="s">
        <v>480</v>
      </c>
      <c r="N76" s="220" t="s">
        <v>481</v>
      </c>
      <c r="O76" s="214"/>
      <c r="P76" s="222"/>
      <c r="Q76" s="222"/>
      <c r="R76" s="223"/>
      <c r="S76" s="223"/>
      <c r="T76" s="222"/>
      <c r="U76" s="214"/>
      <c r="V76" s="222"/>
      <c r="W76" s="223"/>
      <c r="X76" s="222"/>
      <c r="Y76" s="214"/>
      <c r="Z76" s="222"/>
      <c r="AA76" s="223"/>
      <c r="AB76" s="222"/>
      <c r="AC76" s="214"/>
      <c r="AD76" s="222"/>
      <c r="AE76" s="222"/>
    </row>
    <row r="77" spans="1:31" ht="108">
      <c r="A77" s="23"/>
      <c r="B77" s="215">
        <f>SUBTOTAL(103,$C$11:C77)</f>
        <v>67</v>
      </c>
      <c r="C77" s="215">
        <f>测试大纲!$A$19</f>
        <v>4</v>
      </c>
      <c r="D77" s="239" t="s">
        <v>240</v>
      </c>
      <c r="E77" s="227" t="s">
        <v>242</v>
      </c>
      <c r="F77" s="215"/>
      <c r="G77" s="215" t="str">
        <f>$D$9 &amp; "-"&amp;测试大纲!I$21&amp;"-"&amp;TEXT(SUBTOTAL(103,$C$77:C77),"000")</f>
        <v>Web-BGSB-001</v>
      </c>
      <c r="H77" s="219" t="s">
        <v>337</v>
      </c>
      <c r="I77" s="219" t="s">
        <v>62</v>
      </c>
      <c r="J77" s="220" t="s">
        <v>726</v>
      </c>
      <c r="K77" s="226" t="s">
        <v>429</v>
      </c>
      <c r="L77" s="221"/>
      <c r="M77" s="215"/>
      <c r="N77" s="221" t="s">
        <v>783</v>
      </c>
      <c r="O77" s="214"/>
      <c r="P77" s="222"/>
      <c r="Q77" s="222"/>
      <c r="R77" s="223"/>
      <c r="S77" s="223"/>
      <c r="T77" s="222"/>
      <c r="U77" s="214"/>
      <c r="V77" s="222"/>
      <c r="W77" s="223"/>
      <c r="X77" s="222"/>
      <c r="Y77" s="214"/>
      <c r="Z77" s="222"/>
      <c r="AA77" s="223"/>
      <c r="AB77" s="222"/>
      <c r="AC77" s="214"/>
      <c r="AD77" s="222"/>
      <c r="AE77" s="222"/>
    </row>
    <row r="78" spans="1:31" ht="60">
      <c r="A78" s="23"/>
      <c r="B78" s="215">
        <f>SUBTOTAL(103,$C$11:C78)</f>
        <v>68</v>
      </c>
      <c r="C78" s="215">
        <f>测试大纲!$A$19</f>
        <v>4</v>
      </c>
      <c r="D78" s="239" t="s">
        <v>240</v>
      </c>
      <c r="E78" s="227" t="s">
        <v>242</v>
      </c>
      <c r="F78" s="215"/>
      <c r="G78" s="215" t="str">
        <f>$D$9 &amp; "-"&amp;测试大纲!I$21&amp;"-"&amp;TEXT(SUBTOTAL(103,$C$77:C78),"000")</f>
        <v>Web-BGSB-002</v>
      </c>
      <c r="H78" s="219" t="s">
        <v>337</v>
      </c>
      <c r="I78" s="219" t="s">
        <v>62</v>
      </c>
      <c r="J78" s="220" t="s">
        <v>597</v>
      </c>
      <c r="K78" s="226" t="s">
        <v>429</v>
      </c>
      <c r="L78" s="221"/>
      <c r="M78" s="215"/>
      <c r="N78" s="220" t="s">
        <v>784</v>
      </c>
      <c r="O78" s="214"/>
      <c r="P78" s="222"/>
      <c r="Q78" s="222"/>
      <c r="R78" s="223"/>
      <c r="S78" s="223"/>
      <c r="T78" s="222"/>
      <c r="U78" s="214"/>
      <c r="V78" s="222"/>
      <c r="W78" s="223"/>
      <c r="X78" s="222"/>
      <c r="Y78" s="214"/>
      <c r="Z78" s="222"/>
      <c r="AA78" s="223"/>
      <c r="AB78" s="222"/>
      <c r="AC78" s="214"/>
      <c r="AD78" s="222"/>
      <c r="AE78" s="222"/>
    </row>
    <row r="79" spans="1:31" ht="24">
      <c r="A79" s="23"/>
      <c r="B79" s="215">
        <f>SUBTOTAL(103,$C$11:C79)</f>
        <v>69</v>
      </c>
      <c r="C79" s="215">
        <f>测试大纲!$A$19</f>
        <v>4</v>
      </c>
      <c r="D79" s="239" t="s">
        <v>240</v>
      </c>
      <c r="E79" s="227" t="s">
        <v>242</v>
      </c>
      <c r="F79" s="236"/>
      <c r="G79" s="215" t="str">
        <f>$D$9 &amp; "-"&amp;测试大纲!I$21&amp;"-"&amp;TEXT(SUBTOTAL(103,$C$77:C79),"000")</f>
        <v>Web-BGSB-003</v>
      </c>
      <c r="H79" s="219" t="s">
        <v>337</v>
      </c>
      <c r="I79" s="219" t="s">
        <v>62</v>
      </c>
      <c r="J79" s="220" t="s">
        <v>262</v>
      </c>
      <c r="K79" s="226" t="s">
        <v>429</v>
      </c>
      <c r="L79" s="225" t="s">
        <v>414</v>
      </c>
      <c r="M79" s="215"/>
      <c r="N79" s="220" t="s">
        <v>180</v>
      </c>
      <c r="O79" s="214"/>
      <c r="P79" s="222"/>
      <c r="Q79" s="222"/>
      <c r="R79" s="223"/>
      <c r="S79" s="223"/>
      <c r="T79" s="222"/>
      <c r="U79" s="214"/>
      <c r="V79" s="222"/>
      <c r="W79" s="223"/>
      <c r="X79" s="222"/>
      <c r="Y79" s="214"/>
      <c r="Z79" s="222"/>
      <c r="AA79" s="223"/>
      <c r="AB79" s="222"/>
      <c r="AC79" s="214"/>
      <c r="AD79" s="222"/>
      <c r="AE79" s="222"/>
    </row>
    <row r="80" spans="1:31" ht="24">
      <c r="A80" s="23"/>
      <c r="B80" s="215">
        <f>SUBTOTAL(103,$C$11:C80)</f>
        <v>70</v>
      </c>
      <c r="C80" s="215">
        <f>测试大纲!$A$19</f>
        <v>4</v>
      </c>
      <c r="D80" s="239" t="s">
        <v>240</v>
      </c>
      <c r="E80" s="227" t="s">
        <v>242</v>
      </c>
      <c r="F80" s="236"/>
      <c r="G80" s="215" t="str">
        <f>$D$9 &amp; "-"&amp;测试大纲!I$21&amp;"-"&amp;TEXT(SUBTOTAL(103,$C$77:C80),"000")</f>
        <v>Web-BGSB-004</v>
      </c>
      <c r="H80" s="219" t="s">
        <v>337</v>
      </c>
      <c r="I80" s="219" t="s">
        <v>62</v>
      </c>
      <c r="J80" s="220" t="s">
        <v>263</v>
      </c>
      <c r="K80" s="226" t="s">
        <v>429</v>
      </c>
      <c r="L80" s="227"/>
      <c r="M80" s="215"/>
      <c r="N80" s="220" t="s">
        <v>264</v>
      </c>
      <c r="O80" s="214"/>
      <c r="P80" s="222"/>
      <c r="Q80" s="222"/>
      <c r="R80" s="223"/>
      <c r="S80" s="223"/>
      <c r="T80" s="222"/>
      <c r="U80" s="214"/>
      <c r="V80" s="222"/>
      <c r="W80" s="223"/>
      <c r="X80" s="222"/>
      <c r="Y80" s="214"/>
      <c r="Z80" s="222"/>
      <c r="AA80" s="223"/>
      <c r="AB80" s="222"/>
      <c r="AC80" s="214"/>
      <c r="AD80" s="222"/>
      <c r="AE80" s="222"/>
    </row>
    <row r="81" spans="1:31" ht="24">
      <c r="A81" s="23"/>
      <c r="B81" s="215">
        <f>SUBTOTAL(103,$C$11:C81)</f>
        <v>71</v>
      </c>
      <c r="C81" s="215">
        <f>测试大纲!$A$19</f>
        <v>4</v>
      </c>
      <c r="D81" s="239" t="s">
        <v>240</v>
      </c>
      <c r="E81" s="227" t="s">
        <v>242</v>
      </c>
      <c r="F81" s="236"/>
      <c r="G81" s="215" t="str">
        <f>$D$9 &amp; "-"&amp;测试大纲!I$21&amp;"-"&amp;TEXT(SUBTOTAL(103,$C$77:C81),"000")</f>
        <v>Web-BGSB-005</v>
      </c>
      <c r="H81" s="219" t="s">
        <v>337</v>
      </c>
      <c r="I81" s="219" t="s">
        <v>62</v>
      </c>
      <c r="J81" s="220" t="s">
        <v>291</v>
      </c>
      <c r="K81" s="226" t="s">
        <v>429</v>
      </c>
      <c r="L81" s="227"/>
      <c r="M81" s="215"/>
      <c r="N81" s="220" t="s">
        <v>292</v>
      </c>
      <c r="O81" s="214"/>
      <c r="P81" s="222"/>
      <c r="Q81" s="222"/>
      <c r="R81" s="223"/>
      <c r="S81" s="223"/>
      <c r="T81" s="222"/>
      <c r="U81" s="214"/>
      <c r="V81" s="222"/>
      <c r="W81" s="223"/>
      <c r="X81" s="222"/>
      <c r="Y81" s="214"/>
      <c r="Z81" s="222"/>
      <c r="AA81" s="223"/>
      <c r="AB81" s="222"/>
      <c r="AC81" s="214"/>
      <c r="AD81" s="222"/>
      <c r="AE81" s="222"/>
    </row>
    <row r="82" spans="1:31" ht="24">
      <c r="A82" s="23"/>
      <c r="B82" s="215">
        <f>SUBTOTAL(103,$C$11:C82)</f>
        <v>72</v>
      </c>
      <c r="C82" s="215">
        <f>测试大纲!$A$19</f>
        <v>4</v>
      </c>
      <c r="D82" s="239" t="s">
        <v>240</v>
      </c>
      <c r="E82" s="227" t="s">
        <v>242</v>
      </c>
      <c r="F82" s="236"/>
      <c r="G82" s="215" t="str">
        <f>$D$9 &amp; "-"&amp;测试大纲!I$21&amp;"-"&amp;TEXT(SUBTOTAL(103,$C$77:C82),"000")</f>
        <v>Web-BGSB-006</v>
      </c>
      <c r="H82" s="219" t="s">
        <v>338</v>
      </c>
      <c r="I82" s="219" t="s">
        <v>62</v>
      </c>
      <c r="J82" s="220" t="s">
        <v>265</v>
      </c>
      <c r="K82" s="226" t="s">
        <v>429</v>
      </c>
      <c r="L82" s="230"/>
      <c r="M82" s="215"/>
      <c r="N82" s="220" t="s">
        <v>266</v>
      </c>
      <c r="O82" s="214"/>
      <c r="P82" s="222"/>
      <c r="Q82" s="222"/>
      <c r="R82" s="223"/>
      <c r="S82" s="223"/>
      <c r="T82" s="222"/>
      <c r="U82" s="214"/>
      <c r="V82" s="222"/>
      <c r="W82" s="223"/>
      <c r="X82" s="222"/>
      <c r="Y82" s="214"/>
      <c r="Z82" s="222"/>
      <c r="AA82" s="223"/>
      <c r="AB82" s="222"/>
      <c r="AC82" s="214"/>
      <c r="AD82" s="222"/>
      <c r="AE82" s="222"/>
    </row>
    <row r="83" spans="1:31" ht="24">
      <c r="A83" s="23"/>
      <c r="B83" s="215">
        <f>SUBTOTAL(103,$C$11:C83)</f>
        <v>73</v>
      </c>
      <c r="C83" s="215">
        <f>测试大纲!$A$19</f>
        <v>4</v>
      </c>
      <c r="D83" s="239" t="s">
        <v>240</v>
      </c>
      <c r="E83" s="227" t="s">
        <v>242</v>
      </c>
      <c r="F83" s="236"/>
      <c r="G83" s="215" t="str">
        <f>$D$9 &amp; "-"&amp;测试大纲!I$21&amp;"-"&amp;TEXT(SUBTOTAL(103,$C$77:C83),"000")</f>
        <v>Web-BGSB-007</v>
      </c>
      <c r="H83" s="219" t="s">
        <v>340</v>
      </c>
      <c r="I83" s="219" t="s">
        <v>62</v>
      </c>
      <c r="J83" s="220" t="s">
        <v>269</v>
      </c>
      <c r="K83" s="226" t="s">
        <v>429</v>
      </c>
      <c r="L83" s="227" t="s">
        <v>267</v>
      </c>
      <c r="M83" s="215"/>
      <c r="N83" s="220" t="s">
        <v>268</v>
      </c>
      <c r="O83" s="214"/>
      <c r="P83" s="222"/>
      <c r="Q83" s="222"/>
      <c r="R83" s="223"/>
      <c r="S83" s="223"/>
      <c r="T83" s="222"/>
      <c r="U83" s="214"/>
      <c r="V83" s="222"/>
      <c r="W83" s="223"/>
      <c r="X83" s="222"/>
      <c r="Y83" s="214"/>
      <c r="Z83" s="222"/>
      <c r="AA83" s="223"/>
      <c r="AB83" s="222"/>
      <c r="AC83" s="214"/>
      <c r="AD83" s="222"/>
      <c r="AE83" s="222"/>
    </row>
    <row r="84" spans="1:31" ht="36">
      <c r="A84" s="23"/>
      <c r="B84" s="215">
        <f>SUBTOTAL(103,$C$11:C84)</f>
        <v>74</v>
      </c>
      <c r="C84" s="215">
        <f>测试大纲!$A$19</f>
        <v>4</v>
      </c>
      <c r="D84" s="239" t="s">
        <v>240</v>
      </c>
      <c r="E84" s="227" t="s">
        <v>242</v>
      </c>
      <c r="F84" s="236"/>
      <c r="G84" s="215" t="str">
        <f>$D$9 &amp; "-"&amp;测试大纲!I$21&amp;"-"&amp;TEXT(SUBTOTAL(103,$C$77:C84),"000")</f>
        <v>Web-BGSB-008</v>
      </c>
      <c r="H84" s="219" t="s">
        <v>340</v>
      </c>
      <c r="I84" s="219" t="s">
        <v>62</v>
      </c>
      <c r="J84" s="220" t="s">
        <v>270</v>
      </c>
      <c r="K84" s="226" t="s">
        <v>430</v>
      </c>
      <c r="L84" s="227" t="s">
        <v>271</v>
      </c>
      <c r="M84" s="215"/>
      <c r="N84" s="220" t="s">
        <v>272</v>
      </c>
      <c r="O84" s="214"/>
      <c r="P84" s="222"/>
      <c r="Q84" s="222"/>
      <c r="R84" s="223"/>
      <c r="S84" s="223"/>
      <c r="T84" s="222"/>
      <c r="U84" s="214"/>
      <c r="V84" s="222"/>
      <c r="W84" s="223"/>
      <c r="X84" s="222"/>
      <c r="Y84" s="214"/>
      <c r="Z84" s="222"/>
      <c r="AA84" s="223"/>
      <c r="AB84" s="222"/>
      <c r="AC84" s="214"/>
      <c r="AD84" s="222"/>
      <c r="AE84" s="222"/>
    </row>
    <row r="85" spans="1:31" ht="36">
      <c r="A85" s="23"/>
      <c r="B85" s="215">
        <f>SUBTOTAL(103,$C$11:C85)</f>
        <v>75</v>
      </c>
      <c r="C85" s="215">
        <f>测试大纲!$A$19</f>
        <v>4</v>
      </c>
      <c r="D85" s="239" t="s">
        <v>240</v>
      </c>
      <c r="E85" s="227" t="s">
        <v>242</v>
      </c>
      <c r="F85" s="236"/>
      <c r="G85" s="215" t="str">
        <f>$D$9 &amp; "-"&amp;测试大纲!I$21&amp;"-"&amp;TEXT(SUBTOTAL(103,$C$77:C85),"000")</f>
        <v>Web-BGSB-009</v>
      </c>
      <c r="H85" s="219" t="s">
        <v>337</v>
      </c>
      <c r="I85" s="219" t="s">
        <v>62</v>
      </c>
      <c r="J85" s="220" t="s">
        <v>273</v>
      </c>
      <c r="K85" s="226" t="s">
        <v>429</v>
      </c>
      <c r="L85" s="227" t="s">
        <v>276</v>
      </c>
      <c r="M85" s="215"/>
      <c r="N85" s="220" t="s">
        <v>274</v>
      </c>
      <c r="O85" s="214"/>
      <c r="P85" s="222"/>
      <c r="Q85" s="222"/>
      <c r="R85" s="223"/>
      <c r="S85" s="223"/>
      <c r="T85" s="222"/>
      <c r="U85" s="214"/>
      <c r="V85" s="222"/>
      <c r="W85" s="223"/>
      <c r="X85" s="222"/>
      <c r="Y85" s="214"/>
      <c r="Z85" s="222"/>
      <c r="AA85" s="223"/>
      <c r="AB85" s="222"/>
      <c r="AC85" s="214"/>
      <c r="AD85" s="222"/>
      <c r="AE85" s="222"/>
    </row>
    <row r="86" spans="1:31" ht="36">
      <c r="A86" s="23"/>
      <c r="B86" s="215">
        <f>SUBTOTAL(103,$C$11:C86)</f>
        <v>76</v>
      </c>
      <c r="C86" s="215">
        <f>测试大纲!$A$19</f>
        <v>4</v>
      </c>
      <c r="D86" s="239" t="s">
        <v>240</v>
      </c>
      <c r="E86" s="227" t="s">
        <v>242</v>
      </c>
      <c r="F86" s="236"/>
      <c r="G86" s="215" t="str">
        <f>$D$9 &amp; "-"&amp;测试大纲!I$21&amp;"-"&amp;TEXT(SUBTOTAL(103,$C$77:C86),"000")</f>
        <v>Web-BGSB-010</v>
      </c>
      <c r="H86" s="219" t="s">
        <v>338</v>
      </c>
      <c r="I86" s="219" t="s">
        <v>165</v>
      </c>
      <c r="J86" s="220" t="s">
        <v>275</v>
      </c>
      <c r="K86" s="226" t="s">
        <v>429</v>
      </c>
      <c r="L86" s="217" t="s">
        <v>279</v>
      </c>
      <c r="M86" s="215"/>
      <c r="N86" s="220" t="s">
        <v>274</v>
      </c>
      <c r="O86" s="214"/>
      <c r="P86" s="222"/>
      <c r="Q86" s="222"/>
      <c r="R86" s="223"/>
      <c r="S86" s="223"/>
      <c r="T86" s="222"/>
      <c r="U86" s="214"/>
      <c r="V86" s="222"/>
      <c r="W86" s="223"/>
      <c r="X86" s="222"/>
      <c r="Y86" s="214"/>
      <c r="Z86" s="222"/>
      <c r="AA86" s="223"/>
      <c r="AB86" s="222"/>
      <c r="AC86" s="214"/>
      <c r="AD86" s="222"/>
      <c r="AE86" s="222"/>
    </row>
    <row r="87" spans="1:31" ht="36">
      <c r="A87" s="23"/>
      <c r="B87" s="215">
        <f>SUBTOTAL(103,$C$11:C87)</f>
        <v>77</v>
      </c>
      <c r="C87" s="215">
        <f>测试大纲!$A$19</f>
        <v>4</v>
      </c>
      <c r="D87" s="239" t="s">
        <v>240</v>
      </c>
      <c r="E87" s="227" t="s">
        <v>242</v>
      </c>
      <c r="F87" s="236"/>
      <c r="G87" s="215" t="str">
        <f>$D$9 &amp; "-"&amp;测试大纲!I$21&amp;"-"&amp;TEXT(SUBTOTAL(103,$C$77:C87),"000")</f>
        <v>Web-BGSB-011</v>
      </c>
      <c r="H87" s="219" t="s">
        <v>338</v>
      </c>
      <c r="I87" s="219" t="s">
        <v>165</v>
      </c>
      <c r="J87" s="220" t="s">
        <v>275</v>
      </c>
      <c r="K87" s="226" t="s">
        <v>429</v>
      </c>
      <c r="L87" s="227" t="s">
        <v>277</v>
      </c>
      <c r="M87" s="215"/>
      <c r="N87" s="220" t="s">
        <v>278</v>
      </c>
      <c r="O87" s="214"/>
      <c r="P87" s="222"/>
      <c r="Q87" s="222"/>
      <c r="R87" s="223"/>
      <c r="S87" s="223"/>
      <c r="T87" s="222"/>
      <c r="U87" s="214"/>
      <c r="V87" s="222"/>
      <c r="W87" s="223"/>
      <c r="X87" s="222"/>
      <c r="Y87" s="214"/>
      <c r="Z87" s="222"/>
      <c r="AA87" s="223"/>
      <c r="AB87" s="222"/>
      <c r="AC87" s="214"/>
      <c r="AD87" s="222"/>
      <c r="AE87" s="222"/>
    </row>
    <row r="88" spans="1:31" ht="36">
      <c r="A88" s="23"/>
      <c r="B88" s="215">
        <f>SUBTOTAL(103,$C$11:C88)</f>
        <v>78</v>
      </c>
      <c r="C88" s="215">
        <f>测试大纲!$A$19</f>
        <v>4</v>
      </c>
      <c r="D88" s="239" t="s">
        <v>240</v>
      </c>
      <c r="E88" s="227" t="s">
        <v>242</v>
      </c>
      <c r="F88" s="236"/>
      <c r="G88" s="215" t="str">
        <f>$D$9 &amp; "-"&amp;测试大纲!I$21&amp;"-"&amp;TEXT(SUBTOTAL(103,$C$77:C88),"000")</f>
        <v>Web-BGSB-012</v>
      </c>
      <c r="H88" s="219" t="s">
        <v>337</v>
      </c>
      <c r="I88" s="219" t="s">
        <v>165</v>
      </c>
      <c r="J88" s="220" t="s">
        <v>275</v>
      </c>
      <c r="K88" s="226" t="s">
        <v>429</v>
      </c>
      <c r="L88" s="217" t="s">
        <v>279</v>
      </c>
      <c r="M88" s="215"/>
      <c r="N88" s="220" t="s">
        <v>280</v>
      </c>
      <c r="O88" s="214"/>
      <c r="P88" s="222"/>
      <c r="Q88" s="222"/>
      <c r="R88" s="223"/>
      <c r="S88" s="223"/>
      <c r="T88" s="222"/>
      <c r="U88" s="214"/>
      <c r="V88" s="222"/>
      <c r="W88" s="223"/>
      <c r="X88" s="222"/>
      <c r="Y88" s="214"/>
      <c r="Z88" s="222"/>
      <c r="AA88" s="223"/>
      <c r="AB88" s="222"/>
      <c r="AC88" s="214"/>
      <c r="AD88" s="222"/>
      <c r="AE88" s="222"/>
    </row>
    <row r="89" spans="1:31" ht="24">
      <c r="A89" s="23"/>
      <c r="B89" s="215">
        <f>SUBTOTAL(103,$C$11:C89)</f>
        <v>79</v>
      </c>
      <c r="C89" s="215">
        <f>测试大纲!$A$19</f>
        <v>4</v>
      </c>
      <c r="D89" s="239" t="s">
        <v>240</v>
      </c>
      <c r="E89" s="227" t="s">
        <v>242</v>
      </c>
      <c r="F89" s="236"/>
      <c r="G89" s="215" t="str">
        <f>$D$9 &amp; "-"&amp;测试大纲!I$21&amp;"-"&amp;TEXT(SUBTOTAL(103,$C$77:C89),"000")</f>
        <v>Web-BGSB-013</v>
      </c>
      <c r="H89" s="219" t="s">
        <v>337</v>
      </c>
      <c r="I89" s="219" t="s">
        <v>62</v>
      </c>
      <c r="J89" s="220" t="s">
        <v>281</v>
      </c>
      <c r="K89" s="226" t="s">
        <v>429</v>
      </c>
      <c r="L89" s="215" t="s">
        <v>417</v>
      </c>
      <c r="M89" s="215"/>
      <c r="N89" s="220" t="s">
        <v>283</v>
      </c>
      <c r="O89" s="214"/>
      <c r="P89" s="222"/>
      <c r="Q89" s="222"/>
      <c r="R89" s="223"/>
      <c r="S89" s="223"/>
      <c r="T89" s="222"/>
      <c r="U89" s="214"/>
      <c r="V89" s="222"/>
      <c r="W89" s="223"/>
      <c r="X89" s="222"/>
      <c r="Y89" s="214"/>
      <c r="Z89" s="222"/>
      <c r="AA89" s="223"/>
      <c r="AB89" s="222"/>
      <c r="AC89" s="214"/>
      <c r="AD89" s="222"/>
      <c r="AE89" s="222"/>
    </row>
    <row r="90" spans="1:31" ht="36">
      <c r="A90" s="23"/>
      <c r="B90" s="215">
        <f>SUBTOTAL(103,$C$11:C90)</f>
        <v>80</v>
      </c>
      <c r="C90" s="215">
        <f>测试大纲!$A$19</f>
        <v>4</v>
      </c>
      <c r="D90" s="239" t="s">
        <v>240</v>
      </c>
      <c r="E90" s="227" t="s">
        <v>242</v>
      </c>
      <c r="F90" s="236"/>
      <c r="G90" s="215" t="str">
        <f>$D$9 &amp; "-"&amp;测试大纲!I$21&amp;"-"&amp;TEXT(SUBTOTAL(103,$C$77:C90),"000")</f>
        <v>Web-BGSB-014</v>
      </c>
      <c r="H90" s="219" t="s">
        <v>337</v>
      </c>
      <c r="I90" s="219" t="s">
        <v>62</v>
      </c>
      <c r="J90" s="220" t="s">
        <v>282</v>
      </c>
      <c r="K90" s="215" t="s">
        <v>787</v>
      </c>
      <c r="L90" s="215" t="s">
        <v>418</v>
      </c>
      <c r="M90" s="215"/>
      <c r="N90" s="220" t="s">
        <v>284</v>
      </c>
      <c r="O90" s="214"/>
      <c r="P90" s="222"/>
      <c r="Q90" s="222"/>
      <c r="R90" s="223"/>
      <c r="S90" s="223"/>
      <c r="T90" s="222"/>
      <c r="U90" s="214"/>
      <c r="V90" s="222"/>
      <c r="W90" s="223"/>
      <c r="X90" s="222"/>
      <c r="Y90" s="214"/>
      <c r="Z90" s="222"/>
      <c r="AA90" s="223"/>
      <c r="AB90" s="222"/>
      <c r="AC90" s="214"/>
      <c r="AD90" s="222"/>
      <c r="AE90" s="222"/>
    </row>
    <row r="91" spans="1:31" ht="36">
      <c r="A91" s="23"/>
      <c r="B91" s="215">
        <f>SUBTOTAL(103,$C$11:C91)</f>
        <v>81</v>
      </c>
      <c r="C91" s="215">
        <f>测试大纲!$A$19</f>
        <v>4</v>
      </c>
      <c r="D91" s="239" t="s">
        <v>240</v>
      </c>
      <c r="E91" s="227" t="s">
        <v>242</v>
      </c>
      <c r="F91" s="236"/>
      <c r="G91" s="215" t="str">
        <f>$D$9 &amp; "-"&amp;测试大纲!I$21&amp;"-"&amp;TEXT(SUBTOTAL(103,$C$77:C91),"000")</f>
        <v>Web-BGSB-015</v>
      </c>
      <c r="H91" s="219" t="s">
        <v>337</v>
      </c>
      <c r="I91" s="219" t="s">
        <v>165</v>
      </c>
      <c r="J91" s="220" t="s">
        <v>785</v>
      </c>
      <c r="K91" s="215" t="s">
        <v>786</v>
      </c>
      <c r="L91" s="215" t="s">
        <v>788</v>
      </c>
      <c r="M91" s="215"/>
      <c r="N91" s="220" t="s">
        <v>789</v>
      </c>
      <c r="O91" s="214"/>
      <c r="P91" s="222"/>
      <c r="Q91" s="222"/>
      <c r="R91" s="223"/>
      <c r="S91" s="223"/>
      <c r="T91" s="222"/>
      <c r="U91" s="214"/>
      <c r="V91" s="222"/>
      <c r="W91" s="223"/>
      <c r="X91" s="222"/>
      <c r="Y91" s="214"/>
      <c r="Z91" s="222"/>
      <c r="AA91" s="223"/>
      <c r="AB91" s="222"/>
      <c r="AC91" s="214"/>
      <c r="AD91" s="222"/>
      <c r="AE91" s="222"/>
    </row>
    <row r="92" spans="1:31" ht="36">
      <c r="A92" s="23"/>
      <c r="B92" s="215">
        <f>SUBTOTAL(103,$C$11:C92)</f>
        <v>82</v>
      </c>
      <c r="C92" s="215">
        <f>测试大纲!$A$19</f>
        <v>4</v>
      </c>
      <c r="D92" s="239" t="s">
        <v>240</v>
      </c>
      <c r="E92" s="227" t="s">
        <v>242</v>
      </c>
      <c r="F92" s="236"/>
      <c r="G92" s="215" t="str">
        <f>$D$9 &amp; "-"&amp;测试大纲!I$21&amp;"-"&amp;TEXT(SUBTOTAL(103,$C$77:C92),"000")</f>
        <v>Web-BGSB-016</v>
      </c>
      <c r="H92" s="219" t="s">
        <v>337</v>
      </c>
      <c r="I92" s="219" t="s">
        <v>165</v>
      </c>
      <c r="J92" s="220" t="s">
        <v>791</v>
      </c>
      <c r="K92" s="215" t="s">
        <v>787</v>
      </c>
      <c r="L92" s="215" t="s">
        <v>790</v>
      </c>
      <c r="M92" s="215"/>
      <c r="N92" s="220" t="s">
        <v>789</v>
      </c>
      <c r="O92" s="214"/>
      <c r="P92" s="222"/>
      <c r="Q92" s="222"/>
      <c r="R92" s="223"/>
      <c r="S92" s="223"/>
      <c r="T92" s="222"/>
      <c r="U92" s="214"/>
      <c r="V92" s="222"/>
      <c r="W92" s="223"/>
      <c r="X92" s="222"/>
      <c r="Y92" s="214"/>
      <c r="Z92" s="222"/>
      <c r="AA92" s="223"/>
      <c r="AB92" s="222"/>
      <c r="AC92" s="214"/>
      <c r="AD92" s="222"/>
      <c r="AE92" s="222"/>
    </row>
    <row r="93" spans="1:31" ht="36">
      <c r="A93" s="23"/>
      <c r="B93" s="215">
        <f>SUBTOTAL(103,$C$11:C93)</f>
        <v>83</v>
      </c>
      <c r="C93" s="215">
        <f>测试大纲!$A$19</f>
        <v>4</v>
      </c>
      <c r="D93" s="239" t="s">
        <v>240</v>
      </c>
      <c r="E93" s="227" t="s">
        <v>242</v>
      </c>
      <c r="F93" s="236"/>
      <c r="G93" s="215" t="str">
        <f>$D$9 &amp; "-"&amp;测试大纲!I$21&amp;"-"&amp;TEXT(SUBTOTAL(103,$C$77:C93),"000")</f>
        <v>Web-BGSB-017</v>
      </c>
      <c r="H93" s="219" t="s">
        <v>337</v>
      </c>
      <c r="I93" s="219" t="s">
        <v>62</v>
      </c>
      <c r="J93" s="220" t="s">
        <v>285</v>
      </c>
      <c r="K93" s="226" t="s">
        <v>429</v>
      </c>
      <c r="L93" s="241" t="s">
        <v>286</v>
      </c>
      <c r="M93" s="215"/>
      <c r="N93" s="220" t="s">
        <v>287</v>
      </c>
      <c r="O93" s="214"/>
      <c r="P93" s="222"/>
      <c r="Q93" s="222"/>
      <c r="R93" s="223"/>
      <c r="S93" s="223"/>
      <c r="T93" s="222"/>
      <c r="U93" s="214"/>
      <c r="V93" s="222"/>
      <c r="W93" s="223"/>
      <c r="X93" s="222"/>
      <c r="Y93" s="214"/>
      <c r="Z93" s="222"/>
      <c r="AA93" s="223"/>
      <c r="AB93" s="222"/>
      <c r="AC93" s="214"/>
      <c r="AD93" s="222"/>
      <c r="AE93" s="222"/>
    </row>
    <row r="94" spans="1:31" ht="36">
      <c r="A94" s="23"/>
      <c r="B94" s="215">
        <f>SUBTOTAL(103,$C$11:C94)</f>
        <v>84</v>
      </c>
      <c r="C94" s="215">
        <f>测试大纲!$A$19</f>
        <v>4</v>
      </c>
      <c r="D94" s="239" t="s">
        <v>240</v>
      </c>
      <c r="E94" s="227" t="s">
        <v>242</v>
      </c>
      <c r="F94" s="236"/>
      <c r="G94" s="215" t="str">
        <f>$D$9 &amp; "-"&amp;测试大纲!I$21&amp;"-"&amp;TEXT(SUBTOTAL(103,$C$77:C94),"000")</f>
        <v>Web-BGSB-018</v>
      </c>
      <c r="H94" s="219" t="s">
        <v>338</v>
      </c>
      <c r="I94" s="219" t="s">
        <v>165</v>
      </c>
      <c r="J94" s="220" t="s">
        <v>288</v>
      </c>
      <c r="K94" s="226" t="s">
        <v>429</v>
      </c>
      <c r="L94" s="241" t="s">
        <v>289</v>
      </c>
      <c r="M94" s="215"/>
      <c r="N94" s="220" t="s">
        <v>290</v>
      </c>
      <c r="O94" s="214"/>
      <c r="P94" s="222"/>
      <c r="Q94" s="222"/>
      <c r="R94" s="223"/>
      <c r="S94" s="223"/>
      <c r="T94" s="222"/>
      <c r="U94" s="214"/>
      <c r="V94" s="222"/>
      <c r="W94" s="223"/>
      <c r="X94" s="222"/>
      <c r="Y94" s="214"/>
      <c r="Z94" s="222"/>
      <c r="AA94" s="223"/>
      <c r="AB94" s="222"/>
      <c r="AC94" s="214"/>
      <c r="AD94" s="222"/>
      <c r="AE94" s="222"/>
    </row>
    <row r="95" spans="1:31" ht="24">
      <c r="A95" s="23"/>
      <c r="B95" s="215">
        <f>SUBTOTAL(103,$C$11:C95)</f>
        <v>85</v>
      </c>
      <c r="C95" s="215">
        <f>测试大纲!$A$19</f>
        <v>4</v>
      </c>
      <c r="D95" s="239" t="s">
        <v>240</v>
      </c>
      <c r="E95" s="227" t="s">
        <v>242</v>
      </c>
      <c r="F95" s="236"/>
      <c r="G95" s="215" t="str">
        <f>$D$9 &amp; "-"&amp;测试大纲!I$21&amp;"-"&amp;TEXT(SUBTOTAL(103,$C$77:C95),"000")</f>
        <v>Web-BGSB-019</v>
      </c>
      <c r="H95" s="219" t="s">
        <v>337</v>
      </c>
      <c r="I95" s="219" t="s">
        <v>62</v>
      </c>
      <c r="J95" s="220" t="s">
        <v>950</v>
      </c>
      <c r="K95" s="226" t="s">
        <v>429</v>
      </c>
      <c r="L95" s="215" t="s">
        <v>951</v>
      </c>
      <c r="M95" s="215"/>
      <c r="N95" s="220" t="s">
        <v>290</v>
      </c>
      <c r="O95" s="214"/>
      <c r="P95" s="222"/>
      <c r="Q95" s="222"/>
      <c r="R95" s="223"/>
      <c r="S95" s="223"/>
      <c r="T95" s="222"/>
      <c r="U95" s="214"/>
      <c r="V95" s="222"/>
      <c r="W95" s="223"/>
      <c r="X95" s="222"/>
      <c r="Y95" s="214"/>
      <c r="Z95" s="222"/>
      <c r="AA95" s="223"/>
      <c r="AB95" s="222"/>
      <c r="AC95" s="214"/>
      <c r="AD95" s="222"/>
      <c r="AE95" s="222"/>
    </row>
    <row r="96" spans="1:31" ht="108">
      <c r="A96" s="23"/>
      <c r="B96" s="215">
        <f>SUBTOTAL(103,$C$11:C96)</f>
        <v>86</v>
      </c>
      <c r="C96" s="215">
        <f>测试大纲!$A$19</f>
        <v>4</v>
      </c>
      <c r="D96" s="239" t="s">
        <v>240</v>
      </c>
      <c r="E96" s="241" t="s">
        <v>243</v>
      </c>
      <c r="F96" s="225" t="s">
        <v>450</v>
      </c>
      <c r="G96" s="215" t="str">
        <f>$D$9 &amp; "-"&amp;测试大纲!I$22&amp;"-"&amp;TEXT(SUBTOTAL(103,$C$96:C96),"000")</f>
        <v>Web-LBWH-001</v>
      </c>
      <c r="H96" s="219" t="s">
        <v>337</v>
      </c>
      <c r="I96" s="219" t="s">
        <v>62</v>
      </c>
      <c r="J96" s="220" t="s">
        <v>726</v>
      </c>
      <c r="K96" s="226" t="s">
        <v>346</v>
      </c>
      <c r="L96" s="221"/>
      <c r="M96" s="215"/>
      <c r="N96" s="221" t="s">
        <v>793</v>
      </c>
      <c r="O96" s="214"/>
      <c r="P96" s="222"/>
      <c r="Q96" s="222"/>
      <c r="R96" s="223"/>
      <c r="S96" s="223"/>
      <c r="T96" s="222"/>
      <c r="U96" s="214"/>
      <c r="V96" s="222"/>
      <c r="W96" s="223"/>
      <c r="X96" s="222"/>
      <c r="Y96" s="214"/>
      <c r="Z96" s="222"/>
      <c r="AA96" s="223"/>
      <c r="AB96" s="222"/>
      <c r="AC96" s="214"/>
      <c r="AD96" s="222"/>
      <c r="AE96" s="222"/>
    </row>
    <row r="97" spans="1:31" ht="36">
      <c r="A97" s="23"/>
      <c r="B97" s="215">
        <f>SUBTOTAL(103,$C$11:C97)</f>
        <v>87</v>
      </c>
      <c r="C97" s="215">
        <f>测试大纲!$A$19</f>
        <v>4</v>
      </c>
      <c r="D97" s="239" t="s">
        <v>240</v>
      </c>
      <c r="E97" s="241" t="s">
        <v>243</v>
      </c>
      <c r="F97" s="225" t="s">
        <v>450</v>
      </c>
      <c r="G97" s="215" t="str">
        <f>$D$9 &amp; "-"&amp;测试大纲!I$22&amp;"-"&amp;TEXT(SUBTOTAL(103,$C$96:C97),"000")</f>
        <v>Web-LBWH-002</v>
      </c>
      <c r="H97" s="219" t="s">
        <v>337</v>
      </c>
      <c r="I97" s="219" t="s">
        <v>62</v>
      </c>
      <c r="J97" s="220" t="s">
        <v>727</v>
      </c>
      <c r="K97" s="226" t="s">
        <v>346</v>
      </c>
      <c r="L97" s="215"/>
      <c r="M97" s="215"/>
      <c r="N97" s="220" t="s">
        <v>520</v>
      </c>
      <c r="O97" s="214"/>
      <c r="P97" s="222"/>
      <c r="Q97" s="222"/>
      <c r="R97" s="223"/>
      <c r="S97" s="223"/>
      <c r="T97" s="222"/>
      <c r="U97" s="214"/>
      <c r="V97" s="222"/>
      <c r="W97" s="223"/>
      <c r="X97" s="222"/>
      <c r="Y97" s="214"/>
      <c r="Z97" s="222"/>
      <c r="AA97" s="223"/>
      <c r="AB97" s="222"/>
      <c r="AC97" s="214"/>
      <c r="AD97" s="222"/>
      <c r="AE97" s="222"/>
    </row>
    <row r="98" spans="1:31" ht="24">
      <c r="A98" s="23"/>
      <c r="B98" s="215">
        <f>SUBTOTAL(103,$C$11:C98)</f>
        <v>88</v>
      </c>
      <c r="C98" s="215">
        <f>测试大纲!$A$19</f>
        <v>4</v>
      </c>
      <c r="D98" s="239" t="s">
        <v>240</v>
      </c>
      <c r="E98" s="241" t="s">
        <v>243</v>
      </c>
      <c r="F98" s="225" t="s">
        <v>450</v>
      </c>
      <c r="G98" s="215" t="str">
        <f>$D$9 &amp; "-"&amp;测试大纲!I$22&amp;"-"&amp;TEXT(SUBTOTAL(103,$C$96:C98),"000")</f>
        <v>Web-LBWH-003</v>
      </c>
      <c r="H98" s="219" t="s">
        <v>337</v>
      </c>
      <c r="I98" s="219" t="s">
        <v>62</v>
      </c>
      <c r="J98" s="220" t="s">
        <v>741</v>
      </c>
      <c r="K98" s="226" t="s">
        <v>346</v>
      </c>
      <c r="L98" s="215" t="s">
        <v>472</v>
      </c>
      <c r="M98" s="215"/>
      <c r="N98" s="220" t="s">
        <v>792</v>
      </c>
      <c r="O98" s="214"/>
      <c r="P98" s="222"/>
      <c r="Q98" s="222"/>
      <c r="R98" s="223"/>
      <c r="S98" s="223"/>
      <c r="T98" s="222"/>
      <c r="U98" s="214"/>
      <c r="V98" s="222"/>
      <c r="W98" s="223"/>
      <c r="X98" s="222"/>
      <c r="Y98" s="214"/>
      <c r="Z98" s="222"/>
      <c r="AA98" s="223"/>
      <c r="AB98" s="222"/>
      <c r="AC98" s="214"/>
      <c r="AD98" s="222"/>
      <c r="AE98" s="222"/>
    </row>
    <row r="99" spans="1:31" ht="24">
      <c r="A99" s="23"/>
      <c r="B99" s="215">
        <f>SUBTOTAL(103,$C$11:C99)</f>
        <v>89</v>
      </c>
      <c r="C99" s="215">
        <f>测试大纲!$A$19</f>
        <v>4</v>
      </c>
      <c r="D99" s="239" t="s">
        <v>240</v>
      </c>
      <c r="E99" s="241" t="s">
        <v>243</v>
      </c>
      <c r="F99" s="225" t="s">
        <v>450</v>
      </c>
      <c r="G99" s="215" t="str">
        <f>$D$9 &amp; "-"&amp;测试大纲!I$22&amp;"-"&amp;TEXT(SUBTOTAL(103,$C$96:C99),"000")</f>
        <v>Web-LBWH-004</v>
      </c>
      <c r="H99" s="219" t="s">
        <v>340</v>
      </c>
      <c r="I99" s="219" t="s">
        <v>62</v>
      </c>
      <c r="J99" s="220" t="s">
        <v>826</v>
      </c>
      <c r="K99" s="226" t="s">
        <v>346</v>
      </c>
      <c r="L99" s="215" t="s">
        <v>330</v>
      </c>
      <c r="M99" s="215" t="s">
        <v>827</v>
      </c>
      <c r="N99" s="220" t="s">
        <v>828</v>
      </c>
      <c r="O99" s="214"/>
      <c r="P99" s="222"/>
      <c r="Q99" s="222"/>
      <c r="R99" s="223"/>
      <c r="S99" s="223"/>
      <c r="T99" s="222"/>
      <c r="U99" s="214"/>
      <c r="V99" s="222"/>
      <c r="W99" s="223"/>
      <c r="X99" s="222"/>
      <c r="Y99" s="214"/>
      <c r="Z99" s="222"/>
      <c r="AA99" s="223"/>
      <c r="AB99" s="222"/>
      <c r="AC99" s="214"/>
      <c r="AD99" s="222"/>
      <c r="AE99" s="222"/>
    </row>
    <row r="100" spans="1:31" ht="24">
      <c r="A100" s="23"/>
      <c r="B100" s="215">
        <f>SUBTOTAL(103,$C$11:C100)</f>
        <v>90</v>
      </c>
      <c r="C100" s="215">
        <f>测试大纲!$A$19</f>
        <v>4</v>
      </c>
      <c r="D100" s="239" t="s">
        <v>240</v>
      </c>
      <c r="E100" s="241" t="s">
        <v>243</v>
      </c>
      <c r="F100" s="225" t="s">
        <v>450</v>
      </c>
      <c r="G100" s="215" t="str">
        <f>$D$9 &amp; "-"&amp;测试大纲!I$22&amp;"-"&amp;TEXT(SUBTOTAL(103,$C$96:C100),"000")</f>
        <v>Web-LBWH-005</v>
      </c>
      <c r="H100" s="219" t="s">
        <v>337</v>
      </c>
      <c r="I100" s="219" t="s">
        <v>62</v>
      </c>
      <c r="J100" s="220" t="s">
        <v>293</v>
      </c>
      <c r="K100" s="226" t="s">
        <v>346</v>
      </c>
      <c r="L100" s="241" t="s">
        <v>294</v>
      </c>
      <c r="M100" s="215" t="s">
        <v>794</v>
      </c>
      <c r="N100" s="220" t="s">
        <v>795</v>
      </c>
      <c r="O100" s="214"/>
      <c r="P100" s="222"/>
      <c r="Q100" s="222"/>
      <c r="R100" s="223"/>
      <c r="S100" s="223"/>
      <c r="T100" s="222"/>
      <c r="U100" s="214"/>
      <c r="V100" s="222"/>
      <c r="W100" s="223"/>
      <c r="X100" s="222"/>
      <c r="Y100" s="214"/>
      <c r="Z100" s="222"/>
      <c r="AA100" s="223"/>
      <c r="AB100" s="222"/>
      <c r="AC100" s="214"/>
      <c r="AD100" s="222"/>
      <c r="AE100" s="222"/>
    </row>
    <row r="101" spans="1:31" ht="60">
      <c r="A101" s="23"/>
      <c r="B101" s="215">
        <f>SUBTOTAL(103,$C$11:C101)</f>
        <v>91</v>
      </c>
      <c r="C101" s="215">
        <f>测试大纲!$A$19</f>
        <v>4</v>
      </c>
      <c r="D101" s="239" t="s">
        <v>240</v>
      </c>
      <c r="E101" s="241" t="s">
        <v>243</v>
      </c>
      <c r="F101" s="225" t="s">
        <v>450</v>
      </c>
      <c r="G101" s="215" t="str">
        <f>$D$9 &amp; "-"&amp;测试大纲!I$22&amp;"-"&amp;TEXT(SUBTOTAL(103,$C$96:C101),"000")</f>
        <v>Web-LBWH-006</v>
      </c>
      <c r="H101" s="219" t="s">
        <v>337</v>
      </c>
      <c r="I101" s="219" t="s">
        <v>62</v>
      </c>
      <c r="J101" s="220" t="s">
        <v>246</v>
      </c>
      <c r="K101" s="225" t="s">
        <v>447</v>
      </c>
      <c r="L101" s="215" t="s">
        <v>306</v>
      </c>
      <c r="M101" s="231"/>
      <c r="N101" s="241" t="s">
        <v>308</v>
      </c>
      <c r="O101" s="214"/>
      <c r="P101" s="222"/>
      <c r="Q101" s="222"/>
      <c r="R101" s="223"/>
      <c r="S101" s="223"/>
      <c r="T101" s="222"/>
      <c r="U101" s="214"/>
      <c r="V101" s="222"/>
      <c r="W101" s="223"/>
      <c r="X101" s="222"/>
      <c r="Y101" s="214"/>
      <c r="Z101" s="222"/>
      <c r="AA101" s="223"/>
      <c r="AB101" s="222"/>
      <c r="AC101" s="214"/>
      <c r="AD101" s="222"/>
      <c r="AE101" s="222"/>
    </row>
    <row r="102" spans="1:31" ht="36">
      <c r="A102" s="23"/>
      <c r="B102" s="215">
        <f>SUBTOTAL(103,$C$11:C102)</f>
        <v>92</v>
      </c>
      <c r="C102" s="215">
        <f>测试大纲!$A$19</f>
        <v>4</v>
      </c>
      <c r="D102" s="239" t="s">
        <v>240</v>
      </c>
      <c r="E102" s="241" t="s">
        <v>243</v>
      </c>
      <c r="F102" s="225" t="s">
        <v>450</v>
      </c>
      <c r="G102" s="215" t="str">
        <f>$D$9 &amp; "-"&amp;测试大纲!I$22&amp;"-"&amp;TEXT(SUBTOTAL(103,$C$96:C102),"000")</f>
        <v>Web-LBWH-007</v>
      </c>
      <c r="H102" s="219" t="s">
        <v>337</v>
      </c>
      <c r="I102" s="219" t="s">
        <v>165</v>
      </c>
      <c r="J102" s="220" t="s">
        <v>938</v>
      </c>
      <c r="K102" s="225" t="s">
        <v>447</v>
      </c>
      <c r="L102" s="215" t="s">
        <v>937</v>
      </c>
      <c r="M102" s="215"/>
      <c r="N102" s="237" t="s">
        <v>167</v>
      </c>
      <c r="O102" s="214"/>
      <c r="P102" s="222"/>
      <c r="Q102" s="222"/>
      <c r="R102" s="223"/>
      <c r="S102" s="223"/>
      <c r="T102" s="222"/>
      <c r="U102" s="214"/>
      <c r="V102" s="222"/>
      <c r="W102" s="223"/>
      <c r="X102" s="222"/>
      <c r="Y102" s="214"/>
      <c r="Z102" s="222"/>
      <c r="AA102" s="223"/>
      <c r="AB102" s="222"/>
      <c r="AC102" s="214"/>
      <c r="AD102" s="222"/>
      <c r="AE102" s="222"/>
    </row>
    <row r="103" spans="1:31" ht="36">
      <c r="A103" s="23"/>
      <c r="B103" s="215">
        <f>SUBTOTAL(103,$C$11:C103)</f>
        <v>93</v>
      </c>
      <c r="C103" s="215">
        <f>测试大纲!$A$19</f>
        <v>4</v>
      </c>
      <c r="D103" s="239" t="s">
        <v>240</v>
      </c>
      <c r="E103" s="241" t="s">
        <v>243</v>
      </c>
      <c r="F103" s="225" t="s">
        <v>450</v>
      </c>
      <c r="G103" s="215" t="str">
        <f>$D$9 &amp; "-"&amp;测试大纲!I$22&amp;"-"&amp;TEXT(SUBTOTAL(103,$C$96:C103),"000")</f>
        <v>Web-LBWH-008</v>
      </c>
      <c r="H103" s="219" t="s">
        <v>337</v>
      </c>
      <c r="I103" s="219" t="s">
        <v>62</v>
      </c>
      <c r="J103" s="220" t="s">
        <v>170</v>
      </c>
      <c r="K103" s="215" t="s">
        <v>797</v>
      </c>
      <c r="L103" s="215" t="s">
        <v>413</v>
      </c>
      <c r="M103" s="218">
        <v>2</v>
      </c>
      <c r="N103" s="220" t="s">
        <v>176</v>
      </c>
      <c r="O103" s="214"/>
      <c r="P103" s="222"/>
      <c r="Q103" s="222"/>
      <c r="R103" s="223"/>
      <c r="S103" s="223"/>
      <c r="T103" s="222"/>
      <c r="U103" s="214"/>
      <c r="V103" s="222"/>
      <c r="W103" s="223"/>
      <c r="X103" s="222"/>
      <c r="Y103" s="214"/>
      <c r="Z103" s="222"/>
      <c r="AA103" s="223"/>
      <c r="AB103" s="222"/>
      <c r="AC103" s="214"/>
      <c r="AD103" s="222"/>
      <c r="AE103" s="222"/>
    </row>
    <row r="104" spans="1:31" ht="36">
      <c r="A104" s="23"/>
      <c r="B104" s="215">
        <f>SUBTOTAL(103,$C$11:C104)</f>
        <v>94</v>
      </c>
      <c r="C104" s="215">
        <f>测试大纲!$A$19</f>
        <v>4</v>
      </c>
      <c r="D104" s="239" t="s">
        <v>240</v>
      </c>
      <c r="E104" s="241" t="s">
        <v>243</v>
      </c>
      <c r="F104" s="225" t="s">
        <v>450</v>
      </c>
      <c r="G104" s="215" t="str">
        <f>$D$9 &amp; "-"&amp;测试大纲!I$22&amp;"-"&amp;TEXT(SUBTOTAL(103,$C$96:C104),"000")</f>
        <v>Web-LBWH-009</v>
      </c>
      <c r="H104" s="219" t="s">
        <v>337</v>
      </c>
      <c r="I104" s="219" t="s">
        <v>62</v>
      </c>
      <c r="J104" s="220" t="s">
        <v>169</v>
      </c>
      <c r="K104" s="215" t="s">
        <v>797</v>
      </c>
      <c r="L104" s="230" t="s">
        <v>171</v>
      </c>
      <c r="M104" s="230">
        <v>3</v>
      </c>
      <c r="N104" s="220" t="s">
        <v>440</v>
      </c>
      <c r="O104" s="214"/>
      <c r="P104" s="222"/>
      <c r="Q104" s="222"/>
      <c r="R104" s="223"/>
      <c r="S104" s="223"/>
      <c r="T104" s="222"/>
      <c r="U104" s="214"/>
      <c r="V104" s="222"/>
      <c r="W104" s="223"/>
      <c r="X104" s="222"/>
      <c r="Y104" s="214"/>
      <c r="Z104" s="222"/>
      <c r="AA104" s="223"/>
      <c r="AB104" s="222"/>
      <c r="AC104" s="214"/>
      <c r="AD104" s="222"/>
      <c r="AE104" s="222"/>
    </row>
    <row r="105" spans="1:31" ht="36">
      <c r="A105" s="23"/>
      <c r="B105" s="215">
        <f>SUBTOTAL(103,$C$11:C105)</f>
        <v>95</v>
      </c>
      <c r="C105" s="215">
        <f>测试大纲!$A$19</f>
        <v>4</v>
      </c>
      <c r="D105" s="239" t="s">
        <v>240</v>
      </c>
      <c r="E105" s="241" t="s">
        <v>243</v>
      </c>
      <c r="F105" s="225" t="s">
        <v>450</v>
      </c>
      <c r="G105" s="215" t="str">
        <f>$D$9 &amp; "-"&amp;测试大纲!I$22&amp;"-"&amp;TEXT(SUBTOTAL(103,$C$96:C105),"000")</f>
        <v>Web-LBWH-010</v>
      </c>
      <c r="H105" s="219" t="s">
        <v>337</v>
      </c>
      <c r="I105" s="219" t="s">
        <v>62</v>
      </c>
      <c r="J105" s="220" t="s">
        <v>172</v>
      </c>
      <c r="K105" s="215" t="s">
        <v>797</v>
      </c>
      <c r="L105" s="225" t="s">
        <v>416</v>
      </c>
      <c r="M105" s="230"/>
      <c r="N105" s="220" t="s">
        <v>177</v>
      </c>
      <c r="O105" s="214"/>
      <c r="P105" s="222"/>
      <c r="Q105" s="222"/>
      <c r="R105" s="223"/>
      <c r="S105" s="223"/>
      <c r="T105" s="222"/>
      <c r="U105" s="214"/>
      <c r="V105" s="222"/>
      <c r="W105" s="223"/>
      <c r="X105" s="222"/>
      <c r="Y105" s="214"/>
      <c r="Z105" s="222"/>
      <c r="AA105" s="223"/>
      <c r="AB105" s="222"/>
      <c r="AC105" s="214"/>
      <c r="AD105" s="222"/>
      <c r="AE105" s="222"/>
    </row>
    <row r="106" spans="1:31" ht="36">
      <c r="A106" s="23"/>
      <c r="B106" s="215">
        <f>SUBTOTAL(103,$C$11:C106)</f>
        <v>96</v>
      </c>
      <c r="C106" s="215">
        <f>测试大纲!$A$19</f>
        <v>4</v>
      </c>
      <c r="D106" s="239" t="s">
        <v>240</v>
      </c>
      <c r="E106" s="241" t="s">
        <v>243</v>
      </c>
      <c r="F106" s="225" t="s">
        <v>450</v>
      </c>
      <c r="G106" s="215" t="str">
        <f>$D$9 &amp; "-"&amp;测试大纲!I$22&amp;"-"&amp;TEXT(SUBTOTAL(103,$C$96:C106),"000")</f>
        <v>Web-LBWH-011</v>
      </c>
      <c r="H106" s="219" t="s">
        <v>337</v>
      </c>
      <c r="I106" s="219" t="s">
        <v>62</v>
      </c>
      <c r="J106" s="220" t="s">
        <v>174</v>
      </c>
      <c r="K106" s="215" t="s">
        <v>797</v>
      </c>
      <c r="L106" s="215" t="s">
        <v>415</v>
      </c>
      <c r="M106" s="230"/>
      <c r="N106" s="220" t="s">
        <v>178</v>
      </c>
      <c r="O106" s="214"/>
      <c r="P106" s="222"/>
      <c r="Q106" s="222"/>
      <c r="R106" s="223"/>
      <c r="S106" s="223"/>
      <c r="T106" s="222"/>
      <c r="U106" s="214"/>
      <c r="V106" s="222"/>
      <c r="W106" s="223"/>
      <c r="X106" s="222"/>
      <c r="Y106" s="214"/>
      <c r="Z106" s="222"/>
      <c r="AA106" s="223"/>
      <c r="AB106" s="222"/>
      <c r="AC106" s="214"/>
      <c r="AD106" s="222"/>
      <c r="AE106" s="222"/>
    </row>
    <row r="107" spans="1:31" ht="36">
      <c r="A107" s="23"/>
      <c r="B107" s="215">
        <f>SUBTOTAL(103,$C$11:C107)</f>
        <v>97</v>
      </c>
      <c r="C107" s="215">
        <f>测试大纲!$A$19</f>
        <v>4</v>
      </c>
      <c r="D107" s="239" t="s">
        <v>240</v>
      </c>
      <c r="E107" s="241" t="s">
        <v>243</v>
      </c>
      <c r="F107" s="225" t="s">
        <v>450</v>
      </c>
      <c r="G107" s="215" t="str">
        <f>$D$9 &amp; "-"&amp;测试大纲!I$22&amp;"-"&amp;TEXT(SUBTOTAL(103,$C$96:C107),"000")</f>
        <v>Web-LBWH-012</v>
      </c>
      <c r="H107" s="219" t="s">
        <v>337</v>
      </c>
      <c r="I107" s="219" t="s">
        <v>165</v>
      </c>
      <c r="J107" s="220" t="s">
        <v>799</v>
      </c>
      <c r="K107" s="215" t="s">
        <v>797</v>
      </c>
      <c r="L107" s="230" t="s">
        <v>171</v>
      </c>
      <c r="M107" s="231">
        <v>0</v>
      </c>
      <c r="N107" s="220" t="s">
        <v>800</v>
      </c>
      <c r="O107" s="214"/>
      <c r="P107" s="222"/>
      <c r="Q107" s="222"/>
      <c r="R107" s="223"/>
      <c r="S107" s="223"/>
      <c r="T107" s="222"/>
      <c r="U107" s="214"/>
      <c r="V107" s="222"/>
      <c r="W107" s="223"/>
      <c r="X107" s="222"/>
      <c r="Y107" s="214"/>
      <c r="Z107" s="222"/>
      <c r="AA107" s="223"/>
      <c r="AB107" s="222"/>
      <c r="AC107" s="214"/>
      <c r="AD107" s="222"/>
      <c r="AE107" s="222"/>
    </row>
    <row r="108" spans="1:31" ht="36">
      <c r="A108" s="23"/>
      <c r="B108" s="215">
        <f>SUBTOTAL(103,$C$11:C108)</f>
        <v>98</v>
      </c>
      <c r="C108" s="215">
        <f>测试大纲!$A$19</f>
        <v>4</v>
      </c>
      <c r="D108" s="239" t="s">
        <v>240</v>
      </c>
      <c r="E108" s="241" t="s">
        <v>243</v>
      </c>
      <c r="F108" s="225" t="s">
        <v>450</v>
      </c>
      <c r="G108" s="215" t="str">
        <f>$D$9 &amp; "-"&amp;测试大纲!I$22&amp;"-"&amp;TEXT(SUBTOTAL(103,$C$96:C108),"000")</f>
        <v>Web-LBWH-013</v>
      </c>
      <c r="H108" s="219" t="s">
        <v>337</v>
      </c>
      <c r="I108" s="219" t="s">
        <v>62</v>
      </c>
      <c r="J108" s="220" t="s">
        <v>432</v>
      </c>
      <c r="K108" s="215" t="s">
        <v>797</v>
      </c>
      <c r="L108" s="230"/>
      <c r="M108" s="231"/>
      <c r="N108" s="220" t="s">
        <v>433</v>
      </c>
      <c r="O108" s="214"/>
      <c r="P108" s="222"/>
      <c r="Q108" s="222"/>
      <c r="R108" s="223"/>
      <c r="S108" s="223"/>
      <c r="T108" s="222"/>
      <c r="U108" s="214"/>
      <c r="V108" s="222"/>
      <c r="W108" s="223"/>
      <c r="X108" s="222"/>
      <c r="Y108" s="214"/>
      <c r="Z108" s="222"/>
      <c r="AA108" s="223"/>
      <c r="AB108" s="222"/>
      <c r="AC108" s="214"/>
      <c r="AD108" s="222"/>
      <c r="AE108" s="222"/>
    </row>
    <row r="109" spans="1:31" ht="36">
      <c r="A109" s="23"/>
      <c r="B109" s="215">
        <f>SUBTOTAL(103,$C$11:C109)</f>
        <v>99</v>
      </c>
      <c r="C109" s="215">
        <f>测试大纲!$A$19</f>
        <v>4</v>
      </c>
      <c r="D109" s="239" t="s">
        <v>240</v>
      </c>
      <c r="E109" s="241" t="s">
        <v>243</v>
      </c>
      <c r="F109" s="225" t="s">
        <v>450</v>
      </c>
      <c r="G109" s="215" t="str">
        <f>$D$9 &amp; "-"&amp;测试大纲!I$22&amp;"-"&amp;TEXT(SUBTOTAL(103,$C$96:C109),"000")</f>
        <v>Web-LBWH-014</v>
      </c>
      <c r="H109" s="219" t="s">
        <v>337</v>
      </c>
      <c r="I109" s="219" t="s">
        <v>62</v>
      </c>
      <c r="J109" s="220" t="s">
        <v>434</v>
      </c>
      <c r="K109" s="215" t="s">
        <v>797</v>
      </c>
      <c r="L109" s="215" t="s">
        <v>415</v>
      </c>
      <c r="M109" s="231"/>
      <c r="N109" s="220" t="s">
        <v>433</v>
      </c>
      <c r="O109" s="214"/>
      <c r="P109" s="222"/>
      <c r="Q109" s="222"/>
      <c r="R109" s="223"/>
      <c r="S109" s="223"/>
      <c r="T109" s="222"/>
      <c r="U109" s="214"/>
      <c r="V109" s="222"/>
      <c r="W109" s="223"/>
      <c r="X109" s="222"/>
      <c r="Y109" s="214"/>
      <c r="Z109" s="222"/>
      <c r="AA109" s="223"/>
      <c r="AB109" s="222"/>
      <c r="AC109" s="214"/>
      <c r="AD109" s="222"/>
      <c r="AE109" s="222"/>
    </row>
    <row r="110" spans="1:31" ht="36">
      <c r="A110" s="23"/>
      <c r="B110" s="215">
        <f>SUBTOTAL(103,$C$11:C110)</f>
        <v>100</v>
      </c>
      <c r="C110" s="215">
        <f>测试大纲!$A$19</f>
        <v>4</v>
      </c>
      <c r="D110" s="239" t="s">
        <v>240</v>
      </c>
      <c r="E110" s="241" t="s">
        <v>243</v>
      </c>
      <c r="F110" s="225" t="s">
        <v>450</v>
      </c>
      <c r="G110" s="215" t="str">
        <f>$D$9 &amp; "-"&amp;测试大纲!I$22&amp;"-"&amp;TEXT(SUBTOTAL(103,$C$96:C110),"000")</f>
        <v>Web-LBWH-015</v>
      </c>
      <c r="H110" s="219" t="s">
        <v>337</v>
      </c>
      <c r="I110" s="219" t="s">
        <v>62</v>
      </c>
      <c r="J110" s="220" t="s">
        <v>435</v>
      </c>
      <c r="K110" s="215" t="s">
        <v>797</v>
      </c>
      <c r="L110" s="225" t="s">
        <v>441</v>
      </c>
      <c r="M110" s="225" t="s">
        <v>442</v>
      </c>
      <c r="N110" s="220" t="s">
        <v>443</v>
      </c>
      <c r="O110" s="214"/>
      <c r="P110" s="222"/>
      <c r="Q110" s="222"/>
      <c r="R110" s="223"/>
      <c r="S110" s="223"/>
      <c r="T110" s="222"/>
      <c r="U110" s="214"/>
      <c r="V110" s="222"/>
      <c r="W110" s="223"/>
      <c r="X110" s="222"/>
      <c r="Y110" s="214"/>
      <c r="Z110" s="222"/>
      <c r="AA110" s="223"/>
      <c r="AB110" s="222"/>
      <c r="AC110" s="214"/>
      <c r="AD110" s="222"/>
      <c r="AE110" s="222"/>
    </row>
    <row r="111" spans="1:31" ht="36">
      <c r="A111" s="23"/>
      <c r="B111" s="215">
        <f>SUBTOTAL(103,$C$11:C111)</f>
        <v>101</v>
      </c>
      <c r="C111" s="215">
        <f>测试大纲!$A$19</f>
        <v>4</v>
      </c>
      <c r="D111" s="239" t="s">
        <v>240</v>
      </c>
      <c r="E111" s="241" t="s">
        <v>243</v>
      </c>
      <c r="F111" s="225" t="s">
        <v>450</v>
      </c>
      <c r="G111" s="215" t="str">
        <f>$D$9 &amp; "-"&amp;测试大纲!I$22&amp;"-"&amp;TEXT(SUBTOTAL(103,$C$96:C111),"000")</f>
        <v>Web-LBWH-016</v>
      </c>
      <c r="H111" s="219" t="s">
        <v>337</v>
      </c>
      <c r="I111" s="219" t="s">
        <v>62</v>
      </c>
      <c r="J111" s="220" t="s">
        <v>595</v>
      </c>
      <c r="K111" s="215" t="s">
        <v>797</v>
      </c>
      <c r="L111" s="215" t="s">
        <v>476</v>
      </c>
      <c r="M111" s="215"/>
      <c r="N111" s="220" t="s">
        <v>477</v>
      </c>
      <c r="O111" s="214"/>
      <c r="P111" s="222"/>
      <c r="Q111" s="222"/>
      <c r="R111" s="223"/>
      <c r="S111" s="223"/>
      <c r="T111" s="222"/>
      <c r="U111" s="214"/>
      <c r="V111" s="222"/>
      <c r="W111" s="223"/>
      <c r="X111" s="222"/>
      <c r="Y111" s="214"/>
      <c r="Z111" s="222"/>
      <c r="AA111" s="223"/>
      <c r="AB111" s="222"/>
      <c r="AC111" s="214"/>
      <c r="AD111" s="222"/>
      <c r="AE111" s="222"/>
    </row>
    <row r="112" spans="1:31" ht="48">
      <c r="A112" s="23"/>
      <c r="B112" s="215">
        <f>SUBTOTAL(103,$C$11:C112)</f>
        <v>102</v>
      </c>
      <c r="C112" s="215">
        <f>测试大纲!$A$19</f>
        <v>4</v>
      </c>
      <c r="D112" s="239" t="s">
        <v>240</v>
      </c>
      <c r="E112" s="241" t="s">
        <v>243</v>
      </c>
      <c r="F112" s="225" t="s">
        <v>450</v>
      </c>
      <c r="G112" s="215" t="str">
        <f>$D$9 &amp; "-"&amp;测试大纲!I$22&amp;"-"&amp;TEXT(SUBTOTAL(103,$C$96:C112),"000")</f>
        <v>Web-LBWH-017</v>
      </c>
      <c r="H112" s="219" t="s">
        <v>337</v>
      </c>
      <c r="I112" s="219" t="s">
        <v>62</v>
      </c>
      <c r="J112" s="220" t="s">
        <v>596</v>
      </c>
      <c r="K112" s="215" t="s">
        <v>797</v>
      </c>
      <c r="L112" s="215" t="s">
        <v>896</v>
      </c>
      <c r="M112" s="215" t="s">
        <v>798</v>
      </c>
      <c r="N112" s="220" t="s">
        <v>481</v>
      </c>
      <c r="O112" s="214"/>
      <c r="P112" s="222"/>
      <c r="Q112" s="222"/>
      <c r="R112" s="223"/>
      <c r="S112" s="223"/>
      <c r="T112" s="222"/>
      <c r="U112" s="214"/>
      <c r="V112" s="222"/>
      <c r="W112" s="223"/>
      <c r="X112" s="222"/>
      <c r="Y112" s="214"/>
      <c r="Z112" s="222"/>
      <c r="AA112" s="223"/>
      <c r="AB112" s="222"/>
      <c r="AC112" s="214"/>
      <c r="AD112" s="222"/>
      <c r="AE112" s="222"/>
    </row>
    <row r="113" spans="1:31" ht="72">
      <c r="A113" s="23"/>
      <c r="B113" s="215">
        <f>SUBTOTAL(103,$C$11:C113)</f>
        <v>103</v>
      </c>
      <c r="C113" s="215">
        <f>测试大纲!$A$19</f>
        <v>4</v>
      </c>
      <c r="D113" s="239" t="s">
        <v>240</v>
      </c>
      <c r="E113" s="241" t="s">
        <v>243</v>
      </c>
      <c r="F113" s="215" t="s">
        <v>796</v>
      </c>
      <c r="G113" s="215" t="str">
        <f>$D$9 &amp; "-"&amp;测试大纲!I$22&amp;"-"&amp;TEXT(SUBTOTAL(103,$C$96:C113),"000")</f>
        <v>Web-LBWH-018</v>
      </c>
      <c r="H113" s="219" t="s">
        <v>337</v>
      </c>
      <c r="I113" s="219" t="s">
        <v>62</v>
      </c>
      <c r="J113" s="220" t="s">
        <v>726</v>
      </c>
      <c r="K113" s="215" t="s">
        <v>805</v>
      </c>
      <c r="L113" s="221"/>
      <c r="M113" s="215"/>
      <c r="N113" s="221" t="s">
        <v>807</v>
      </c>
      <c r="O113" s="214"/>
      <c r="P113" s="222"/>
      <c r="Q113" s="222"/>
      <c r="R113" s="223"/>
      <c r="S113" s="223"/>
      <c r="T113" s="222"/>
      <c r="U113" s="214"/>
      <c r="V113" s="222"/>
      <c r="W113" s="223"/>
      <c r="X113" s="222"/>
      <c r="Y113" s="214"/>
      <c r="Z113" s="222"/>
      <c r="AA113" s="223"/>
      <c r="AB113" s="222"/>
      <c r="AC113" s="214"/>
      <c r="AD113" s="222"/>
      <c r="AE113" s="222"/>
    </row>
    <row r="114" spans="1:31" ht="36">
      <c r="A114" s="23"/>
      <c r="B114" s="215">
        <f>SUBTOTAL(103,$C$11:C114)</f>
        <v>104</v>
      </c>
      <c r="C114" s="215">
        <f>测试大纲!$A$19</f>
        <v>4</v>
      </c>
      <c r="D114" s="239" t="s">
        <v>240</v>
      </c>
      <c r="E114" s="241" t="s">
        <v>243</v>
      </c>
      <c r="F114" s="215" t="s">
        <v>796</v>
      </c>
      <c r="G114" s="215" t="str">
        <f>$D$9 &amp; "-"&amp;测试大纲!I$22&amp;"-"&amp;TEXT(SUBTOTAL(103,$C$96:C114),"000")</f>
        <v>Web-LBWH-019</v>
      </c>
      <c r="H114" s="219" t="s">
        <v>337</v>
      </c>
      <c r="I114" s="219" t="s">
        <v>62</v>
      </c>
      <c r="J114" s="220" t="s">
        <v>727</v>
      </c>
      <c r="K114" s="215" t="s">
        <v>805</v>
      </c>
      <c r="L114" s="215"/>
      <c r="M114" s="215"/>
      <c r="N114" s="220" t="s">
        <v>808</v>
      </c>
      <c r="O114" s="214"/>
      <c r="P114" s="222"/>
      <c r="Q114" s="222"/>
      <c r="R114" s="223"/>
      <c r="S114" s="223"/>
      <c r="T114" s="222"/>
      <c r="U114" s="214"/>
      <c r="V114" s="222"/>
      <c r="W114" s="223"/>
      <c r="X114" s="222"/>
      <c r="Y114" s="214"/>
      <c r="Z114" s="222"/>
      <c r="AA114" s="223"/>
      <c r="AB114" s="222"/>
      <c r="AC114" s="214"/>
      <c r="AD114" s="222"/>
      <c r="AE114" s="222"/>
    </row>
    <row r="115" spans="1:31" ht="36">
      <c r="A115" s="23"/>
      <c r="B115" s="215">
        <f>SUBTOTAL(103,$C$11:C115)</f>
        <v>105</v>
      </c>
      <c r="C115" s="215">
        <f>测试大纲!$A$19</f>
        <v>4</v>
      </c>
      <c r="D115" s="239" t="s">
        <v>240</v>
      </c>
      <c r="E115" s="241" t="s">
        <v>243</v>
      </c>
      <c r="F115" s="215" t="s">
        <v>796</v>
      </c>
      <c r="G115" s="215" t="str">
        <f>$D$9 &amp; "-"&amp;测试大纲!I$22&amp;"-"&amp;TEXT(SUBTOTAL(103,$C$96:C115),"000")</f>
        <v>Web-LBWH-020</v>
      </c>
      <c r="H115" s="219" t="s">
        <v>337</v>
      </c>
      <c r="I115" s="219" t="s">
        <v>62</v>
      </c>
      <c r="J115" s="243" t="s">
        <v>296</v>
      </c>
      <c r="K115" s="215" t="s">
        <v>805</v>
      </c>
      <c r="L115" s="215" t="s">
        <v>801</v>
      </c>
      <c r="M115" s="215" t="s">
        <v>803</v>
      </c>
      <c r="N115" s="220" t="s">
        <v>298</v>
      </c>
      <c r="O115" s="214"/>
      <c r="P115" s="222"/>
      <c r="Q115" s="222"/>
      <c r="R115" s="223"/>
      <c r="S115" s="223"/>
      <c r="T115" s="222"/>
      <c r="U115" s="214"/>
      <c r="V115" s="222"/>
      <c r="W115" s="223"/>
      <c r="X115" s="222"/>
      <c r="Y115" s="214"/>
      <c r="Z115" s="222"/>
      <c r="AA115" s="223"/>
      <c r="AB115" s="222"/>
      <c r="AC115" s="214"/>
      <c r="AD115" s="222"/>
      <c r="AE115" s="222"/>
    </row>
    <row r="116" spans="1:31" ht="36">
      <c r="A116" s="23"/>
      <c r="B116" s="215">
        <f>SUBTOTAL(103,$C$11:C116)</f>
        <v>106</v>
      </c>
      <c r="C116" s="215">
        <f>测试大纲!$A$19</f>
        <v>4</v>
      </c>
      <c r="D116" s="239" t="s">
        <v>240</v>
      </c>
      <c r="E116" s="241" t="s">
        <v>243</v>
      </c>
      <c r="F116" s="215" t="s">
        <v>796</v>
      </c>
      <c r="G116" s="215" t="str">
        <f>$D$9 &amp; "-"&amp;测试大纲!I$22&amp;"-"&amp;TEXT(SUBTOTAL(103,$C$96:C116),"000")</f>
        <v>Web-LBWH-021</v>
      </c>
      <c r="H116" s="219" t="s">
        <v>337</v>
      </c>
      <c r="I116" s="219" t="s">
        <v>62</v>
      </c>
      <c r="J116" s="220" t="s">
        <v>295</v>
      </c>
      <c r="K116" s="215" t="s">
        <v>805</v>
      </c>
      <c r="L116" s="215" t="s">
        <v>801</v>
      </c>
      <c r="M116" s="215" t="s">
        <v>802</v>
      </c>
      <c r="N116" s="220" t="s">
        <v>298</v>
      </c>
      <c r="O116" s="214"/>
      <c r="P116" s="222"/>
      <c r="Q116" s="222"/>
      <c r="R116" s="223"/>
      <c r="S116" s="223"/>
      <c r="T116" s="222"/>
      <c r="U116" s="214"/>
      <c r="V116" s="222"/>
      <c r="W116" s="223"/>
      <c r="X116" s="222"/>
      <c r="Y116" s="214"/>
      <c r="Z116" s="222"/>
      <c r="AA116" s="223"/>
      <c r="AB116" s="222"/>
      <c r="AC116" s="214"/>
      <c r="AD116" s="222"/>
      <c r="AE116" s="222"/>
    </row>
    <row r="117" spans="1:31" ht="36">
      <c r="A117" s="23"/>
      <c r="B117" s="215">
        <f>SUBTOTAL(103,$C$11:C117)</f>
        <v>107</v>
      </c>
      <c r="C117" s="215">
        <f>测试大纲!$A$19</f>
        <v>4</v>
      </c>
      <c r="D117" s="239" t="s">
        <v>240</v>
      </c>
      <c r="E117" s="241" t="s">
        <v>243</v>
      </c>
      <c r="F117" s="215" t="s">
        <v>796</v>
      </c>
      <c r="G117" s="215" t="str">
        <f>$D$9 &amp; "-"&amp;测试大纲!I$22&amp;"-"&amp;TEXT(SUBTOTAL(103,$C$96:C117),"000")</f>
        <v>Web-LBWH-022</v>
      </c>
      <c r="H117" s="219" t="s">
        <v>337</v>
      </c>
      <c r="I117" s="219" t="s">
        <v>62</v>
      </c>
      <c r="J117" s="220" t="s">
        <v>297</v>
      </c>
      <c r="K117" s="215" t="s">
        <v>805</v>
      </c>
      <c r="L117" s="215" t="s">
        <v>801</v>
      </c>
      <c r="M117" s="215" t="s">
        <v>804</v>
      </c>
      <c r="N117" s="220" t="s">
        <v>298</v>
      </c>
      <c r="O117" s="214"/>
      <c r="P117" s="222"/>
      <c r="Q117" s="222"/>
      <c r="R117" s="223"/>
      <c r="S117" s="223"/>
      <c r="T117" s="222"/>
      <c r="U117" s="214"/>
      <c r="V117" s="222"/>
      <c r="W117" s="223"/>
      <c r="X117" s="222"/>
      <c r="Y117" s="214"/>
      <c r="Z117" s="222"/>
      <c r="AA117" s="223"/>
      <c r="AB117" s="222"/>
      <c r="AC117" s="214"/>
      <c r="AD117" s="222"/>
      <c r="AE117" s="222"/>
    </row>
    <row r="118" spans="1:31" ht="24">
      <c r="A118" s="23"/>
      <c r="B118" s="215">
        <f>SUBTOTAL(103,$C$11:C118)</f>
        <v>108</v>
      </c>
      <c r="C118" s="215">
        <f>测试大纲!$A$19</f>
        <v>4</v>
      </c>
      <c r="D118" s="239" t="s">
        <v>240</v>
      </c>
      <c r="E118" s="241" t="s">
        <v>243</v>
      </c>
      <c r="F118" s="215" t="s">
        <v>796</v>
      </c>
      <c r="G118" s="215" t="str">
        <f>$D$9 &amp; "-"&amp;测试大纲!I$22&amp;"-"&amp;TEXT(SUBTOTAL(103,$C$96:C118),"000")</f>
        <v>Web-LBWH-023</v>
      </c>
      <c r="H118" s="219" t="s">
        <v>337</v>
      </c>
      <c r="I118" s="219" t="s">
        <v>62</v>
      </c>
      <c r="J118" s="220" t="s">
        <v>888</v>
      </c>
      <c r="K118" s="215" t="s">
        <v>805</v>
      </c>
      <c r="L118" s="215" t="s">
        <v>886</v>
      </c>
      <c r="M118" s="215"/>
      <c r="N118" s="220" t="s">
        <v>299</v>
      </c>
      <c r="O118" s="214"/>
      <c r="P118" s="222"/>
      <c r="Q118" s="222"/>
      <c r="R118" s="223"/>
      <c r="S118" s="223"/>
      <c r="T118" s="222"/>
      <c r="U118" s="214"/>
      <c r="V118" s="222"/>
      <c r="W118" s="223"/>
      <c r="X118" s="222"/>
      <c r="Y118" s="214"/>
      <c r="Z118" s="222"/>
      <c r="AA118" s="223"/>
      <c r="AB118" s="222"/>
      <c r="AC118" s="214"/>
      <c r="AD118" s="222"/>
      <c r="AE118" s="222"/>
    </row>
    <row r="119" spans="1:31" ht="24">
      <c r="A119" s="23"/>
      <c r="B119" s="215">
        <f>SUBTOTAL(103,$C$11:C119)</f>
        <v>109</v>
      </c>
      <c r="C119" s="215">
        <f>测试大纲!$A$19</f>
        <v>4</v>
      </c>
      <c r="D119" s="239" t="s">
        <v>240</v>
      </c>
      <c r="E119" s="241" t="s">
        <v>243</v>
      </c>
      <c r="F119" s="215" t="s">
        <v>796</v>
      </c>
      <c r="G119" s="215" t="str">
        <f>$D$9 &amp; "-"&amp;测试大纲!I$22&amp;"-"&amp;TEXT(SUBTOTAL(103,$C$96:C119),"000")</f>
        <v>Web-LBWH-024</v>
      </c>
      <c r="H119" s="219" t="s">
        <v>337</v>
      </c>
      <c r="I119" s="219" t="s">
        <v>62</v>
      </c>
      <c r="J119" s="220" t="s">
        <v>889</v>
      </c>
      <c r="K119" s="215" t="s">
        <v>805</v>
      </c>
      <c r="L119" s="215" t="s">
        <v>890</v>
      </c>
      <c r="M119" s="215"/>
      <c r="N119" s="220" t="s">
        <v>891</v>
      </c>
      <c r="O119" s="214"/>
      <c r="P119" s="222"/>
      <c r="Q119" s="222"/>
      <c r="R119" s="223"/>
      <c r="S119" s="223"/>
      <c r="T119" s="222"/>
      <c r="U119" s="214"/>
      <c r="V119" s="222"/>
      <c r="W119" s="223"/>
      <c r="X119" s="222"/>
      <c r="Y119" s="214"/>
      <c r="Z119" s="222"/>
      <c r="AA119" s="223"/>
      <c r="AB119" s="222"/>
      <c r="AC119" s="214"/>
      <c r="AD119" s="222"/>
      <c r="AE119" s="222"/>
    </row>
    <row r="120" spans="1:31" ht="36">
      <c r="A120" s="23"/>
      <c r="B120" s="215">
        <f>SUBTOTAL(103,$C$11:C120)</f>
        <v>110</v>
      </c>
      <c r="C120" s="215">
        <f>测试大纲!$A$19</f>
        <v>4</v>
      </c>
      <c r="D120" s="239" t="s">
        <v>240</v>
      </c>
      <c r="E120" s="241" t="s">
        <v>243</v>
      </c>
      <c r="F120" s="215" t="s">
        <v>796</v>
      </c>
      <c r="G120" s="215" t="str">
        <f>$D$9 &amp; "-"&amp;测试大纲!I$22&amp;"-"&amp;TEXT(SUBTOTAL(103,$C$96:C120),"000")</f>
        <v>Web-LBWH-025</v>
      </c>
      <c r="H120" s="219" t="s">
        <v>337</v>
      </c>
      <c r="I120" s="219" t="s">
        <v>165</v>
      </c>
      <c r="J120" s="220" t="s">
        <v>893</v>
      </c>
      <c r="K120" s="215" t="s">
        <v>895</v>
      </c>
      <c r="L120" s="215" t="s">
        <v>894</v>
      </c>
      <c r="M120" s="215"/>
      <c r="N120" s="220" t="s">
        <v>789</v>
      </c>
      <c r="O120" s="214"/>
      <c r="P120" s="222"/>
      <c r="Q120" s="222"/>
      <c r="R120" s="223"/>
      <c r="S120" s="223"/>
      <c r="T120" s="222"/>
      <c r="U120" s="214"/>
      <c r="V120" s="222"/>
      <c r="W120" s="223"/>
      <c r="X120" s="222"/>
      <c r="Y120" s="214"/>
      <c r="Z120" s="222"/>
      <c r="AA120" s="223"/>
      <c r="AB120" s="222"/>
      <c r="AC120" s="214"/>
      <c r="AD120" s="222"/>
      <c r="AE120" s="222"/>
    </row>
    <row r="121" spans="1:31" ht="36">
      <c r="A121" s="23"/>
      <c r="B121" s="215">
        <f>SUBTOTAL(103,$C$11:C121)</f>
        <v>111</v>
      </c>
      <c r="C121" s="215">
        <f>测试大纲!$A$19</f>
        <v>4</v>
      </c>
      <c r="D121" s="239" t="s">
        <v>240</v>
      </c>
      <c r="E121" s="241" t="s">
        <v>243</v>
      </c>
      <c r="F121" s="215" t="s">
        <v>796</v>
      </c>
      <c r="G121" s="215" t="str">
        <f>$D$9 &amp; "-"&amp;测试大纲!I$22&amp;"-"&amp;TEXT(SUBTOTAL(103,$C$96:C121),"000")</f>
        <v>Web-LBWH-026</v>
      </c>
      <c r="H121" s="219" t="s">
        <v>337</v>
      </c>
      <c r="I121" s="219" t="s">
        <v>62</v>
      </c>
      <c r="J121" s="220" t="s">
        <v>892</v>
      </c>
      <c r="K121" s="215" t="s">
        <v>806</v>
      </c>
      <c r="L121" s="215" t="s">
        <v>887</v>
      </c>
      <c r="M121" s="215"/>
      <c r="N121" s="220" t="s">
        <v>284</v>
      </c>
      <c r="O121" s="214"/>
      <c r="P121" s="222"/>
      <c r="Q121" s="222"/>
      <c r="R121" s="223"/>
      <c r="S121" s="223"/>
      <c r="T121" s="222"/>
      <c r="U121" s="214"/>
      <c r="V121" s="222"/>
      <c r="W121" s="223"/>
      <c r="X121" s="222"/>
      <c r="Y121" s="214"/>
      <c r="Z121" s="222"/>
      <c r="AA121" s="223"/>
      <c r="AB121" s="222"/>
      <c r="AC121" s="214"/>
      <c r="AD121" s="222"/>
      <c r="AE121" s="222"/>
    </row>
    <row r="122" spans="1:31" ht="48">
      <c r="A122" s="23"/>
      <c r="B122" s="215">
        <f>SUBTOTAL(103,$C$11:C122)</f>
        <v>112</v>
      </c>
      <c r="C122" s="215">
        <f>测试大纲!$A$19</f>
        <v>4</v>
      </c>
      <c r="D122" s="239" t="s">
        <v>240</v>
      </c>
      <c r="E122" s="241" t="s">
        <v>243</v>
      </c>
      <c r="F122" s="215" t="s">
        <v>796</v>
      </c>
      <c r="G122" s="215" t="str">
        <f>$D$9 &amp; "-"&amp;测试大纲!I$22&amp;"-"&amp;TEXT(SUBTOTAL(103,$C$96:C122),"000")</f>
        <v>Web-LBWH-027</v>
      </c>
      <c r="H122" s="219" t="s">
        <v>337</v>
      </c>
      <c r="I122" s="219" t="s">
        <v>62</v>
      </c>
      <c r="J122" s="220" t="s">
        <v>897</v>
      </c>
      <c r="K122" s="215" t="s">
        <v>805</v>
      </c>
      <c r="L122" s="215" t="s">
        <v>885</v>
      </c>
      <c r="M122" s="215" t="s">
        <v>899</v>
      </c>
      <c r="N122" s="220" t="s">
        <v>913</v>
      </c>
      <c r="O122" s="214"/>
      <c r="P122" s="222"/>
      <c r="Q122" s="222"/>
      <c r="R122" s="223"/>
      <c r="S122" s="223"/>
      <c r="T122" s="222"/>
      <c r="U122" s="214"/>
      <c r="V122" s="222"/>
      <c r="W122" s="223"/>
      <c r="X122" s="222"/>
      <c r="Y122" s="214"/>
      <c r="Z122" s="222"/>
      <c r="AA122" s="223"/>
      <c r="AB122" s="222"/>
      <c r="AC122" s="214"/>
      <c r="AD122" s="222"/>
      <c r="AE122" s="222"/>
    </row>
    <row r="123" spans="1:31" ht="48">
      <c r="A123" s="23"/>
      <c r="B123" s="215">
        <f>SUBTOTAL(103,$C$11:C123)</f>
        <v>113</v>
      </c>
      <c r="C123" s="215">
        <f>测试大纲!$A$19</f>
        <v>4</v>
      </c>
      <c r="D123" s="239" t="s">
        <v>240</v>
      </c>
      <c r="E123" s="241" t="s">
        <v>243</v>
      </c>
      <c r="F123" s="215" t="s">
        <v>796</v>
      </c>
      <c r="G123" s="215" t="str">
        <f>$D$9 &amp; "-"&amp;测试大纲!I$22&amp;"-"&amp;TEXT(SUBTOTAL(103,$C$96:C123),"000")</f>
        <v>Web-LBWH-028</v>
      </c>
      <c r="H123" s="219" t="s">
        <v>337</v>
      </c>
      <c r="I123" s="219" t="s">
        <v>165</v>
      </c>
      <c r="J123" s="220" t="s">
        <v>954</v>
      </c>
      <c r="K123" s="215" t="s">
        <v>953</v>
      </c>
      <c r="L123" s="215" t="s">
        <v>885</v>
      </c>
      <c r="M123" s="215" t="s">
        <v>952</v>
      </c>
      <c r="N123" s="220" t="s">
        <v>298</v>
      </c>
      <c r="O123" s="214"/>
      <c r="P123" s="222"/>
      <c r="Q123" s="222"/>
      <c r="R123" s="223"/>
      <c r="S123" s="223"/>
      <c r="T123" s="222"/>
      <c r="U123" s="214"/>
      <c r="V123" s="222"/>
      <c r="W123" s="223"/>
      <c r="X123" s="222"/>
      <c r="Y123" s="214"/>
      <c r="Z123" s="222"/>
      <c r="AA123" s="223"/>
      <c r="AB123" s="222"/>
      <c r="AC123" s="214"/>
      <c r="AD123" s="222"/>
      <c r="AE123" s="222"/>
    </row>
    <row r="124" spans="1:31" ht="72">
      <c r="A124" s="23"/>
      <c r="B124" s="215">
        <f>SUBTOTAL(103,$C$11:C124)</f>
        <v>114</v>
      </c>
      <c r="C124" s="215">
        <f>测试大纲!$A$19</f>
        <v>4</v>
      </c>
      <c r="D124" s="239" t="s">
        <v>240</v>
      </c>
      <c r="E124" s="241" t="s">
        <v>243</v>
      </c>
      <c r="F124" s="215" t="s">
        <v>796</v>
      </c>
      <c r="G124" s="215" t="str">
        <f>$D$9 &amp; "-"&amp;测试大纲!I$22&amp;"-"&amp;TEXT(SUBTOTAL(103,$C$96:C124),"000")</f>
        <v>Web-LBWH-029</v>
      </c>
      <c r="H124" s="219" t="s">
        <v>337</v>
      </c>
      <c r="I124" s="219" t="s">
        <v>165</v>
      </c>
      <c r="J124" s="220" t="s">
        <v>957</v>
      </c>
      <c r="K124" s="215" t="s">
        <v>955</v>
      </c>
      <c r="L124" s="215" t="s">
        <v>958</v>
      </c>
      <c r="M124" s="215" t="s">
        <v>959</v>
      </c>
      <c r="N124" s="220" t="s">
        <v>298</v>
      </c>
      <c r="O124" s="214"/>
      <c r="P124" s="222"/>
      <c r="Q124" s="222"/>
      <c r="R124" s="223"/>
      <c r="S124" s="223"/>
      <c r="T124" s="222"/>
      <c r="U124" s="214"/>
      <c r="V124" s="222"/>
      <c r="W124" s="223"/>
      <c r="X124" s="222"/>
      <c r="Y124" s="214"/>
      <c r="Z124" s="222"/>
      <c r="AA124" s="223"/>
      <c r="AB124" s="222"/>
      <c r="AC124" s="214"/>
      <c r="AD124" s="222"/>
      <c r="AE124" s="222"/>
    </row>
    <row r="125" spans="1:31" ht="48">
      <c r="A125" s="23"/>
      <c r="B125" s="215">
        <f>SUBTOTAL(103,$C$11:C125)</f>
        <v>115</v>
      </c>
      <c r="C125" s="215">
        <f>测试大纲!$A$19</f>
        <v>4</v>
      </c>
      <c r="D125" s="239" t="s">
        <v>240</v>
      </c>
      <c r="E125" s="241" t="s">
        <v>243</v>
      </c>
      <c r="F125" s="215" t="s">
        <v>796</v>
      </c>
      <c r="G125" s="215" t="str">
        <f>$D$9 &amp; "-"&amp;测试大纲!I$22&amp;"-"&amp;TEXT(SUBTOTAL(103,$C$96:C125),"000")</f>
        <v>Web-LBWH-030</v>
      </c>
      <c r="H125" s="219" t="s">
        <v>337</v>
      </c>
      <c r="I125" s="219" t="s">
        <v>165</v>
      </c>
      <c r="J125" s="220" t="s">
        <v>962</v>
      </c>
      <c r="K125" s="215" t="s">
        <v>961</v>
      </c>
      <c r="L125" s="215" t="s">
        <v>960</v>
      </c>
      <c r="M125" s="215" t="s">
        <v>956</v>
      </c>
      <c r="N125" s="220" t="s">
        <v>913</v>
      </c>
      <c r="O125" s="214"/>
      <c r="P125" s="222"/>
      <c r="Q125" s="222"/>
      <c r="R125" s="223"/>
      <c r="S125" s="223"/>
      <c r="T125" s="222"/>
      <c r="U125" s="214"/>
      <c r="V125" s="222"/>
      <c r="W125" s="223"/>
      <c r="X125" s="222"/>
      <c r="Y125" s="214"/>
      <c r="Z125" s="222"/>
      <c r="AA125" s="223"/>
      <c r="AB125" s="222"/>
      <c r="AC125" s="214"/>
      <c r="AD125" s="222"/>
      <c r="AE125" s="222"/>
    </row>
    <row r="126" spans="1:31" ht="60">
      <c r="A126" s="23"/>
      <c r="B126" s="215">
        <f>SUBTOTAL(103,$C$11:C126)</f>
        <v>116</v>
      </c>
      <c r="C126" s="215">
        <f>测试大纲!$A$19</f>
        <v>4</v>
      </c>
      <c r="D126" s="239" t="s">
        <v>240</v>
      </c>
      <c r="E126" s="241" t="s">
        <v>243</v>
      </c>
      <c r="F126" s="215" t="s">
        <v>796</v>
      </c>
      <c r="G126" s="215" t="str">
        <f>$D$9 &amp; "-"&amp;测试大纲!I$22&amp;"-"&amp;TEXT(SUBTOTAL(103,$C$96:C126),"000")</f>
        <v>Web-LBWH-031</v>
      </c>
      <c r="H126" s="219" t="s">
        <v>337</v>
      </c>
      <c r="I126" s="219" t="s">
        <v>62</v>
      </c>
      <c r="J126" s="220" t="s">
        <v>914</v>
      </c>
      <c r="K126" s="215" t="s">
        <v>805</v>
      </c>
      <c r="L126" s="215" t="s">
        <v>898</v>
      </c>
      <c r="M126" s="215" t="s">
        <v>900</v>
      </c>
      <c r="N126" s="220" t="s">
        <v>913</v>
      </c>
      <c r="O126" s="214"/>
      <c r="P126" s="222"/>
      <c r="Q126" s="222"/>
      <c r="R126" s="223"/>
      <c r="S126" s="223"/>
      <c r="T126" s="222"/>
      <c r="U126" s="214"/>
      <c r="V126" s="222"/>
      <c r="W126" s="223"/>
      <c r="X126" s="222"/>
      <c r="Y126" s="214"/>
      <c r="Z126" s="222"/>
      <c r="AA126" s="223"/>
      <c r="AB126" s="222"/>
      <c r="AC126" s="214"/>
      <c r="AD126" s="222"/>
      <c r="AE126" s="222"/>
    </row>
    <row r="127" spans="1:31" ht="48">
      <c r="A127" s="23"/>
      <c r="B127" s="215">
        <f>SUBTOTAL(103,$C$11:C127)</f>
        <v>117</v>
      </c>
      <c r="C127" s="215">
        <f>测试大纲!$A$19</f>
        <v>4</v>
      </c>
      <c r="D127" s="239" t="s">
        <v>240</v>
      </c>
      <c r="E127" s="241" t="s">
        <v>243</v>
      </c>
      <c r="F127" s="236" t="s">
        <v>449</v>
      </c>
      <c r="G127" s="215" t="str">
        <f>$D$9 &amp; "-"&amp;测试大纲!I$22&amp;"-"&amp;TEXT(SUBTOTAL(103,$C$96:C127),"000")</f>
        <v>Web-LBWH-032</v>
      </c>
      <c r="H127" s="219" t="s">
        <v>337</v>
      </c>
      <c r="I127" s="219" t="s">
        <v>62</v>
      </c>
      <c r="J127" s="220" t="s">
        <v>901</v>
      </c>
      <c r="K127" s="226" t="s">
        <v>347</v>
      </c>
      <c r="L127" s="215" t="s">
        <v>885</v>
      </c>
      <c r="M127" s="215" t="s">
        <v>909</v>
      </c>
      <c r="N127" s="220" t="s">
        <v>913</v>
      </c>
      <c r="O127" s="214"/>
      <c r="P127" s="222"/>
      <c r="Q127" s="222"/>
      <c r="R127" s="223"/>
      <c r="S127" s="223"/>
      <c r="T127" s="222"/>
      <c r="U127" s="214"/>
      <c r="V127" s="222"/>
      <c r="W127" s="223"/>
      <c r="X127" s="222"/>
      <c r="Y127" s="214"/>
      <c r="Z127" s="222"/>
      <c r="AA127" s="223"/>
      <c r="AB127" s="222"/>
      <c r="AC127" s="214"/>
      <c r="AD127" s="222"/>
      <c r="AE127" s="222"/>
    </row>
    <row r="128" spans="1:31" ht="48">
      <c r="A128" s="23"/>
      <c r="B128" s="215">
        <f>SUBTOTAL(103,$C$11:C128)</f>
        <v>118</v>
      </c>
      <c r="C128" s="215">
        <f>测试大纲!$A$19</f>
        <v>4</v>
      </c>
      <c r="D128" s="239" t="s">
        <v>240</v>
      </c>
      <c r="E128" s="241" t="s">
        <v>243</v>
      </c>
      <c r="F128" s="236" t="s">
        <v>449</v>
      </c>
      <c r="G128" s="215" t="str">
        <f>$D$9 &amp; "-"&amp;测试大纲!I$22&amp;"-"&amp;TEXT(SUBTOTAL(103,$C$96:C128),"000")</f>
        <v>Web-LBWH-033</v>
      </c>
      <c r="H128" s="219" t="s">
        <v>337</v>
      </c>
      <c r="I128" s="219" t="s">
        <v>62</v>
      </c>
      <c r="J128" s="220" t="s">
        <v>903</v>
      </c>
      <c r="K128" s="226" t="s">
        <v>347</v>
      </c>
      <c r="L128" s="215" t="s">
        <v>885</v>
      </c>
      <c r="M128" s="215" t="s">
        <v>910</v>
      </c>
      <c r="N128" s="220" t="s">
        <v>913</v>
      </c>
      <c r="O128" s="214"/>
      <c r="P128" s="222"/>
      <c r="Q128" s="222"/>
      <c r="R128" s="223"/>
      <c r="S128" s="223"/>
      <c r="T128" s="222"/>
      <c r="U128" s="214"/>
      <c r="V128" s="222"/>
      <c r="W128" s="223"/>
      <c r="X128" s="222"/>
      <c r="Y128" s="214"/>
      <c r="Z128" s="222"/>
      <c r="AA128" s="223"/>
      <c r="AB128" s="222"/>
      <c r="AC128" s="214"/>
      <c r="AD128" s="222"/>
      <c r="AE128" s="222"/>
    </row>
    <row r="129" spans="1:31" ht="48">
      <c r="A129" s="23"/>
      <c r="B129" s="215">
        <f>SUBTOTAL(103,$C$11:C129)</f>
        <v>119</v>
      </c>
      <c r="C129" s="215">
        <f>测试大纲!$A$19</f>
        <v>4</v>
      </c>
      <c r="D129" s="239" t="s">
        <v>240</v>
      </c>
      <c r="E129" s="241" t="s">
        <v>243</v>
      </c>
      <c r="F129" s="236" t="s">
        <v>449</v>
      </c>
      <c r="G129" s="215" t="str">
        <f>$D$9 &amp; "-"&amp;测试大纲!I$22&amp;"-"&amp;TEXT(SUBTOTAL(103,$C$96:C129),"000")</f>
        <v>Web-LBWH-034</v>
      </c>
      <c r="H129" s="219" t="s">
        <v>337</v>
      </c>
      <c r="I129" s="219" t="s">
        <v>62</v>
      </c>
      <c r="J129" s="220" t="s">
        <v>904</v>
      </c>
      <c r="K129" s="226" t="s">
        <v>347</v>
      </c>
      <c r="L129" s="215" t="s">
        <v>885</v>
      </c>
      <c r="M129" s="215" t="s">
        <v>908</v>
      </c>
      <c r="N129" s="220" t="s">
        <v>913</v>
      </c>
      <c r="O129" s="214"/>
      <c r="P129" s="222"/>
      <c r="Q129" s="222"/>
      <c r="R129" s="223"/>
      <c r="S129" s="223"/>
      <c r="T129" s="222"/>
      <c r="U129" s="214"/>
      <c r="V129" s="222"/>
      <c r="W129" s="223"/>
      <c r="X129" s="222"/>
      <c r="Y129" s="214"/>
      <c r="Z129" s="222"/>
      <c r="AA129" s="223"/>
      <c r="AB129" s="222"/>
      <c r="AC129" s="214"/>
      <c r="AD129" s="222"/>
      <c r="AE129" s="222"/>
    </row>
    <row r="130" spans="1:31" ht="48">
      <c r="A130" s="23"/>
      <c r="B130" s="215">
        <f>SUBTOTAL(103,$C$11:C130)</f>
        <v>120</v>
      </c>
      <c r="C130" s="215">
        <f>测试大纲!$A$19</f>
        <v>4</v>
      </c>
      <c r="D130" s="239" t="s">
        <v>240</v>
      </c>
      <c r="E130" s="241" t="s">
        <v>243</v>
      </c>
      <c r="F130" s="236" t="s">
        <v>449</v>
      </c>
      <c r="G130" s="215" t="str">
        <f>$D$9 &amp; "-"&amp;测试大纲!I$22&amp;"-"&amp;TEXT(SUBTOTAL(103,$C$96:C130),"000")</f>
        <v>Web-LBWH-035</v>
      </c>
      <c r="H130" s="219" t="s">
        <v>340</v>
      </c>
      <c r="I130" s="244" t="s">
        <v>165</v>
      </c>
      <c r="J130" s="220" t="s">
        <v>905</v>
      </c>
      <c r="K130" s="226" t="s">
        <v>347</v>
      </c>
      <c r="L130" s="215" t="s">
        <v>885</v>
      </c>
      <c r="M130" s="215" t="s">
        <v>907</v>
      </c>
      <c r="N130" s="220" t="s">
        <v>298</v>
      </c>
      <c r="O130" s="214"/>
      <c r="P130" s="222"/>
      <c r="Q130" s="222"/>
      <c r="R130" s="223"/>
      <c r="S130" s="223"/>
      <c r="T130" s="222"/>
      <c r="U130" s="214"/>
      <c r="V130" s="222"/>
      <c r="W130" s="223"/>
      <c r="X130" s="222"/>
      <c r="Y130" s="214"/>
      <c r="Z130" s="222"/>
      <c r="AA130" s="223"/>
      <c r="AB130" s="222"/>
      <c r="AC130" s="214"/>
      <c r="AD130" s="222"/>
      <c r="AE130" s="222"/>
    </row>
    <row r="131" spans="1:31" ht="48">
      <c r="A131" s="23"/>
      <c r="B131" s="215">
        <f>SUBTOTAL(103,$C$11:C131)</f>
        <v>121</v>
      </c>
      <c r="C131" s="215">
        <f>测试大纲!$A$19</f>
        <v>4</v>
      </c>
      <c r="D131" s="239" t="s">
        <v>240</v>
      </c>
      <c r="E131" s="241" t="s">
        <v>243</v>
      </c>
      <c r="F131" s="236" t="s">
        <v>449</v>
      </c>
      <c r="G131" s="215" t="str">
        <f>$D$9 &amp; "-"&amp;测试大纲!I$22&amp;"-"&amp;TEXT(SUBTOTAL(103,$C$96:C131),"000")</f>
        <v>Web-LBWH-036</v>
      </c>
      <c r="H131" s="219" t="s">
        <v>340</v>
      </c>
      <c r="I131" s="219" t="s">
        <v>165</v>
      </c>
      <c r="J131" s="220" t="s">
        <v>902</v>
      </c>
      <c r="K131" s="226" t="s">
        <v>347</v>
      </c>
      <c r="L131" s="215" t="s">
        <v>885</v>
      </c>
      <c r="M131" s="215" t="s">
        <v>911</v>
      </c>
      <c r="N131" s="220" t="s">
        <v>298</v>
      </c>
      <c r="O131" s="214"/>
      <c r="P131" s="222"/>
      <c r="Q131" s="222"/>
      <c r="R131" s="223"/>
      <c r="S131" s="223"/>
      <c r="T131" s="222"/>
      <c r="U131" s="214"/>
      <c r="V131" s="222"/>
      <c r="W131" s="223"/>
      <c r="X131" s="222"/>
      <c r="Y131" s="214"/>
      <c r="Z131" s="222"/>
      <c r="AA131" s="223"/>
      <c r="AB131" s="222"/>
      <c r="AC131" s="214"/>
      <c r="AD131" s="222"/>
      <c r="AE131" s="222"/>
    </row>
    <row r="132" spans="1:31" ht="48">
      <c r="A132" s="23"/>
      <c r="B132" s="215">
        <f>SUBTOTAL(103,$C$11:C132)</f>
        <v>122</v>
      </c>
      <c r="C132" s="215">
        <f>测试大纲!$A$19</f>
        <v>4</v>
      </c>
      <c r="D132" s="239" t="s">
        <v>240</v>
      </c>
      <c r="E132" s="241" t="s">
        <v>243</v>
      </c>
      <c r="F132" s="236" t="s">
        <v>449</v>
      </c>
      <c r="G132" s="215" t="str">
        <f>$D$9 &amp; "-"&amp;测试大纲!I$22&amp;"-"&amp;TEXT(SUBTOTAL(103,$C$96:C132),"000")</f>
        <v>Web-LBWH-037</v>
      </c>
      <c r="H132" s="219" t="s">
        <v>340</v>
      </c>
      <c r="I132" s="219" t="s">
        <v>165</v>
      </c>
      <c r="J132" s="220" t="s">
        <v>906</v>
      </c>
      <c r="K132" s="225" t="s">
        <v>347</v>
      </c>
      <c r="L132" s="215" t="s">
        <v>885</v>
      </c>
      <c r="M132" s="215" t="s">
        <v>912</v>
      </c>
      <c r="N132" s="220" t="s">
        <v>298</v>
      </c>
      <c r="O132" s="214"/>
      <c r="P132" s="222"/>
      <c r="Q132" s="222"/>
      <c r="R132" s="223"/>
      <c r="S132" s="223"/>
      <c r="T132" s="222"/>
      <c r="U132" s="214"/>
      <c r="V132" s="222"/>
      <c r="W132" s="223"/>
      <c r="X132" s="222"/>
      <c r="Y132" s="214"/>
      <c r="Z132" s="222"/>
      <c r="AA132" s="223"/>
      <c r="AB132" s="222"/>
      <c r="AC132" s="214"/>
      <c r="AD132" s="222"/>
      <c r="AE132" s="222"/>
    </row>
    <row r="133" spans="1:31" ht="24">
      <c r="A133" s="23"/>
      <c r="B133" s="215">
        <f>SUBTOTAL(103,$C$11:C133)</f>
        <v>123</v>
      </c>
      <c r="C133" s="215">
        <f>测试大纲!$A$19</f>
        <v>4</v>
      </c>
      <c r="D133" s="239" t="s">
        <v>240</v>
      </c>
      <c r="E133" s="241" t="s">
        <v>243</v>
      </c>
      <c r="F133" s="236" t="s">
        <v>448</v>
      </c>
      <c r="G133" s="215" t="str">
        <f>$D$9 &amp; "-"&amp;测试大纲!I$22&amp;"-"&amp;TEXT(SUBTOTAL(103,$C$96:C133),"000")</f>
        <v>Web-LBWH-038</v>
      </c>
      <c r="H133" s="219" t="s">
        <v>340</v>
      </c>
      <c r="I133" s="219" t="s">
        <v>165</v>
      </c>
      <c r="J133" s="220" t="s">
        <v>809</v>
      </c>
      <c r="K133" s="225" t="s">
        <v>446</v>
      </c>
      <c r="L133" s="215" t="s">
        <v>810</v>
      </c>
      <c r="M133" s="215"/>
      <c r="N133" s="220" t="s">
        <v>290</v>
      </c>
      <c r="O133" s="214"/>
      <c r="P133" s="222"/>
      <c r="Q133" s="222"/>
      <c r="R133" s="223"/>
      <c r="S133" s="223"/>
      <c r="T133" s="222"/>
      <c r="U133" s="214"/>
      <c r="V133" s="222"/>
      <c r="W133" s="223"/>
      <c r="X133" s="222"/>
      <c r="Y133" s="214"/>
      <c r="Z133" s="222"/>
      <c r="AA133" s="223"/>
      <c r="AB133" s="222"/>
      <c r="AC133" s="214"/>
      <c r="AD133" s="222"/>
      <c r="AE133" s="222"/>
    </row>
    <row r="134" spans="1:31" ht="24">
      <c r="A134" s="23"/>
      <c r="B134" s="215">
        <f>SUBTOTAL(103,$C$11:C134)</f>
        <v>124</v>
      </c>
      <c r="C134" s="215">
        <f>测试大纲!$A$19</f>
        <v>4</v>
      </c>
      <c r="D134" s="239" t="s">
        <v>240</v>
      </c>
      <c r="E134" s="241" t="s">
        <v>243</v>
      </c>
      <c r="F134" s="236" t="s">
        <v>448</v>
      </c>
      <c r="G134" s="215" t="str">
        <f>$D$9 &amp; "-"&amp;测试大纲!I$22&amp;"-"&amp;TEXT(SUBTOTAL(103,$C$96:C134),"000")</f>
        <v>Web-LBWH-039</v>
      </c>
      <c r="H134" s="219" t="s">
        <v>340</v>
      </c>
      <c r="I134" s="219" t="s">
        <v>165</v>
      </c>
      <c r="J134" s="220" t="s">
        <v>300</v>
      </c>
      <c r="K134" s="225" t="s">
        <v>446</v>
      </c>
      <c r="L134" s="241" t="s">
        <v>301</v>
      </c>
      <c r="M134" s="215"/>
      <c r="N134" s="220" t="s">
        <v>290</v>
      </c>
      <c r="O134" s="214"/>
      <c r="P134" s="222"/>
      <c r="Q134" s="222"/>
      <c r="R134" s="223"/>
      <c r="S134" s="223"/>
      <c r="T134" s="222"/>
      <c r="U134" s="214"/>
      <c r="V134" s="222"/>
      <c r="W134" s="223"/>
      <c r="X134" s="222"/>
      <c r="Y134" s="214"/>
      <c r="Z134" s="222"/>
      <c r="AA134" s="223"/>
      <c r="AB134" s="222"/>
      <c r="AC134" s="214"/>
      <c r="AD134" s="222"/>
      <c r="AE134" s="222"/>
    </row>
    <row r="135" spans="1:31" ht="24">
      <c r="A135" s="23"/>
      <c r="B135" s="215">
        <f>SUBTOTAL(103,$C$11:C135)</f>
        <v>125</v>
      </c>
      <c r="C135" s="215">
        <f>测试大纲!$A$19</f>
        <v>4</v>
      </c>
      <c r="D135" s="239" t="s">
        <v>240</v>
      </c>
      <c r="E135" s="241" t="s">
        <v>243</v>
      </c>
      <c r="F135" s="236" t="s">
        <v>448</v>
      </c>
      <c r="G135" s="215" t="str">
        <f>$D$9 &amp; "-"&amp;测试大纲!I$22&amp;"-"&amp;TEXT(SUBTOTAL(103,$C$96:C135),"000")</f>
        <v>Web-LBWH-040</v>
      </c>
      <c r="H135" s="219" t="s">
        <v>340</v>
      </c>
      <c r="I135" s="219" t="s">
        <v>165</v>
      </c>
      <c r="J135" s="220" t="s">
        <v>302</v>
      </c>
      <c r="K135" s="225" t="s">
        <v>446</v>
      </c>
      <c r="L135" s="241" t="s">
        <v>303</v>
      </c>
      <c r="M135" s="215"/>
      <c r="N135" s="220" t="s">
        <v>290</v>
      </c>
      <c r="O135" s="214"/>
      <c r="P135" s="222"/>
      <c r="Q135" s="222"/>
      <c r="R135" s="223"/>
      <c r="S135" s="223"/>
      <c r="T135" s="222"/>
      <c r="U135" s="214"/>
      <c r="V135" s="222"/>
      <c r="W135" s="223"/>
      <c r="X135" s="222"/>
      <c r="Y135" s="214"/>
      <c r="Z135" s="222"/>
      <c r="AA135" s="223"/>
      <c r="AB135" s="222"/>
      <c r="AC135" s="214"/>
      <c r="AD135" s="222"/>
      <c r="AE135" s="222"/>
    </row>
    <row r="136" spans="1:31" ht="24">
      <c r="A136" s="23"/>
      <c r="B136" s="215">
        <f>SUBTOTAL(103,$C$11:C136)</f>
        <v>126</v>
      </c>
      <c r="C136" s="215">
        <f>测试大纲!$A$19</f>
        <v>4</v>
      </c>
      <c r="D136" s="239" t="s">
        <v>240</v>
      </c>
      <c r="E136" s="241" t="s">
        <v>243</v>
      </c>
      <c r="F136" s="236" t="s">
        <v>448</v>
      </c>
      <c r="G136" s="215" t="str">
        <f>$D$9 &amp; "-"&amp;测试大纲!I$22&amp;"-"&amp;TEXT(SUBTOTAL(103,$C$96:C136),"000")</f>
        <v>Web-LBWH-041</v>
      </c>
      <c r="H136" s="219" t="s">
        <v>337</v>
      </c>
      <c r="I136" s="219" t="s">
        <v>62</v>
      </c>
      <c r="J136" s="220" t="s">
        <v>888</v>
      </c>
      <c r="K136" s="225" t="s">
        <v>446</v>
      </c>
      <c r="L136" s="215" t="s">
        <v>886</v>
      </c>
      <c r="M136" s="215"/>
      <c r="N136" s="220" t="s">
        <v>299</v>
      </c>
      <c r="O136" s="214"/>
      <c r="P136" s="222"/>
      <c r="Q136" s="222"/>
      <c r="R136" s="223"/>
      <c r="S136" s="223"/>
      <c r="T136" s="222"/>
      <c r="U136" s="214"/>
      <c r="V136" s="222"/>
      <c r="W136" s="223"/>
      <c r="X136" s="222"/>
      <c r="Y136" s="214"/>
      <c r="Z136" s="222"/>
      <c r="AA136" s="223"/>
      <c r="AB136" s="222"/>
      <c r="AC136" s="214"/>
      <c r="AD136" s="222"/>
      <c r="AE136" s="222"/>
    </row>
    <row r="137" spans="1:31" ht="24">
      <c r="A137" s="23"/>
      <c r="B137" s="215">
        <f>SUBTOTAL(103,$C$11:C137)</f>
        <v>127</v>
      </c>
      <c r="C137" s="215">
        <f>测试大纲!$A$19</f>
        <v>4</v>
      </c>
      <c r="D137" s="239" t="s">
        <v>240</v>
      </c>
      <c r="E137" s="241" t="s">
        <v>243</v>
      </c>
      <c r="F137" s="236" t="s">
        <v>448</v>
      </c>
      <c r="G137" s="215" t="str">
        <f>$D$9 &amp; "-"&amp;测试大纲!I$22&amp;"-"&amp;TEXT(SUBTOTAL(103,$C$96:C137),"000")</f>
        <v>Web-LBWH-042</v>
      </c>
      <c r="H137" s="219" t="s">
        <v>337</v>
      </c>
      <c r="I137" s="219" t="s">
        <v>62</v>
      </c>
      <c r="J137" s="220" t="s">
        <v>889</v>
      </c>
      <c r="K137" s="215" t="s">
        <v>446</v>
      </c>
      <c r="L137" s="215" t="s">
        <v>890</v>
      </c>
      <c r="M137" s="215"/>
      <c r="N137" s="220" t="s">
        <v>891</v>
      </c>
      <c r="O137" s="214"/>
      <c r="P137" s="222"/>
      <c r="Q137" s="222"/>
      <c r="R137" s="223"/>
      <c r="S137" s="223"/>
      <c r="T137" s="222"/>
      <c r="U137" s="214"/>
      <c r="V137" s="222"/>
      <c r="W137" s="223"/>
      <c r="X137" s="222"/>
      <c r="Y137" s="214"/>
      <c r="Z137" s="222"/>
      <c r="AA137" s="223"/>
      <c r="AB137" s="222"/>
      <c r="AC137" s="214"/>
      <c r="AD137" s="222"/>
      <c r="AE137" s="222"/>
    </row>
    <row r="138" spans="1:31" ht="36">
      <c r="A138" s="23"/>
      <c r="B138" s="215">
        <f>SUBTOTAL(103,$C$11:C138)</f>
        <v>128</v>
      </c>
      <c r="C138" s="215">
        <f>测试大纲!$A$19</f>
        <v>4</v>
      </c>
      <c r="D138" s="239" t="s">
        <v>240</v>
      </c>
      <c r="E138" s="241" t="s">
        <v>243</v>
      </c>
      <c r="F138" s="236" t="s">
        <v>448</v>
      </c>
      <c r="G138" s="215" t="str">
        <f>$D$9 &amp; "-"&amp;测试大纲!I$22&amp;"-"&amp;TEXT(SUBTOTAL(103,$C$96:C138),"000")</f>
        <v>Web-LBWH-043</v>
      </c>
      <c r="H138" s="219" t="s">
        <v>337</v>
      </c>
      <c r="I138" s="219" t="s">
        <v>165</v>
      </c>
      <c r="J138" s="220" t="s">
        <v>893</v>
      </c>
      <c r="K138" s="215" t="s">
        <v>915</v>
      </c>
      <c r="L138" s="215" t="s">
        <v>894</v>
      </c>
      <c r="M138" s="215"/>
      <c r="N138" s="220" t="s">
        <v>789</v>
      </c>
      <c r="O138" s="214"/>
      <c r="P138" s="222"/>
      <c r="Q138" s="222"/>
      <c r="R138" s="223"/>
      <c r="S138" s="223"/>
      <c r="T138" s="222"/>
      <c r="U138" s="214"/>
      <c r="V138" s="222"/>
      <c r="W138" s="223"/>
      <c r="X138" s="222"/>
      <c r="Y138" s="214"/>
      <c r="Z138" s="222"/>
      <c r="AA138" s="223"/>
      <c r="AB138" s="222"/>
      <c r="AC138" s="214"/>
      <c r="AD138" s="222"/>
      <c r="AE138" s="222"/>
    </row>
    <row r="139" spans="1:31" ht="36">
      <c r="A139" s="23"/>
      <c r="B139" s="215">
        <f>SUBTOTAL(103,$C$11:C139)</f>
        <v>129</v>
      </c>
      <c r="C139" s="215">
        <f>测试大纲!$A$19</f>
        <v>4</v>
      </c>
      <c r="D139" s="239" t="s">
        <v>240</v>
      </c>
      <c r="E139" s="241" t="s">
        <v>243</v>
      </c>
      <c r="F139" s="236" t="s">
        <v>448</v>
      </c>
      <c r="G139" s="215" t="str">
        <f>$D$9 &amp; "-"&amp;测试大纲!I$22&amp;"-"&amp;TEXT(SUBTOTAL(103,$C$96:C139),"000")</f>
        <v>Web-LBWH-044</v>
      </c>
      <c r="H139" s="219" t="s">
        <v>337</v>
      </c>
      <c r="I139" s="219" t="s">
        <v>62</v>
      </c>
      <c r="J139" s="220" t="s">
        <v>892</v>
      </c>
      <c r="K139" s="215" t="s">
        <v>916</v>
      </c>
      <c r="L139" s="215" t="s">
        <v>887</v>
      </c>
      <c r="M139" s="215"/>
      <c r="N139" s="220" t="s">
        <v>284</v>
      </c>
      <c r="O139" s="214"/>
      <c r="P139" s="222"/>
      <c r="Q139" s="222"/>
      <c r="R139" s="223"/>
      <c r="S139" s="223"/>
      <c r="T139" s="222"/>
      <c r="U139" s="214"/>
      <c r="V139" s="222"/>
      <c r="W139" s="223"/>
      <c r="X139" s="222"/>
      <c r="Y139" s="214"/>
      <c r="Z139" s="222"/>
      <c r="AA139" s="223"/>
      <c r="AB139" s="222"/>
      <c r="AC139" s="214"/>
      <c r="AD139" s="222"/>
      <c r="AE139" s="222"/>
    </row>
    <row r="140" spans="1:31" ht="48">
      <c r="A140" s="23"/>
      <c r="B140" s="215">
        <f>SUBTOTAL(103,$C$11:C140)</f>
        <v>130</v>
      </c>
      <c r="C140" s="215">
        <f>测试大纲!$A$19</f>
        <v>4</v>
      </c>
      <c r="D140" s="239" t="s">
        <v>240</v>
      </c>
      <c r="E140" s="241" t="s">
        <v>243</v>
      </c>
      <c r="F140" s="236" t="s">
        <v>448</v>
      </c>
      <c r="G140" s="215" t="str">
        <f>$D$9 &amp; "-"&amp;测试大纲!I$22&amp;"-"&amp;TEXT(SUBTOTAL(103,$C$96:C140),"000")</f>
        <v>Web-LBWH-045</v>
      </c>
      <c r="H140" s="219" t="s">
        <v>337</v>
      </c>
      <c r="I140" s="219" t="s">
        <v>62</v>
      </c>
      <c r="J140" s="220" t="s">
        <v>917</v>
      </c>
      <c r="K140" s="215" t="s">
        <v>919</v>
      </c>
      <c r="L140" s="215" t="s">
        <v>885</v>
      </c>
      <c r="M140" s="215" t="s">
        <v>899</v>
      </c>
      <c r="N140" s="220" t="s">
        <v>918</v>
      </c>
      <c r="O140" s="214"/>
      <c r="P140" s="222"/>
      <c r="Q140" s="222"/>
      <c r="R140" s="223"/>
      <c r="S140" s="223"/>
      <c r="T140" s="222"/>
      <c r="U140" s="214"/>
      <c r="V140" s="222"/>
      <c r="W140" s="223"/>
      <c r="X140" s="222"/>
      <c r="Y140" s="214"/>
      <c r="Z140" s="222"/>
      <c r="AA140" s="223"/>
      <c r="AB140" s="222"/>
      <c r="AC140" s="214"/>
      <c r="AD140" s="222"/>
      <c r="AE140" s="222"/>
    </row>
    <row r="141" spans="1:31" ht="60">
      <c r="A141" s="23"/>
      <c r="B141" s="215">
        <f>SUBTOTAL(103,$C$11:C141)</f>
        <v>131</v>
      </c>
      <c r="C141" s="215">
        <f>测试大纲!$A$19</f>
        <v>4</v>
      </c>
      <c r="D141" s="239" t="s">
        <v>240</v>
      </c>
      <c r="E141" s="241" t="s">
        <v>243</v>
      </c>
      <c r="F141" s="236" t="s">
        <v>448</v>
      </c>
      <c r="G141" s="215" t="str">
        <f>$D$9 &amp; "-"&amp;测试大纲!I$22&amp;"-"&amp;TEXT(SUBTOTAL(103,$C$96:C141),"000")</f>
        <v>Web-LBWH-046</v>
      </c>
      <c r="H141" s="219" t="s">
        <v>337</v>
      </c>
      <c r="I141" s="219" t="s">
        <v>62</v>
      </c>
      <c r="J141" s="220" t="s">
        <v>939</v>
      </c>
      <c r="K141" s="215" t="s">
        <v>919</v>
      </c>
      <c r="L141" s="215" t="s">
        <v>920</v>
      </c>
      <c r="M141" s="215" t="s">
        <v>900</v>
      </c>
      <c r="N141" s="220" t="s">
        <v>918</v>
      </c>
      <c r="O141" s="214"/>
      <c r="P141" s="222"/>
      <c r="Q141" s="222"/>
      <c r="R141" s="223"/>
      <c r="S141" s="223"/>
      <c r="T141" s="222"/>
      <c r="U141" s="214"/>
      <c r="V141" s="222"/>
      <c r="W141" s="223"/>
      <c r="X141" s="222"/>
      <c r="Y141" s="214"/>
      <c r="Z141" s="222"/>
      <c r="AA141" s="223"/>
      <c r="AB141" s="222"/>
      <c r="AC141" s="214"/>
      <c r="AD141" s="222"/>
      <c r="AE141" s="222"/>
    </row>
    <row r="142" spans="1:31" ht="48">
      <c r="A142" s="23"/>
      <c r="B142" s="215">
        <f>SUBTOTAL(103,$C$11:C142)</f>
        <v>132</v>
      </c>
      <c r="C142" s="215">
        <f>测试大纲!$A$19</f>
        <v>4</v>
      </c>
      <c r="D142" s="239" t="s">
        <v>240</v>
      </c>
      <c r="E142" s="241" t="s">
        <v>243</v>
      </c>
      <c r="F142" s="236" t="s">
        <v>448</v>
      </c>
      <c r="G142" s="215" t="str">
        <f>$D$9 &amp; "-"&amp;测试大纲!I$22&amp;"-"&amp;TEXT(SUBTOTAL(103,$C$96:C142),"000")</f>
        <v>Web-LBWH-047</v>
      </c>
      <c r="H142" s="219" t="s">
        <v>337</v>
      </c>
      <c r="I142" s="219" t="s">
        <v>62</v>
      </c>
      <c r="J142" s="220" t="s">
        <v>901</v>
      </c>
      <c r="K142" s="215" t="s">
        <v>446</v>
      </c>
      <c r="L142" s="215" t="s">
        <v>885</v>
      </c>
      <c r="M142" s="215" t="s">
        <v>909</v>
      </c>
      <c r="N142" s="220" t="s">
        <v>918</v>
      </c>
      <c r="O142" s="214"/>
      <c r="P142" s="222"/>
      <c r="Q142" s="222"/>
      <c r="R142" s="223"/>
      <c r="S142" s="223"/>
      <c r="T142" s="222"/>
      <c r="U142" s="214"/>
      <c r="V142" s="222"/>
      <c r="W142" s="223"/>
      <c r="X142" s="222"/>
      <c r="Y142" s="214"/>
      <c r="Z142" s="222"/>
      <c r="AA142" s="223"/>
      <c r="AB142" s="222"/>
      <c r="AC142" s="214"/>
      <c r="AD142" s="222"/>
      <c r="AE142" s="222"/>
    </row>
    <row r="143" spans="1:31" ht="48">
      <c r="A143" s="23"/>
      <c r="B143" s="215">
        <f>SUBTOTAL(103,$C$11:C143)</f>
        <v>133</v>
      </c>
      <c r="C143" s="215">
        <f>测试大纲!$A$19</f>
        <v>4</v>
      </c>
      <c r="D143" s="239" t="s">
        <v>240</v>
      </c>
      <c r="E143" s="241" t="s">
        <v>243</v>
      </c>
      <c r="F143" s="236" t="s">
        <v>448</v>
      </c>
      <c r="G143" s="215" t="str">
        <f>$D$9 &amp; "-"&amp;测试大纲!I$22&amp;"-"&amp;TEXT(SUBTOTAL(103,$C$96:C143),"000")</f>
        <v>Web-LBWH-048</v>
      </c>
      <c r="H143" s="219" t="s">
        <v>337</v>
      </c>
      <c r="I143" s="219" t="s">
        <v>62</v>
      </c>
      <c r="J143" s="220" t="s">
        <v>903</v>
      </c>
      <c r="K143" s="215" t="s">
        <v>446</v>
      </c>
      <c r="L143" s="215" t="s">
        <v>885</v>
      </c>
      <c r="M143" s="215" t="s">
        <v>910</v>
      </c>
      <c r="N143" s="220" t="s">
        <v>918</v>
      </c>
      <c r="O143" s="214"/>
      <c r="P143" s="222"/>
      <c r="Q143" s="222"/>
      <c r="R143" s="223"/>
      <c r="S143" s="223"/>
      <c r="T143" s="222"/>
      <c r="U143" s="214"/>
      <c r="V143" s="222"/>
      <c r="W143" s="223"/>
      <c r="X143" s="222"/>
      <c r="Y143" s="214"/>
      <c r="Z143" s="222"/>
      <c r="AA143" s="223"/>
      <c r="AB143" s="222"/>
      <c r="AC143" s="214"/>
      <c r="AD143" s="222"/>
      <c r="AE143" s="222"/>
    </row>
    <row r="144" spans="1:31" ht="48">
      <c r="A144" s="23"/>
      <c r="B144" s="215">
        <f>SUBTOTAL(103,$C$11:C144)</f>
        <v>134</v>
      </c>
      <c r="C144" s="215">
        <f>测试大纲!$A$19</f>
        <v>4</v>
      </c>
      <c r="D144" s="239" t="s">
        <v>240</v>
      </c>
      <c r="E144" s="241" t="s">
        <v>243</v>
      </c>
      <c r="F144" s="236" t="s">
        <v>448</v>
      </c>
      <c r="G144" s="215" t="str">
        <f>$D$9 &amp; "-"&amp;测试大纲!I$22&amp;"-"&amp;TEXT(SUBTOTAL(103,$C$96:C144),"000")</f>
        <v>Web-LBWH-049</v>
      </c>
      <c r="H144" s="219" t="s">
        <v>337</v>
      </c>
      <c r="I144" s="219" t="s">
        <v>62</v>
      </c>
      <c r="J144" s="220" t="s">
        <v>904</v>
      </c>
      <c r="K144" s="215" t="s">
        <v>446</v>
      </c>
      <c r="L144" s="215" t="s">
        <v>885</v>
      </c>
      <c r="M144" s="215" t="s">
        <v>908</v>
      </c>
      <c r="N144" s="220" t="s">
        <v>918</v>
      </c>
      <c r="O144" s="214"/>
      <c r="P144" s="222"/>
      <c r="Q144" s="222"/>
      <c r="R144" s="223"/>
      <c r="S144" s="223"/>
      <c r="T144" s="222"/>
      <c r="U144" s="214"/>
      <c r="V144" s="222"/>
      <c r="W144" s="223"/>
      <c r="X144" s="222"/>
      <c r="Y144" s="214"/>
      <c r="Z144" s="222"/>
      <c r="AA144" s="223"/>
      <c r="AB144" s="222"/>
      <c r="AC144" s="214"/>
      <c r="AD144" s="222"/>
      <c r="AE144" s="222"/>
    </row>
    <row r="145" spans="1:31" ht="48">
      <c r="A145" s="23"/>
      <c r="B145" s="215">
        <f>SUBTOTAL(103,$C$11:C145)</f>
        <v>135</v>
      </c>
      <c r="C145" s="215">
        <f>测试大纲!$A$19</f>
        <v>4</v>
      </c>
      <c r="D145" s="239" t="s">
        <v>240</v>
      </c>
      <c r="E145" s="241" t="s">
        <v>243</v>
      </c>
      <c r="F145" s="236" t="s">
        <v>448</v>
      </c>
      <c r="G145" s="215" t="str">
        <f>$D$9 &amp; "-"&amp;测试大纲!I$22&amp;"-"&amp;TEXT(SUBTOTAL(103,$C$96:C145),"000")</f>
        <v>Web-LBWH-050</v>
      </c>
      <c r="H145" s="219" t="s">
        <v>340</v>
      </c>
      <c r="I145" s="244" t="s">
        <v>165</v>
      </c>
      <c r="J145" s="220" t="s">
        <v>905</v>
      </c>
      <c r="K145" s="215" t="s">
        <v>446</v>
      </c>
      <c r="L145" s="215" t="s">
        <v>885</v>
      </c>
      <c r="M145" s="215" t="s">
        <v>907</v>
      </c>
      <c r="N145" s="220" t="s">
        <v>304</v>
      </c>
      <c r="O145" s="214"/>
      <c r="P145" s="222"/>
      <c r="Q145" s="222"/>
      <c r="R145" s="223"/>
      <c r="S145" s="223"/>
      <c r="T145" s="222"/>
      <c r="U145" s="214"/>
      <c r="V145" s="222"/>
      <c r="W145" s="223"/>
      <c r="X145" s="222"/>
      <c r="Y145" s="214"/>
      <c r="Z145" s="222"/>
      <c r="AA145" s="223"/>
      <c r="AB145" s="222"/>
      <c r="AC145" s="214"/>
      <c r="AD145" s="222"/>
      <c r="AE145" s="222"/>
    </row>
    <row r="146" spans="1:31" ht="48">
      <c r="A146" s="23"/>
      <c r="B146" s="215">
        <f>SUBTOTAL(103,$C$11:C146)</f>
        <v>136</v>
      </c>
      <c r="C146" s="215">
        <f>测试大纲!$A$19</f>
        <v>4</v>
      </c>
      <c r="D146" s="239" t="s">
        <v>240</v>
      </c>
      <c r="E146" s="241" t="s">
        <v>243</v>
      </c>
      <c r="F146" s="236" t="s">
        <v>448</v>
      </c>
      <c r="G146" s="215" t="str">
        <f>$D$9 &amp; "-"&amp;测试大纲!I$22&amp;"-"&amp;TEXT(SUBTOTAL(103,$C$96:C146),"000")</f>
        <v>Web-LBWH-051</v>
      </c>
      <c r="H146" s="219" t="s">
        <v>340</v>
      </c>
      <c r="I146" s="219" t="s">
        <v>165</v>
      </c>
      <c r="J146" s="220" t="s">
        <v>902</v>
      </c>
      <c r="K146" s="215" t="s">
        <v>446</v>
      </c>
      <c r="L146" s="215" t="s">
        <v>885</v>
      </c>
      <c r="M146" s="215" t="s">
        <v>911</v>
      </c>
      <c r="N146" s="220" t="s">
        <v>304</v>
      </c>
      <c r="O146" s="214"/>
      <c r="P146" s="222"/>
      <c r="Q146" s="222"/>
      <c r="R146" s="223"/>
      <c r="S146" s="223"/>
      <c r="T146" s="222"/>
      <c r="U146" s="214"/>
      <c r="V146" s="222"/>
      <c r="W146" s="223"/>
      <c r="X146" s="222"/>
      <c r="Y146" s="214"/>
      <c r="Z146" s="222"/>
      <c r="AA146" s="223"/>
      <c r="AB146" s="222"/>
      <c r="AC146" s="214"/>
      <c r="AD146" s="222"/>
      <c r="AE146" s="222"/>
    </row>
    <row r="147" spans="1:31" ht="48">
      <c r="A147" s="23"/>
      <c r="B147" s="215">
        <f>SUBTOTAL(103,$C$11:C147)</f>
        <v>137</v>
      </c>
      <c r="C147" s="215">
        <f>测试大纲!$A$19</f>
        <v>4</v>
      </c>
      <c r="D147" s="239" t="s">
        <v>240</v>
      </c>
      <c r="E147" s="241" t="s">
        <v>243</v>
      </c>
      <c r="F147" s="236" t="s">
        <v>448</v>
      </c>
      <c r="G147" s="215" t="str">
        <f>$D$9 &amp; "-"&amp;测试大纲!I$22&amp;"-"&amp;TEXT(SUBTOTAL(103,$C$96:C147),"000")</f>
        <v>Web-LBWH-052</v>
      </c>
      <c r="H147" s="219" t="s">
        <v>340</v>
      </c>
      <c r="I147" s="219" t="s">
        <v>165</v>
      </c>
      <c r="J147" s="220" t="s">
        <v>906</v>
      </c>
      <c r="K147" s="215" t="s">
        <v>446</v>
      </c>
      <c r="L147" s="215" t="s">
        <v>885</v>
      </c>
      <c r="M147" s="215" t="s">
        <v>912</v>
      </c>
      <c r="N147" s="220" t="s">
        <v>304</v>
      </c>
      <c r="O147" s="214"/>
      <c r="P147" s="222"/>
      <c r="Q147" s="222"/>
      <c r="R147" s="223"/>
      <c r="S147" s="223"/>
      <c r="T147" s="222"/>
      <c r="U147" s="214"/>
      <c r="V147" s="222"/>
      <c r="W147" s="223"/>
      <c r="X147" s="222"/>
      <c r="Y147" s="214"/>
      <c r="Z147" s="222"/>
      <c r="AA147" s="223"/>
      <c r="AB147" s="222"/>
      <c r="AC147" s="214"/>
      <c r="AD147" s="222"/>
      <c r="AE147" s="222"/>
    </row>
    <row r="148" spans="1:31" ht="132">
      <c r="A148" s="23"/>
      <c r="B148" s="215">
        <f>SUBTOTAL(103,$C$11:C148)</f>
        <v>138</v>
      </c>
      <c r="C148" s="215">
        <f>测试大纲!$A$19</f>
        <v>4</v>
      </c>
      <c r="D148" s="239" t="s">
        <v>240</v>
      </c>
      <c r="E148" s="241" t="s">
        <v>244</v>
      </c>
      <c r="F148" s="215"/>
      <c r="G148" s="215" t="str">
        <f>$D$9 &amp;"-"&amp;测试大纲!I$23&amp;"-"&amp;TEXT(SUBTOTAL(103,$C$148:C148),"000")</f>
        <v>Web-SBTJ-001</v>
      </c>
      <c r="H148" s="219" t="s">
        <v>337</v>
      </c>
      <c r="I148" s="219" t="s">
        <v>62</v>
      </c>
      <c r="J148" s="220" t="s">
        <v>726</v>
      </c>
      <c r="K148" s="226" t="s">
        <v>348</v>
      </c>
      <c r="L148" s="221"/>
      <c r="M148" s="215"/>
      <c r="N148" s="221" t="s">
        <v>754</v>
      </c>
      <c r="O148" s="214"/>
      <c r="P148" s="222"/>
      <c r="Q148" s="222"/>
      <c r="R148" s="223"/>
      <c r="S148" s="223"/>
      <c r="T148" s="222"/>
      <c r="U148" s="214"/>
      <c r="V148" s="222"/>
      <c r="W148" s="223"/>
      <c r="X148" s="222"/>
      <c r="Y148" s="214"/>
      <c r="Z148" s="222"/>
      <c r="AA148" s="223"/>
      <c r="AB148" s="222"/>
      <c r="AC148" s="214"/>
      <c r="AD148" s="222"/>
      <c r="AE148" s="222"/>
    </row>
    <row r="149" spans="1:31" ht="36">
      <c r="A149" s="23"/>
      <c r="B149" s="215">
        <f>SUBTOTAL(103,$C$11:C149)</f>
        <v>139</v>
      </c>
      <c r="C149" s="215">
        <f>测试大纲!$A$19</f>
        <v>4</v>
      </c>
      <c r="D149" s="239" t="s">
        <v>240</v>
      </c>
      <c r="E149" s="241" t="s">
        <v>244</v>
      </c>
      <c r="F149" s="215"/>
      <c r="G149" s="215" t="str">
        <f>$D$9 &amp;"-"&amp;测试大纲!I$23&amp;"-"&amp;TEXT(SUBTOTAL(103,$C$148:C149),"000")</f>
        <v>Web-SBTJ-002</v>
      </c>
      <c r="H149" s="219" t="s">
        <v>337</v>
      </c>
      <c r="I149" s="219" t="s">
        <v>62</v>
      </c>
      <c r="J149" s="220" t="s">
        <v>727</v>
      </c>
      <c r="K149" s="226" t="s">
        <v>348</v>
      </c>
      <c r="L149" s="215"/>
      <c r="M149" s="215"/>
      <c r="N149" s="220" t="s">
        <v>520</v>
      </c>
      <c r="O149" s="214"/>
      <c r="P149" s="222"/>
      <c r="Q149" s="222"/>
      <c r="R149" s="223"/>
      <c r="S149" s="223"/>
      <c r="T149" s="222"/>
      <c r="U149" s="214"/>
      <c r="V149" s="222"/>
      <c r="W149" s="223"/>
      <c r="X149" s="222"/>
      <c r="Y149" s="214"/>
      <c r="Z149" s="222"/>
      <c r="AA149" s="223"/>
      <c r="AB149" s="222"/>
      <c r="AC149" s="214"/>
      <c r="AD149" s="222"/>
      <c r="AE149" s="222"/>
    </row>
    <row r="150" spans="1:31" ht="36">
      <c r="A150" s="23"/>
      <c r="B150" s="215">
        <f>SUBTOTAL(103,$C$11:C150)</f>
        <v>140</v>
      </c>
      <c r="C150" s="215">
        <f>测试大纲!$A$19</f>
        <v>4</v>
      </c>
      <c r="D150" s="239" t="s">
        <v>240</v>
      </c>
      <c r="E150" s="241" t="s">
        <v>244</v>
      </c>
      <c r="F150" s="215"/>
      <c r="G150" s="215" t="str">
        <f>$D$9 &amp;"-"&amp;测试大纲!I$23&amp;"-"&amp;TEXT(SUBTOTAL(103,$C$148:C150),"000")</f>
        <v>Web-SBTJ-003</v>
      </c>
      <c r="H150" s="219" t="s">
        <v>337</v>
      </c>
      <c r="I150" s="219" t="s">
        <v>62</v>
      </c>
      <c r="J150" s="220" t="s">
        <v>741</v>
      </c>
      <c r="K150" s="226" t="s">
        <v>348</v>
      </c>
      <c r="L150" s="215" t="s">
        <v>472</v>
      </c>
      <c r="M150" s="215"/>
      <c r="N150" s="220" t="s">
        <v>811</v>
      </c>
      <c r="O150" s="214"/>
      <c r="P150" s="222"/>
      <c r="Q150" s="222"/>
      <c r="R150" s="223"/>
      <c r="S150" s="223"/>
      <c r="T150" s="222"/>
      <c r="U150" s="214"/>
      <c r="V150" s="222"/>
      <c r="W150" s="223"/>
      <c r="X150" s="222"/>
      <c r="Y150" s="214"/>
      <c r="Z150" s="222"/>
      <c r="AA150" s="223"/>
      <c r="AB150" s="222"/>
      <c r="AC150" s="214"/>
      <c r="AD150" s="222"/>
      <c r="AE150" s="222"/>
    </row>
    <row r="151" spans="1:31" ht="36">
      <c r="A151" s="23"/>
      <c r="B151" s="215">
        <f>SUBTOTAL(103,$C$11:C151)</f>
        <v>141</v>
      </c>
      <c r="C151" s="215">
        <f>测试大纲!$A$19</f>
        <v>4</v>
      </c>
      <c r="D151" s="239" t="s">
        <v>240</v>
      </c>
      <c r="E151" s="241" t="s">
        <v>244</v>
      </c>
      <c r="F151" s="236"/>
      <c r="G151" s="215" t="str">
        <f>$D$9 &amp;"-"&amp;测试大纲!I$23&amp;"-"&amp;TEXT(SUBTOTAL(103,$C$148:C151),"000")</f>
        <v>Web-SBTJ-004</v>
      </c>
      <c r="H151" s="219" t="s">
        <v>337</v>
      </c>
      <c r="I151" s="219" t="s">
        <v>62</v>
      </c>
      <c r="J151" s="220" t="s">
        <v>305</v>
      </c>
      <c r="K151" s="226" t="s">
        <v>348</v>
      </c>
      <c r="L151" s="215" t="s">
        <v>812</v>
      </c>
      <c r="M151" s="225" t="s">
        <v>420</v>
      </c>
      <c r="N151" s="220" t="s">
        <v>309</v>
      </c>
      <c r="O151" s="214"/>
      <c r="P151" s="222"/>
      <c r="Q151" s="222"/>
      <c r="R151" s="223"/>
      <c r="S151" s="223"/>
      <c r="T151" s="222"/>
      <c r="U151" s="214"/>
      <c r="V151" s="222"/>
      <c r="W151" s="223"/>
      <c r="X151" s="222"/>
      <c r="Y151" s="214"/>
      <c r="Z151" s="222"/>
      <c r="AA151" s="223"/>
      <c r="AB151" s="222"/>
      <c r="AC151" s="214"/>
      <c r="AD151" s="222"/>
      <c r="AE151" s="222"/>
    </row>
    <row r="152" spans="1:31" ht="36">
      <c r="A152" s="23"/>
      <c r="B152" s="215">
        <f>SUBTOTAL(103,$C$11:C152)</f>
        <v>142</v>
      </c>
      <c r="C152" s="215">
        <f>测试大纲!$A$19</f>
        <v>4</v>
      </c>
      <c r="D152" s="239" t="s">
        <v>240</v>
      </c>
      <c r="E152" s="241" t="s">
        <v>244</v>
      </c>
      <c r="F152" s="236"/>
      <c r="G152" s="215" t="str">
        <f>$D$9 &amp;"-"&amp;测试大纲!I$23&amp;"-"&amp;TEXT(SUBTOTAL(103,$C$148:C152),"000")</f>
        <v>Web-SBTJ-005</v>
      </c>
      <c r="H152" s="219" t="s">
        <v>337</v>
      </c>
      <c r="I152" s="219" t="s">
        <v>62</v>
      </c>
      <c r="J152" s="220" t="s">
        <v>189</v>
      </c>
      <c r="K152" s="226" t="s">
        <v>348</v>
      </c>
      <c r="L152" s="228" t="s">
        <v>190</v>
      </c>
      <c r="M152" s="225" t="s">
        <v>423</v>
      </c>
      <c r="N152" s="220" t="s">
        <v>310</v>
      </c>
      <c r="O152" s="214"/>
      <c r="P152" s="222"/>
      <c r="Q152" s="222"/>
      <c r="R152" s="223"/>
      <c r="S152" s="223"/>
      <c r="T152" s="222"/>
      <c r="U152" s="214"/>
      <c r="V152" s="222"/>
      <c r="W152" s="223"/>
      <c r="X152" s="222"/>
      <c r="Y152" s="214"/>
      <c r="Z152" s="222"/>
      <c r="AA152" s="223"/>
      <c r="AB152" s="222"/>
      <c r="AC152" s="214"/>
      <c r="AD152" s="222"/>
      <c r="AE152" s="222"/>
    </row>
    <row r="153" spans="1:31" ht="36">
      <c r="A153" s="23"/>
      <c r="B153" s="215">
        <f>SUBTOTAL(103,$C$11:C153)</f>
        <v>143</v>
      </c>
      <c r="C153" s="215">
        <f>测试大纲!$A$19</f>
        <v>4</v>
      </c>
      <c r="D153" s="239" t="s">
        <v>240</v>
      </c>
      <c r="E153" s="241" t="s">
        <v>244</v>
      </c>
      <c r="F153" s="236"/>
      <c r="G153" s="215" t="str">
        <f>$D$9 &amp;"-"&amp;测试大纲!I$23&amp;"-"&amp;TEXT(SUBTOTAL(103,$C$148:C153),"000")</f>
        <v>Web-SBTJ-006</v>
      </c>
      <c r="H153" s="219" t="s">
        <v>337</v>
      </c>
      <c r="I153" s="219" t="s">
        <v>62</v>
      </c>
      <c r="J153" s="220" t="s">
        <v>160</v>
      </c>
      <c r="K153" s="226" t="s">
        <v>348</v>
      </c>
      <c r="L153" s="241" t="s">
        <v>311</v>
      </c>
      <c r="M153" s="225" t="s">
        <v>421</v>
      </c>
      <c r="N153" s="220" t="s">
        <v>312</v>
      </c>
      <c r="O153" s="214"/>
      <c r="P153" s="222"/>
      <c r="Q153" s="222"/>
      <c r="R153" s="223"/>
      <c r="S153" s="223"/>
      <c r="T153" s="222"/>
      <c r="U153" s="214"/>
      <c r="V153" s="222"/>
      <c r="W153" s="223"/>
      <c r="X153" s="222"/>
      <c r="Y153" s="214"/>
      <c r="Z153" s="222"/>
      <c r="AA153" s="223"/>
      <c r="AB153" s="222"/>
      <c r="AC153" s="214"/>
      <c r="AD153" s="222"/>
      <c r="AE153" s="222"/>
    </row>
    <row r="154" spans="1:31" ht="36">
      <c r="A154" s="23"/>
      <c r="B154" s="215">
        <f>SUBTOTAL(103,$C$11:C154)</f>
        <v>144</v>
      </c>
      <c r="C154" s="215">
        <f>测试大纲!$A$19</f>
        <v>4</v>
      </c>
      <c r="D154" s="239" t="s">
        <v>240</v>
      </c>
      <c r="E154" s="241" t="s">
        <v>244</v>
      </c>
      <c r="F154" s="236"/>
      <c r="G154" s="215" t="str">
        <f>$D$9 &amp;"-"&amp;测试大纲!I$23&amp;"-"&amp;TEXT(SUBTOTAL(103,$C$148:C154),"000")</f>
        <v>Web-SBTJ-007</v>
      </c>
      <c r="H154" s="219" t="s">
        <v>338</v>
      </c>
      <c r="I154" s="219" t="s">
        <v>165</v>
      </c>
      <c r="J154" s="220" t="s">
        <v>573</v>
      </c>
      <c r="K154" s="226" t="s">
        <v>348</v>
      </c>
      <c r="L154" s="241" t="s">
        <v>221</v>
      </c>
      <c r="M154" s="225" t="s">
        <v>419</v>
      </c>
      <c r="N154" s="220" t="s">
        <v>197</v>
      </c>
      <c r="O154" s="214"/>
      <c r="P154" s="222"/>
      <c r="Q154" s="222"/>
      <c r="R154" s="223"/>
      <c r="S154" s="223"/>
      <c r="T154" s="222"/>
      <c r="U154" s="214"/>
      <c r="V154" s="222"/>
      <c r="W154" s="223"/>
      <c r="X154" s="222"/>
      <c r="Y154" s="214"/>
      <c r="Z154" s="222"/>
      <c r="AA154" s="223"/>
      <c r="AB154" s="222"/>
      <c r="AC154" s="214"/>
      <c r="AD154" s="222"/>
      <c r="AE154" s="222"/>
    </row>
    <row r="155" spans="1:31" ht="36">
      <c r="A155" s="23"/>
      <c r="B155" s="215">
        <f>SUBTOTAL(103,$C$11:C155)</f>
        <v>145</v>
      </c>
      <c r="C155" s="215">
        <f>测试大纲!$A$19</f>
        <v>4</v>
      </c>
      <c r="D155" s="239" t="s">
        <v>240</v>
      </c>
      <c r="E155" s="241" t="s">
        <v>244</v>
      </c>
      <c r="F155" s="236"/>
      <c r="G155" s="215" t="str">
        <f>$D$9 &amp;"-"&amp;测试大纲!I$23&amp;"-"&amp;TEXT(SUBTOTAL(103,$C$148:C155),"000")</f>
        <v>Web-SBTJ-008</v>
      </c>
      <c r="H155" s="219" t="s">
        <v>340</v>
      </c>
      <c r="I155" s="219" t="s">
        <v>165</v>
      </c>
      <c r="J155" s="220" t="s">
        <v>313</v>
      </c>
      <c r="K155" s="226" t="s">
        <v>348</v>
      </c>
      <c r="L155" s="227" t="s">
        <v>226</v>
      </c>
      <c r="M155" s="225" t="s">
        <v>422</v>
      </c>
      <c r="N155" s="220" t="s">
        <v>198</v>
      </c>
      <c r="O155" s="214"/>
      <c r="P155" s="222"/>
      <c r="Q155" s="222"/>
      <c r="R155" s="223"/>
      <c r="S155" s="223"/>
      <c r="T155" s="222"/>
      <c r="U155" s="214"/>
      <c r="V155" s="222"/>
      <c r="W155" s="223"/>
      <c r="X155" s="222"/>
      <c r="Y155" s="214"/>
      <c r="Z155" s="222"/>
      <c r="AA155" s="223"/>
      <c r="AB155" s="222"/>
      <c r="AC155" s="214"/>
      <c r="AD155" s="222"/>
      <c r="AE155" s="222"/>
    </row>
    <row r="156" spans="1:31" ht="48">
      <c r="A156" s="23"/>
      <c r="B156" s="215">
        <f>SUBTOTAL(103,$C$11:C156)</f>
        <v>146</v>
      </c>
      <c r="C156" s="215">
        <f>测试大纲!$A$19</f>
        <v>4</v>
      </c>
      <c r="D156" s="239" t="s">
        <v>240</v>
      </c>
      <c r="E156" s="241" t="s">
        <v>244</v>
      </c>
      <c r="F156" s="236"/>
      <c r="G156" s="215" t="str">
        <f>$D$9 &amp;"-"&amp;测试大纲!I$23&amp;"-"&amp;TEXT(SUBTOTAL(103,$C$148:C156),"000")</f>
        <v>Web-SBTJ-009</v>
      </c>
      <c r="H156" s="219" t="s">
        <v>337</v>
      </c>
      <c r="I156" s="219" t="s">
        <v>62</v>
      </c>
      <c r="J156" s="220" t="s">
        <v>163</v>
      </c>
      <c r="K156" s="226" t="s">
        <v>348</v>
      </c>
      <c r="L156" s="241" t="s">
        <v>315</v>
      </c>
      <c r="M156" s="215" t="s">
        <v>815</v>
      </c>
      <c r="N156" s="220" t="s">
        <v>199</v>
      </c>
      <c r="O156" s="214"/>
      <c r="P156" s="222"/>
      <c r="Q156" s="222"/>
      <c r="R156" s="223"/>
      <c r="S156" s="223"/>
      <c r="T156" s="222"/>
      <c r="U156" s="214"/>
      <c r="V156" s="222"/>
      <c r="W156" s="223"/>
      <c r="X156" s="222"/>
      <c r="Y156" s="214"/>
      <c r="Z156" s="222"/>
      <c r="AA156" s="223"/>
      <c r="AB156" s="222"/>
      <c r="AC156" s="214"/>
      <c r="AD156" s="222"/>
      <c r="AE156" s="222"/>
    </row>
    <row r="157" spans="1:31" ht="48">
      <c r="A157" s="23"/>
      <c r="B157" s="215">
        <f>SUBTOTAL(103,$C$11:C157)</f>
        <v>147</v>
      </c>
      <c r="C157" s="215">
        <f>测试大纲!$A$19</f>
        <v>4</v>
      </c>
      <c r="D157" s="239" t="s">
        <v>240</v>
      </c>
      <c r="E157" s="241" t="s">
        <v>244</v>
      </c>
      <c r="F157" s="236"/>
      <c r="G157" s="215" t="str">
        <f>$D$9 &amp;"-"&amp;测试大纲!I$23&amp;"-"&amp;TEXT(SUBTOTAL(103,$C$148:C157),"000")</f>
        <v>Web-SBTJ-010</v>
      </c>
      <c r="H157" s="219" t="s">
        <v>337</v>
      </c>
      <c r="I157" s="219" t="s">
        <v>165</v>
      </c>
      <c r="J157" s="220" t="s">
        <v>813</v>
      </c>
      <c r="K157" s="226" t="s">
        <v>348</v>
      </c>
      <c r="L157" s="241" t="s">
        <v>315</v>
      </c>
      <c r="M157" s="215" t="s">
        <v>816</v>
      </c>
      <c r="N157" s="220" t="s">
        <v>314</v>
      </c>
      <c r="O157" s="214"/>
      <c r="P157" s="222"/>
      <c r="Q157" s="222"/>
      <c r="R157" s="223"/>
      <c r="S157" s="223"/>
      <c r="T157" s="222"/>
      <c r="U157" s="214"/>
      <c r="V157" s="222"/>
      <c r="W157" s="223"/>
      <c r="X157" s="222"/>
      <c r="Y157" s="214"/>
      <c r="Z157" s="222"/>
      <c r="AA157" s="223"/>
      <c r="AB157" s="222"/>
      <c r="AC157" s="214"/>
      <c r="AD157" s="222"/>
      <c r="AE157" s="222"/>
    </row>
    <row r="158" spans="1:31" ht="48">
      <c r="A158" s="23"/>
      <c r="B158" s="215">
        <f>SUBTOTAL(103,$C$11:C158)</f>
        <v>148</v>
      </c>
      <c r="C158" s="215">
        <f>测试大纲!$A$19</f>
        <v>4</v>
      </c>
      <c r="D158" s="239" t="s">
        <v>240</v>
      </c>
      <c r="E158" s="241" t="s">
        <v>244</v>
      </c>
      <c r="F158" s="236"/>
      <c r="G158" s="215" t="str">
        <f>$D$9 &amp;"-"&amp;测试大纲!I$23&amp;"-"&amp;TEXT(SUBTOTAL(103,$C$148:C158),"000")</f>
        <v>Web-SBTJ-011</v>
      </c>
      <c r="H158" s="219" t="s">
        <v>337</v>
      </c>
      <c r="I158" s="219" t="s">
        <v>165</v>
      </c>
      <c r="J158" s="220" t="s">
        <v>814</v>
      </c>
      <c r="K158" s="226" t="s">
        <v>348</v>
      </c>
      <c r="L158" s="241" t="s">
        <v>315</v>
      </c>
      <c r="M158" s="215" t="s">
        <v>817</v>
      </c>
      <c r="N158" s="220" t="s">
        <v>312</v>
      </c>
      <c r="O158" s="214"/>
      <c r="P158" s="222"/>
      <c r="Q158" s="222"/>
      <c r="R158" s="223"/>
      <c r="S158" s="223"/>
      <c r="T158" s="222"/>
      <c r="U158" s="214"/>
      <c r="V158" s="222"/>
      <c r="W158" s="223"/>
      <c r="X158" s="222"/>
      <c r="Y158" s="214"/>
      <c r="Z158" s="222"/>
      <c r="AA158" s="223"/>
      <c r="AB158" s="222"/>
      <c r="AC158" s="214"/>
      <c r="AD158" s="222"/>
      <c r="AE158" s="222"/>
    </row>
    <row r="159" spans="1:31" ht="48">
      <c r="A159" s="23"/>
      <c r="B159" s="215">
        <f>SUBTOTAL(103,$C$11:C159)</f>
        <v>149</v>
      </c>
      <c r="C159" s="215">
        <f>测试大纲!$A$19</f>
        <v>4</v>
      </c>
      <c r="D159" s="239" t="s">
        <v>240</v>
      </c>
      <c r="E159" s="241" t="s">
        <v>244</v>
      </c>
      <c r="F159" s="236"/>
      <c r="G159" s="215" t="str">
        <f>$D$9 &amp;"-"&amp;测试大纲!I$23&amp;"-"&amp;TEXT(SUBTOTAL(103,$C$148:C159),"000")</f>
        <v>Web-SBTJ-012</v>
      </c>
      <c r="H159" s="219" t="s">
        <v>337</v>
      </c>
      <c r="I159" s="219" t="s">
        <v>165</v>
      </c>
      <c r="J159" s="220" t="s">
        <v>765</v>
      </c>
      <c r="K159" s="226" t="s">
        <v>348</v>
      </c>
      <c r="L159" s="241" t="s">
        <v>315</v>
      </c>
      <c r="M159" s="215" t="s">
        <v>818</v>
      </c>
      <c r="N159" s="220" t="s">
        <v>312</v>
      </c>
      <c r="O159" s="214"/>
      <c r="P159" s="222"/>
      <c r="Q159" s="222"/>
      <c r="R159" s="223"/>
      <c r="S159" s="223"/>
      <c r="T159" s="222"/>
      <c r="U159" s="214"/>
      <c r="V159" s="222"/>
      <c r="W159" s="223"/>
      <c r="X159" s="222"/>
      <c r="Y159" s="214"/>
      <c r="Z159" s="222"/>
      <c r="AA159" s="223"/>
      <c r="AB159" s="222"/>
      <c r="AC159" s="214"/>
      <c r="AD159" s="222"/>
      <c r="AE159" s="222"/>
    </row>
    <row r="160" spans="1:31" ht="48">
      <c r="A160" s="23"/>
      <c r="B160" s="215">
        <f>SUBTOTAL(103,$C$11:C160)</f>
        <v>150</v>
      </c>
      <c r="C160" s="215">
        <f>测试大纲!$A$19</f>
        <v>4</v>
      </c>
      <c r="D160" s="239" t="s">
        <v>240</v>
      </c>
      <c r="E160" s="241" t="s">
        <v>244</v>
      </c>
      <c r="F160" s="236"/>
      <c r="G160" s="215" t="str">
        <f>$D$9 &amp;"-"&amp;测试大纲!I$23&amp;"-"&amp;TEXT(SUBTOTAL(103,$C$148:C160),"000")</f>
        <v>Web-SBTJ-013</v>
      </c>
      <c r="H160" s="219" t="s">
        <v>337</v>
      </c>
      <c r="I160" s="219" t="s">
        <v>62</v>
      </c>
      <c r="J160" s="220" t="s">
        <v>170</v>
      </c>
      <c r="K160" s="215" t="s">
        <v>819</v>
      </c>
      <c r="L160" s="225" t="s">
        <v>424</v>
      </c>
      <c r="M160" s="218">
        <v>3</v>
      </c>
      <c r="N160" s="220" t="s">
        <v>176</v>
      </c>
      <c r="O160" s="214"/>
      <c r="P160" s="222"/>
      <c r="Q160" s="222"/>
      <c r="R160" s="223"/>
      <c r="S160" s="223"/>
      <c r="T160" s="222"/>
      <c r="U160" s="214"/>
      <c r="V160" s="222"/>
      <c r="W160" s="223"/>
      <c r="X160" s="222"/>
      <c r="Y160" s="214"/>
      <c r="Z160" s="222"/>
      <c r="AA160" s="223"/>
      <c r="AB160" s="222"/>
      <c r="AC160" s="214"/>
      <c r="AD160" s="222"/>
      <c r="AE160" s="222"/>
    </row>
    <row r="161" spans="1:31" ht="48">
      <c r="A161" s="23"/>
      <c r="B161" s="215">
        <f>SUBTOTAL(103,$C$11:C161)</f>
        <v>151</v>
      </c>
      <c r="C161" s="215">
        <f>测试大纲!$A$19</f>
        <v>4</v>
      </c>
      <c r="D161" s="239" t="s">
        <v>240</v>
      </c>
      <c r="E161" s="241" t="s">
        <v>244</v>
      </c>
      <c r="F161" s="236"/>
      <c r="G161" s="215" t="str">
        <f>$D$9 &amp;"-"&amp;测试大纲!I$23&amp;"-"&amp;TEXT(SUBTOTAL(103,$C$148:C161),"000")</f>
        <v>Web-SBTJ-014</v>
      </c>
      <c r="H161" s="219" t="s">
        <v>337</v>
      </c>
      <c r="I161" s="219" t="s">
        <v>62</v>
      </c>
      <c r="J161" s="220" t="s">
        <v>169</v>
      </c>
      <c r="K161" s="215" t="s">
        <v>819</v>
      </c>
      <c r="L161" s="230" t="s">
        <v>171</v>
      </c>
      <c r="M161" s="230">
        <v>3</v>
      </c>
      <c r="N161" s="220" t="s">
        <v>176</v>
      </c>
      <c r="O161" s="214"/>
      <c r="P161" s="222"/>
      <c r="Q161" s="222"/>
      <c r="R161" s="223"/>
      <c r="S161" s="223"/>
      <c r="T161" s="222"/>
      <c r="U161" s="214"/>
      <c r="V161" s="222"/>
      <c r="W161" s="223"/>
      <c r="X161" s="222"/>
      <c r="Y161" s="214"/>
      <c r="Z161" s="222"/>
      <c r="AA161" s="223"/>
      <c r="AB161" s="222"/>
      <c r="AC161" s="214"/>
      <c r="AD161" s="222"/>
      <c r="AE161" s="222"/>
    </row>
    <row r="162" spans="1:31" ht="48">
      <c r="A162" s="23"/>
      <c r="B162" s="215">
        <f>SUBTOTAL(103,$C$11:C162)</f>
        <v>152</v>
      </c>
      <c r="C162" s="215">
        <f>测试大纲!$A$19</f>
        <v>4</v>
      </c>
      <c r="D162" s="239" t="s">
        <v>240</v>
      </c>
      <c r="E162" s="241" t="s">
        <v>244</v>
      </c>
      <c r="F162" s="236"/>
      <c r="G162" s="215" t="str">
        <f>$D$9 &amp;"-"&amp;测试大纲!I$23&amp;"-"&amp;TEXT(SUBTOTAL(103,$C$148:C162),"000")</f>
        <v>Web-SBTJ-015</v>
      </c>
      <c r="H162" s="219" t="s">
        <v>337</v>
      </c>
      <c r="I162" s="219" t="s">
        <v>62</v>
      </c>
      <c r="J162" s="220" t="s">
        <v>172</v>
      </c>
      <c r="K162" s="215" t="s">
        <v>819</v>
      </c>
      <c r="L162" s="225" t="s">
        <v>416</v>
      </c>
      <c r="M162" s="230"/>
      <c r="N162" s="220" t="s">
        <v>177</v>
      </c>
      <c r="O162" s="214"/>
      <c r="P162" s="222"/>
      <c r="Q162" s="222"/>
      <c r="R162" s="223"/>
      <c r="S162" s="223"/>
      <c r="T162" s="222"/>
      <c r="U162" s="214"/>
      <c r="V162" s="222"/>
      <c r="W162" s="223"/>
      <c r="X162" s="222"/>
      <c r="Y162" s="214"/>
      <c r="Z162" s="222"/>
      <c r="AA162" s="223"/>
      <c r="AB162" s="222"/>
      <c r="AC162" s="214"/>
      <c r="AD162" s="222"/>
      <c r="AE162" s="222"/>
    </row>
    <row r="163" spans="1:31" ht="48">
      <c r="A163" s="23"/>
      <c r="B163" s="215">
        <f>SUBTOTAL(103,$C$11:C163)</f>
        <v>153</v>
      </c>
      <c r="C163" s="215">
        <f>测试大纲!$A$19</f>
        <v>4</v>
      </c>
      <c r="D163" s="239" t="s">
        <v>240</v>
      </c>
      <c r="E163" s="241" t="s">
        <v>244</v>
      </c>
      <c r="F163" s="236"/>
      <c r="G163" s="215" t="str">
        <f>$D$9 &amp;"-"&amp;测试大纲!I$23&amp;"-"&amp;TEXT(SUBTOTAL(103,$C$148:C163),"000")</f>
        <v>Web-SBTJ-016</v>
      </c>
      <c r="H163" s="219" t="s">
        <v>337</v>
      </c>
      <c r="I163" s="219" t="s">
        <v>62</v>
      </c>
      <c r="J163" s="220" t="s">
        <v>174</v>
      </c>
      <c r="K163" s="215" t="s">
        <v>819</v>
      </c>
      <c r="L163" s="225" t="s">
        <v>415</v>
      </c>
      <c r="M163" s="230"/>
      <c r="N163" s="220" t="s">
        <v>178</v>
      </c>
      <c r="O163" s="214"/>
      <c r="P163" s="222"/>
      <c r="Q163" s="222"/>
      <c r="R163" s="223"/>
      <c r="S163" s="223"/>
      <c r="T163" s="222"/>
      <c r="U163" s="214"/>
      <c r="V163" s="222"/>
      <c r="W163" s="223"/>
      <c r="X163" s="222"/>
      <c r="Y163" s="214"/>
      <c r="Z163" s="222"/>
      <c r="AA163" s="223"/>
      <c r="AB163" s="222"/>
      <c r="AC163" s="214"/>
      <c r="AD163" s="222"/>
      <c r="AE163" s="222"/>
    </row>
    <row r="164" spans="1:31" ht="48">
      <c r="A164" s="23"/>
      <c r="B164" s="215">
        <f>SUBTOTAL(103,$C$11:C164)</f>
        <v>154</v>
      </c>
      <c r="C164" s="215">
        <f>测试大纲!$A$19</f>
        <v>4</v>
      </c>
      <c r="D164" s="239" t="s">
        <v>240</v>
      </c>
      <c r="E164" s="241" t="s">
        <v>244</v>
      </c>
      <c r="F164" s="236"/>
      <c r="G164" s="215" t="str">
        <f>$D$9 &amp;"-"&amp;测试大纲!I$23&amp;"-"&amp;TEXT(SUBTOTAL(103,$C$148:C164),"000")</f>
        <v>Web-SBTJ-017</v>
      </c>
      <c r="H164" s="219" t="s">
        <v>337</v>
      </c>
      <c r="I164" s="219" t="s">
        <v>165</v>
      </c>
      <c r="J164" s="220" t="s">
        <v>881</v>
      </c>
      <c r="K164" s="215" t="s">
        <v>819</v>
      </c>
      <c r="L164" s="230" t="s">
        <v>171</v>
      </c>
      <c r="M164" s="231">
        <v>0</v>
      </c>
      <c r="N164" s="220" t="s">
        <v>210</v>
      </c>
      <c r="O164" s="214"/>
      <c r="P164" s="222"/>
      <c r="Q164" s="222"/>
      <c r="R164" s="223"/>
      <c r="S164" s="223"/>
      <c r="T164" s="222"/>
      <c r="U164" s="214"/>
      <c r="V164" s="222"/>
      <c r="W164" s="223"/>
      <c r="X164" s="222"/>
      <c r="Y164" s="214"/>
      <c r="Z164" s="222"/>
      <c r="AA164" s="223"/>
      <c r="AB164" s="222"/>
      <c r="AC164" s="214"/>
      <c r="AD164" s="222"/>
      <c r="AE164" s="222"/>
    </row>
    <row r="165" spans="1:31" ht="48">
      <c r="A165" s="23"/>
      <c r="B165" s="215">
        <f>SUBTOTAL(103,$C$11:C165)</f>
        <v>155</v>
      </c>
      <c r="C165" s="215">
        <f>测试大纲!$A$19</f>
        <v>4</v>
      </c>
      <c r="D165" s="239" t="s">
        <v>240</v>
      </c>
      <c r="E165" s="241" t="s">
        <v>244</v>
      </c>
      <c r="F165" s="218"/>
      <c r="G165" s="215" t="str">
        <f>$D$9 &amp;"-"&amp;测试大纲!I$23&amp;"-"&amp;TEXT(SUBTOTAL(103,$C$148:C165),"000")</f>
        <v>Web-SBTJ-018</v>
      </c>
      <c r="H165" s="219" t="s">
        <v>337</v>
      </c>
      <c r="I165" s="219" t="s">
        <v>62</v>
      </c>
      <c r="J165" s="220" t="s">
        <v>432</v>
      </c>
      <c r="K165" s="215" t="s">
        <v>819</v>
      </c>
      <c r="L165" s="230"/>
      <c r="M165" s="231"/>
      <c r="N165" s="220" t="s">
        <v>433</v>
      </c>
      <c r="O165" s="214"/>
      <c r="P165" s="222"/>
      <c r="Q165" s="222"/>
      <c r="R165" s="223"/>
      <c r="S165" s="223"/>
      <c r="T165" s="222"/>
      <c r="U165" s="214"/>
      <c r="V165" s="222"/>
      <c r="W165" s="223"/>
      <c r="X165" s="222"/>
      <c r="Y165" s="214"/>
      <c r="Z165" s="222"/>
      <c r="AA165" s="223"/>
      <c r="AB165" s="222"/>
      <c r="AC165" s="214"/>
      <c r="AD165" s="222"/>
      <c r="AE165" s="222"/>
    </row>
    <row r="166" spans="1:31" ht="48">
      <c r="A166" s="23"/>
      <c r="B166" s="215">
        <f>SUBTOTAL(103,$C$11:C166)</f>
        <v>156</v>
      </c>
      <c r="C166" s="215">
        <f>测试大纲!$A$19</f>
        <v>4</v>
      </c>
      <c r="D166" s="239" t="s">
        <v>240</v>
      </c>
      <c r="E166" s="241" t="s">
        <v>244</v>
      </c>
      <c r="F166" s="218"/>
      <c r="G166" s="215" t="str">
        <f>$D$9 &amp;"-"&amp;测试大纲!I$23&amp;"-"&amp;TEXT(SUBTOTAL(103,$C$148:C166),"000")</f>
        <v>Web-SBTJ-019</v>
      </c>
      <c r="H166" s="219" t="s">
        <v>337</v>
      </c>
      <c r="I166" s="219" t="s">
        <v>62</v>
      </c>
      <c r="J166" s="220" t="s">
        <v>434</v>
      </c>
      <c r="K166" s="215" t="s">
        <v>819</v>
      </c>
      <c r="L166" s="225" t="s">
        <v>415</v>
      </c>
      <c r="M166" s="231"/>
      <c r="N166" s="220" t="s">
        <v>433</v>
      </c>
      <c r="O166" s="214"/>
      <c r="P166" s="222"/>
      <c r="Q166" s="222"/>
      <c r="R166" s="223"/>
      <c r="S166" s="223"/>
      <c r="T166" s="222"/>
      <c r="U166" s="214"/>
      <c r="V166" s="222"/>
      <c r="W166" s="223"/>
      <c r="X166" s="222"/>
      <c r="Y166" s="214"/>
      <c r="Z166" s="222"/>
      <c r="AA166" s="223"/>
      <c r="AB166" s="222"/>
      <c r="AC166" s="214"/>
      <c r="AD166" s="222"/>
      <c r="AE166" s="222"/>
    </row>
    <row r="167" spans="1:31" ht="48">
      <c r="A167" s="23"/>
      <c r="B167" s="215">
        <f>SUBTOTAL(103,$C$11:C167)</f>
        <v>157</v>
      </c>
      <c r="C167" s="215">
        <f>测试大纲!$A$19</f>
        <v>4</v>
      </c>
      <c r="D167" s="239" t="s">
        <v>240</v>
      </c>
      <c r="E167" s="241" t="s">
        <v>244</v>
      </c>
      <c r="F167" s="218"/>
      <c r="G167" s="215" t="str">
        <f>$D$9 &amp;"-"&amp;测试大纲!I$23&amp;"-"&amp;TEXT(SUBTOTAL(103,$C$148:C167),"000")</f>
        <v>Web-SBTJ-020</v>
      </c>
      <c r="H167" s="219" t="s">
        <v>337</v>
      </c>
      <c r="I167" s="219" t="s">
        <v>62</v>
      </c>
      <c r="J167" s="220" t="s">
        <v>435</v>
      </c>
      <c r="K167" s="215" t="s">
        <v>819</v>
      </c>
      <c r="L167" s="225" t="s">
        <v>444</v>
      </c>
      <c r="M167" s="225" t="s">
        <v>442</v>
      </c>
      <c r="N167" s="220" t="s">
        <v>445</v>
      </c>
      <c r="O167" s="214"/>
      <c r="P167" s="222"/>
      <c r="Q167" s="222"/>
      <c r="R167" s="223"/>
      <c r="S167" s="223"/>
      <c r="T167" s="222"/>
      <c r="U167" s="214"/>
      <c r="V167" s="222"/>
      <c r="W167" s="223"/>
      <c r="X167" s="222"/>
      <c r="Y167" s="214"/>
      <c r="Z167" s="222"/>
      <c r="AA167" s="223"/>
      <c r="AB167" s="222"/>
      <c r="AC167" s="214"/>
      <c r="AD167" s="222"/>
      <c r="AE167" s="222"/>
    </row>
    <row r="168" spans="1:31" ht="48">
      <c r="A168" s="23"/>
      <c r="B168" s="215">
        <f>SUBTOTAL(103,$C$11:C168)</f>
        <v>158</v>
      </c>
      <c r="C168" s="215">
        <f>测试大纲!$A$19</f>
        <v>4</v>
      </c>
      <c r="D168" s="239" t="s">
        <v>240</v>
      </c>
      <c r="E168" s="241" t="s">
        <v>244</v>
      </c>
      <c r="F168" s="215"/>
      <c r="G168" s="215" t="str">
        <f>$D$9 &amp;"-"&amp;测试大纲!I$23&amp;"-"&amp;TEXT(SUBTOTAL(103,$C$148:C168),"000")</f>
        <v>Web-SBTJ-021</v>
      </c>
      <c r="H168" s="219" t="s">
        <v>337</v>
      </c>
      <c r="I168" s="219" t="s">
        <v>62</v>
      </c>
      <c r="J168" s="220" t="s">
        <v>595</v>
      </c>
      <c r="K168" s="215" t="s">
        <v>819</v>
      </c>
      <c r="L168" s="215" t="s">
        <v>476</v>
      </c>
      <c r="M168" s="215"/>
      <c r="N168" s="220" t="s">
        <v>477</v>
      </c>
      <c r="O168" s="214"/>
      <c r="P168" s="222"/>
      <c r="Q168" s="222"/>
      <c r="R168" s="223"/>
      <c r="S168" s="223"/>
      <c r="T168" s="222"/>
      <c r="U168" s="214"/>
      <c r="V168" s="222"/>
      <c r="W168" s="223"/>
      <c r="X168" s="222"/>
      <c r="Y168" s="214"/>
      <c r="Z168" s="222"/>
      <c r="AA168" s="223"/>
      <c r="AB168" s="222"/>
      <c r="AC168" s="214"/>
      <c r="AD168" s="222"/>
      <c r="AE168" s="222"/>
    </row>
    <row r="169" spans="1:31" ht="48">
      <c r="A169" s="23"/>
      <c r="B169" s="215">
        <f>SUBTOTAL(103,$C$11:C169)</f>
        <v>159</v>
      </c>
      <c r="C169" s="215">
        <f>测试大纲!$A$19</f>
        <v>4</v>
      </c>
      <c r="D169" s="239" t="s">
        <v>240</v>
      </c>
      <c r="E169" s="241" t="s">
        <v>244</v>
      </c>
      <c r="F169" s="215"/>
      <c r="G169" s="215" t="str">
        <f>$D$9 &amp;"-"&amp;测试大纲!I$23&amp;"-"&amp;TEXT(SUBTOTAL(103,$C$148:C169),"000")</f>
        <v>Web-SBTJ-022</v>
      </c>
      <c r="H169" s="219" t="s">
        <v>337</v>
      </c>
      <c r="I169" s="219" t="s">
        <v>165</v>
      </c>
      <c r="J169" s="220" t="s">
        <v>596</v>
      </c>
      <c r="K169" s="215" t="s">
        <v>819</v>
      </c>
      <c r="L169" s="215" t="s">
        <v>930</v>
      </c>
      <c r="M169" s="215" t="s">
        <v>480</v>
      </c>
      <c r="N169" s="220" t="s">
        <v>481</v>
      </c>
      <c r="O169" s="214"/>
      <c r="P169" s="222"/>
      <c r="Q169" s="222"/>
      <c r="R169" s="223"/>
      <c r="S169" s="223"/>
      <c r="T169" s="222"/>
      <c r="U169" s="214"/>
      <c r="V169" s="222"/>
      <c r="W169" s="223"/>
      <c r="X169" s="222"/>
      <c r="Y169" s="214"/>
      <c r="Z169" s="222"/>
      <c r="AA169" s="223"/>
      <c r="AB169" s="222"/>
      <c r="AC169" s="214"/>
      <c r="AD169" s="222"/>
      <c r="AE169" s="222"/>
    </row>
    <row r="170" spans="1:31" ht="48">
      <c r="A170" s="23"/>
      <c r="B170" s="215">
        <f>SUBTOTAL(103,$C$11:C170)</f>
        <v>160</v>
      </c>
      <c r="C170" s="215">
        <f>测试大纲!$A$19</f>
        <v>4</v>
      </c>
      <c r="D170" s="239" t="s">
        <v>240</v>
      </c>
      <c r="E170" s="241" t="s">
        <v>244</v>
      </c>
      <c r="F170" s="236"/>
      <c r="G170" s="215" t="str">
        <f>$D$9 &amp;"-"&amp;测试大纲!I$23&amp;"-"&amp;TEXT(SUBTOTAL(103,$C$148:C170),"000")</f>
        <v>Web-SBTJ-023</v>
      </c>
      <c r="H170" s="219" t="s">
        <v>340</v>
      </c>
      <c r="I170" s="219" t="s">
        <v>62</v>
      </c>
      <c r="J170" s="220" t="s">
        <v>822</v>
      </c>
      <c r="K170" s="215" t="s">
        <v>821</v>
      </c>
      <c r="L170" s="215"/>
      <c r="M170" s="215"/>
      <c r="N170" s="220" t="s">
        <v>820</v>
      </c>
      <c r="O170" s="214"/>
      <c r="P170" s="222"/>
      <c r="Q170" s="222"/>
      <c r="R170" s="223"/>
      <c r="S170" s="223"/>
      <c r="T170" s="222"/>
      <c r="U170" s="214"/>
      <c r="V170" s="222"/>
      <c r="W170" s="223"/>
      <c r="X170" s="222"/>
      <c r="Y170" s="214"/>
      <c r="Z170" s="222"/>
      <c r="AA170" s="223"/>
      <c r="AB170" s="222"/>
      <c r="AC170" s="214"/>
      <c r="AD170" s="222"/>
      <c r="AE170" s="222"/>
    </row>
    <row r="171" spans="1:31" ht="48">
      <c r="A171" s="23"/>
      <c r="B171" s="215">
        <f>SUBTOTAL(103,$C$11:C171)</f>
        <v>161</v>
      </c>
      <c r="C171" s="215">
        <f>测试大纲!$A$19</f>
        <v>4</v>
      </c>
      <c r="D171" s="239" t="s">
        <v>240</v>
      </c>
      <c r="E171" s="241" t="s">
        <v>244</v>
      </c>
      <c r="F171" s="236"/>
      <c r="G171" s="215" t="str">
        <f>$D$9 &amp;"-"&amp;测试大纲!I$23&amp;"-"&amp;TEXT(SUBTOTAL(103,$C$148:C171),"000")</f>
        <v>Web-SBTJ-024</v>
      </c>
      <c r="H171" s="219" t="s">
        <v>337</v>
      </c>
      <c r="I171" s="219" t="s">
        <v>62</v>
      </c>
      <c r="J171" s="220" t="s">
        <v>823</v>
      </c>
      <c r="K171" s="215" t="s">
        <v>824</v>
      </c>
      <c r="L171" s="215"/>
      <c r="M171" s="215"/>
      <c r="N171" s="220" t="s">
        <v>825</v>
      </c>
      <c r="O171" s="214"/>
      <c r="P171" s="222"/>
      <c r="Q171" s="222"/>
      <c r="R171" s="223"/>
      <c r="S171" s="223"/>
      <c r="T171" s="222"/>
      <c r="U171" s="214"/>
      <c r="V171" s="222"/>
      <c r="W171" s="223"/>
      <c r="X171" s="222"/>
      <c r="Y171" s="214"/>
      <c r="Z171" s="222"/>
      <c r="AA171" s="223"/>
      <c r="AB171" s="222"/>
      <c r="AC171" s="214"/>
      <c r="AD171" s="222"/>
      <c r="AE171" s="222"/>
    </row>
    <row r="172" spans="1:31" ht="36">
      <c r="A172" s="23"/>
      <c r="B172" s="215">
        <f>SUBTOTAL(103,$C$11:C172)</f>
        <v>162</v>
      </c>
      <c r="C172" s="215">
        <f>测试大纲!$A$19</f>
        <v>4</v>
      </c>
      <c r="D172" s="239" t="s">
        <v>240</v>
      </c>
      <c r="E172" s="241" t="s">
        <v>244</v>
      </c>
      <c r="F172" s="236"/>
      <c r="G172" s="215" t="str">
        <f>$D$9 &amp;"-"&amp;测试大纲!I$23&amp;"-"&amp;TEXT(SUBTOTAL(103,$C$148:C172),"000")</f>
        <v>Web-SBTJ-025</v>
      </c>
      <c r="H172" s="219" t="s">
        <v>337</v>
      </c>
      <c r="I172" s="219" t="s">
        <v>62</v>
      </c>
      <c r="J172" s="220" t="s">
        <v>211</v>
      </c>
      <c r="K172" s="226" t="s">
        <v>348</v>
      </c>
      <c r="L172" s="227" t="s">
        <v>220</v>
      </c>
      <c r="M172" s="228"/>
      <c r="N172" s="220" t="s">
        <v>213</v>
      </c>
      <c r="O172" s="214"/>
      <c r="P172" s="222"/>
      <c r="Q172" s="222"/>
      <c r="R172" s="223"/>
      <c r="S172" s="223"/>
      <c r="T172" s="222"/>
      <c r="U172" s="214"/>
      <c r="V172" s="222"/>
      <c r="W172" s="223"/>
      <c r="X172" s="222"/>
      <c r="Y172" s="214"/>
      <c r="Z172" s="222"/>
      <c r="AA172" s="223"/>
      <c r="AB172" s="222"/>
      <c r="AC172" s="214"/>
      <c r="AD172" s="222"/>
      <c r="AE172" s="222"/>
    </row>
    <row r="173" spans="1:31" ht="48">
      <c r="A173" s="23"/>
      <c r="B173" s="215">
        <f>SUBTOTAL(103,$C$11:C173)</f>
        <v>163</v>
      </c>
      <c r="C173" s="215">
        <f>测试大纲!$A$19</f>
        <v>4</v>
      </c>
      <c r="D173" s="239" t="s">
        <v>240</v>
      </c>
      <c r="E173" s="241" t="s">
        <v>244</v>
      </c>
      <c r="F173" s="236"/>
      <c r="G173" s="215" t="str">
        <f>$D$9 &amp;"-"&amp;测试大纲!I$23&amp;"-"&amp;TEXT(SUBTOTAL(103,$C$148:C173),"000")</f>
        <v>Web-SBTJ-026</v>
      </c>
      <c r="H173" s="219" t="s">
        <v>337</v>
      </c>
      <c r="I173" s="219" t="s">
        <v>62</v>
      </c>
      <c r="J173" s="220" t="s">
        <v>236</v>
      </c>
      <c r="K173" s="226" t="s">
        <v>348</v>
      </c>
      <c r="L173" s="227" t="s">
        <v>238</v>
      </c>
      <c r="M173" s="227" t="s">
        <v>237</v>
      </c>
      <c r="N173" s="220" t="s">
        <v>239</v>
      </c>
      <c r="O173" s="214"/>
      <c r="P173" s="222"/>
      <c r="Q173" s="222"/>
      <c r="R173" s="223"/>
      <c r="S173" s="223"/>
      <c r="T173" s="222"/>
      <c r="U173" s="214"/>
      <c r="V173" s="222"/>
      <c r="W173" s="223"/>
      <c r="X173" s="222"/>
      <c r="Y173" s="214"/>
      <c r="Z173" s="222"/>
      <c r="AA173" s="223"/>
      <c r="AB173" s="222"/>
      <c r="AC173" s="214"/>
      <c r="AD173" s="222"/>
      <c r="AE173" s="222"/>
    </row>
    <row r="174" spans="1:31">
      <c r="A174" s="23"/>
      <c r="B174" s="166"/>
      <c r="C174" s="70"/>
      <c r="D174" s="170"/>
      <c r="E174" s="178"/>
      <c r="F174" s="167"/>
      <c r="G174" s="176"/>
      <c r="H174" s="67"/>
      <c r="I174" s="67"/>
      <c r="J174" s="177"/>
      <c r="K174" s="176"/>
      <c r="L174" s="176"/>
      <c r="M174" s="176"/>
      <c r="N174" s="177"/>
      <c r="O174" s="40"/>
      <c r="P174" s="23"/>
      <c r="Q174" s="23"/>
      <c r="R174" s="72"/>
      <c r="S174" s="72"/>
      <c r="T174" s="23"/>
      <c r="U174" s="40"/>
      <c r="V174" s="23"/>
      <c r="W174" s="72"/>
      <c r="X174" s="23"/>
      <c r="Y174" s="40"/>
      <c r="Z174" s="23"/>
      <c r="AA174" s="72"/>
      <c r="AB174" s="23"/>
      <c r="AC174" s="40"/>
      <c r="AD174" s="23"/>
      <c r="AE174" s="23"/>
    </row>
    <row r="175" spans="1:31">
      <c r="A175" s="23"/>
      <c r="B175" s="166"/>
      <c r="C175" s="70"/>
      <c r="D175" s="170"/>
      <c r="E175" s="178"/>
      <c r="F175" s="167"/>
      <c r="G175" s="176"/>
      <c r="H175" s="67"/>
      <c r="I175" s="71"/>
      <c r="J175" s="175"/>
      <c r="K175" s="176"/>
      <c r="L175" s="173"/>
      <c r="M175" s="173"/>
      <c r="N175" s="175"/>
      <c r="O175" s="40"/>
      <c r="P175" s="23"/>
      <c r="Q175" s="23"/>
      <c r="R175" s="72"/>
      <c r="S175" s="72"/>
      <c r="T175" s="23"/>
      <c r="U175" s="40"/>
      <c r="V175" s="23"/>
      <c r="W175" s="72"/>
      <c r="X175" s="23"/>
      <c r="Y175" s="40"/>
      <c r="Z175" s="23"/>
      <c r="AA175" s="72"/>
      <c r="AB175" s="23"/>
      <c r="AC175" s="40"/>
      <c r="AD175" s="23"/>
      <c r="AE175" s="23"/>
    </row>
    <row r="176" spans="1:31">
      <c r="A176" s="23"/>
      <c r="B176" s="166"/>
      <c r="C176" s="70"/>
      <c r="D176" s="170"/>
      <c r="E176" s="178"/>
      <c r="F176" s="167"/>
      <c r="G176" s="176"/>
      <c r="H176" s="67"/>
      <c r="I176" s="71"/>
      <c r="J176" s="175"/>
      <c r="K176" s="176"/>
      <c r="L176" s="174"/>
      <c r="M176" s="174"/>
      <c r="N176" s="174"/>
      <c r="O176" s="40"/>
      <c r="P176" s="23"/>
      <c r="Q176" s="23"/>
      <c r="R176" s="72"/>
      <c r="S176" s="72"/>
      <c r="T176" s="23"/>
      <c r="U176" s="40"/>
      <c r="V176" s="23"/>
      <c r="W176" s="72"/>
      <c r="X176" s="23"/>
      <c r="Y176" s="40"/>
      <c r="Z176" s="23"/>
      <c r="AA176" s="72"/>
      <c r="AB176" s="23"/>
      <c r="AC176" s="40"/>
      <c r="AD176" s="23"/>
      <c r="AE176" s="23"/>
    </row>
    <row r="177" spans="1:31">
      <c r="A177" s="23"/>
      <c r="B177" s="166"/>
      <c r="C177" s="70"/>
      <c r="D177" s="170"/>
      <c r="E177" s="178"/>
      <c r="F177" s="167"/>
      <c r="G177" s="176"/>
      <c r="H177" s="67"/>
      <c r="I177" s="71"/>
      <c r="J177" s="175"/>
      <c r="K177" s="176"/>
      <c r="L177" s="174"/>
      <c r="M177" s="174"/>
      <c r="N177" s="174"/>
      <c r="O177" s="40"/>
      <c r="P177" s="23"/>
      <c r="Q177" s="23"/>
      <c r="R177" s="72"/>
      <c r="S177" s="72"/>
      <c r="T177" s="23"/>
      <c r="U177" s="40"/>
      <c r="V177" s="23"/>
      <c r="W177" s="72"/>
      <c r="X177" s="23"/>
      <c r="Y177" s="40"/>
      <c r="Z177" s="23"/>
      <c r="AA177" s="72"/>
      <c r="AB177" s="23"/>
      <c r="AC177" s="40"/>
      <c r="AD177" s="23"/>
      <c r="AE177" s="23"/>
    </row>
    <row r="178" spans="1:31">
      <c r="A178" s="23"/>
      <c r="B178" s="64"/>
      <c r="C178" s="62"/>
      <c r="D178" s="65"/>
      <c r="E178" s="66"/>
      <c r="F178" s="65"/>
      <c r="G178" s="67"/>
      <c r="H178" s="67"/>
      <c r="I178" s="71"/>
      <c r="J178" s="70"/>
      <c r="K178" s="23"/>
      <c r="L178" s="70"/>
      <c r="M178" s="70"/>
      <c r="N178" s="70"/>
      <c r="O178" s="40"/>
      <c r="P178" s="23"/>
      <c r="Q178" s="23"/>
      <c r="R178" s="72"/>
      <c r="S178" s="72"/>
      <c r="T178" s="23"/>
      <c r="U178" s="40"/>
      <c r="V178" s="23"/>
      <c r="W178" s="72"/>
      <c r="X178" s="23"/>
      <c r="Y178" s="40"/>
      <c r="Z178" s="23"/>
      <c r="AA178" s="72"/>
      <c r="AB178" s="23"/>
      <c r="AC178" s="40"/>
      <c r="AD178" s="23"/>
      <c r="AE178" s="23"/>
    </row>
    <row r="179" spans="1:31">
      <c r="A179" s="23"/>
      <c r="B179" s="64"/>
      <c r="C179" s="62"/>
      <c r="D179" s="65"/>
      <c r="E179" s="66"/>
      <c r="F179" s="65"/>
      <c r="G179" s="67"/>
      <c r="H179" s="67"/>
      <c r="I179" s="71"/>
      <c r="J179" s="70"/>
      <c r="K179" s="23"/>
      <c r="L179" s="70"/>
      <c r="M179" s="70"/>
      <c r="N179" s="70"/>
      <c r="O179" s="40"/>
      <c r="P179" s="23"/>
      <c r="Q179" s="23"/>
      <c r="R179" s="72"/>
      <c r="S179" s="72"/>
      <c r="T179" s="23"/>
      <c r="U179" s="40"/>
      <c r="V179" s="23"/>
      <c r="W179" s="72"/>
      <c r="X179" s="23"/>
      <c r="Y179" s="40"/>
      <c r="Z179" s="23"/>
      <c r="AA179" s="72"/>
      <c r="AB179" s="23"/>
      <c r="AC179" s="40"/>
      <c r="AD179" s="23"/>
      <c r="AE179" s="23"/>
    </row>
    <row r="180" spans="1:31">
      <c r="A180" s="23"/>
      <c r="B180" s="64"/>
      <c r="C180" s="62"/>
      <c r="D180" s="65"/>
      <c r="E180" s="66"/>
      <c r="F180" s="65"/>
      <c r="G180" s="67"/>
      <c r="H180" s="67"/>
      <c r="I180" s="71"/>
      <c r="J180" s="70"/>
      <c r="K180" s="23"/>
      <c r="L180" s="70"/>
      <c r="M180" s="70"/>
      <c r="N180" s="70"/>
      <c r="O180" s="40"/>
      <c r="P180" s="23"/>
      <c r="Q180" s="23"/>
      <c r="R180" s="72"/>
      <c r="S180" s="72"/>
      <c r="T180" s="23"/>
      <c r="U180" s="40"/>
      <c r="V180" s="23"/>
      <c r="W180" s="72"/>
      <c r="X180" s="23"/>
      <c r="Y180" s="40"/>
      <c r="Z180" s="23"/>
      <c r="AA180" s="72"/>
      <c r="AB180" s="23"/>
      <c r="AC180" s="40"/>
      <c r="AD180" s="23"/>
      <c r="AE180" s="23"/>
    </row>
    <row r="181" spans="1:31">
      <c r="A181" s="23"/>
      <c r="B181" s="64"/>
      <c r="C181" s="62"/>
      <c r="D181" s="65"/>
      <c r="E181" s="66"/>
      <c r="F181" s="65"/>
      <c r="G181" s="67"/>
      <c r="H181" s="67"/>
      <c r="I181" s="71"/>
      <c r="J181" s="70"/>
      <c r="K181" s="23"/>
      <c r="L181" s="70"/>
      <c r="M181" s="70"/>
      <c r="N181" s="70"/>
      <c r="O181" s="40"/>
      <c r="P181" s="23"/>
      <c r="Q181" s="23"/>
      <c r="R181" s="72"/>
      <c r="S181" s="72"/>
      <c r="T181" s="23"/>
      <c r="U181" s="40"/>
      <c r="V181" s="23"/>
      <c r="W181" s="72"/>
      <c r="X181" s="23"/>
      <c r="Y181" s="40"/>
      <c r="Z181" s="23"/>
      <c r="AA181" s="72"/>
      <c r="AB181" s="23"/>
      <c r="AC181" s="40"/>
      <c r="AD181" s="23"/>
      <c r="AE181" s="23"/>
    </row>
    <row r="182" spans="1:31">
      <c r="A182" s="23"/>
      <c r="B182" s="64"/>
      <c r="C182" s="62"/>
      <c r="D182" s="65"/>
      <c r="E182" s="66"/>
      <c r="F182" s="65"/>
      <c r="G182" s="67"/>
      <c r="H182" s="67"/>
      <c r="I182" s="71"/>
      <c r="J182" s="70"/>
      <c r="K182" s="23"/>
      <c r="L182" s="70"/>
      <c r="M182" s="70"/>
      <c r="N182" s="70"/>
      <c r="O182" s="40"/>
      <c r="P182" s="23"/>
      <c r="Q182" s="23"/>
      <c r="R182" s="72"/>
      <c r="S182" s="72"/>
      <c r="T182" s="23"/>
      <c r="U182" s="40"/>
      <c r="V182" s="23"/>
      <c r="W182" s="72"/>
      <c r="X182" s="23"/>
      <c r="Y182" s="40"/>
      <c r="Z182" s="23"/>
      <c r="AA182" s="72"/>
      <c r="AB182" s="23"/>
      <c r="AC182" s="40"/>
      <c r="AD182" s="23"/>
      <c r="AE182" s="23"/>
    </row>
    <row r="183" spans="1:31">
      <c r="A183" s="23"/>
      <c r="B183" s="64"/>
      <c r="C183" s="62"/>
      <c r="D183" s="65"/>
      <c r="E183" s="66"/>
      <c r="F183" s="65"/>
      <c r="G183" s="67"/>
      <c r="H183" s="67"/>
      <c r="I183" s="71"/>
      <c r="J183" s="70"/>
      <c r="K183" s="23"/>
      <c r="L183" s="70"/>
      <c r="M183" s="70"/>
      <c r="N183" s="70"/>
      <c r="O183" s="40"/>
      <c r="P183" s="23"/>
      <c r="Q183" s="23"/>
      <c r="R183" s="72"/>
      <c r="S183" s="72"/>
      <c r="T183" s="23"/>
      <c r="U183" s="40"/>
      <c r="V183" s="23"/>
      <c r="W183" s="72"/>
      <c r="X183" s="23"/>
      <c r="Y183" s="40"/>
      <c r="Z183" s="23"/>
      <c r="AA183" s="72"/>
      <c r="AB183" s="23"/>
      <c r="AC183" s="40"/>
      <c r="AD183" s="23"/>
      <c r="AE183" s="23"/>
    </row>
    <row r="184" spans="1:31">
      <c r="A184" s="23"/>
      <c r="B184" s="64"/>
      <c r="C184" s="62"/>
      <c r="D184" s="65"/>
      <c r="E184" s="66"/>
      <c r="F184" s="65"/>
      <c r="G184" s="67"/>
      <c r="H184" s="67"/>
      <c r="I184" s="71"/>
      <c r="J184" s="70"/>
      <c r="K184" s="23"/>
      <c r="L184" s="70"/>
      <c r="M184" s="70"/>
      <c r="N184" s="70"/>
      <c r="O184" s="40"/>
      <c r="P184" s="23"/>
      <c r="Q184" s="23"/>
      <c r="R184" s="72"/>
      <c r="S184" s="72"/>
      <c r="T184" s="23"/>
      <c r="U184" s="40"/>
      <c r="V184" s="23"/>
      <c r="W184" s="72"/>
      <c r="X184" s="23"/>
      <c r="Y184" s="40"/>
      <c r="Z184" s="23"/>
      <c r="AA184" s="72"/>
      <c r="AB184" s="23"/>
      <c r="AC184" s="40"/>
      <c r="AD184" s="23"/>
      <c r="AE184" s="23"/>
    </row>
    <row r="185" spans="1:31">
      <c r="A185" s="23"/>
      <c r="B185" s="64"/>
      <c r="C185" s="62"/>
      <c r="D185" s="65"/>
      <c r="E185" s="66"/>
      <c r="F185" s="65"/>
      <c r="G185" s="67"/>
      <c r="H185" s="67"/>
      <c r="I185" s="71"/>
      <c r="J185" s="70"/>
      <c r="K185" s="23"/>
      <c r="L185" s="70"/>
      <c r="M185" s="70"/>
      <c r="N185" s="70"/>
      <c r="O185" s="40"/>
      <c r="P185" s="23"/>
      <c r="Q185" s="23"/>
      <c r="R185" s="72"/>
      <c r="S185" s="72"/>
      <c r="T185" s="23"/>
      <c r="U185" s="40"/>
      <c r="V185" s="23"/>
      <c r="W185" s="72"/>
      <c r="X185" s="23"/>
      <c r="Y185" s="40"/>
      <c r="Z185" s="23"/>
      <c r="AA185" s="72"/>
      <c r="AB185" s="23"/>
      <c r="AC185" s="40"/>
      <c r="AD185" s="23"/>
      <c r="AE185" s="23"/>
    </row>
    <row r="186" spans="1:31">
      <c r="A186" s="23"/>
      <c r="B186" s="64"/>
      <c r="C186" s="62"/>
      <c r="D186" s="65"/>
      <c r="E186" s="66"/>
      <c r="F186" s="65"/>
      <c r="G186" s="67"/>
      <c r="H186" s="67"/>
      <c r="I186" s="71"/>
      <c r="J186" s="70"/>
      <c r="K186" s="23"/>
      <c r="L186" s="70"/>
      <c r="M186" s="70"/>
      <c r="N186" s="70"/>
      <c r="O186" s="40"/>
      <c r="P186" s="23"/>
      <c r="Q186" s="23"/>
      <c r="R186" s="72"/>
      <c r="S186" s="72"/>
      <c r="T186" s="23"/>
      <c r="U186" s="40"/>
      <c r="V186" s="23"/>
      <c r="W186" s="72"/>
      <c r="X186" s="23"/>
      <c r="Y186" s="40"/>
      <c r="Z186" s="23"/>
      <c r="AA186" s="72"/>
      <c r="AB186" s="23"/>
      <c r="AC186" s="40"/>
      <c r="AD186" s="23"/>
      <c r="AE186" s="23"/>
    </row>
    <row r="187" spans="1:31">
      <c r="A187" s="23"/>
      <c r="B187" s="64"/>
      <c r="C187" s="62"/>
      <c r="D187" s="65"/>
      <c r="E187" s="66"/>
      <c r="F187" s="65"/>
      <c r="G187" s="67"/>
      <c r="H187" s="67"/>
      <c r="I187" s="71"/>
      <c r="J187" s="70"/>
      <c r="K187" s="23"/>
      <c r="L187" s="70"/>
      <c r="M187" s="70"/>
      <c r="N187" s="70"/>
      <c r="O187" s="40"/>
      <c r="P187" s="23"/>
      <c r="Q187" s="23"/>
      <c r="R187" s="72"/>
      <c r="S187" s="72"/>
      <c r="T187" s="23"/>
      <c r="U187" s="40"/>
      <c r="V187" s="23"/>
      <c r="W187" s="72"/>
      <c r="X187" s="23"/>
      <c r="Y187" s="40"/>
      <c r="Z187" s="23"/>
      <c r="AA187" s="72"/>
      <c r="AB187" s="23"/>
      <c r="AC187" s="40"/>
      <c r="AD187" s="23"/>
      <c r="AE187" s="23"/>
    </row>
    <row r="188" spans="1:31">
      <c r="A188" s="23"/>
      <c r="B188" s="64"/>
      <c r="C188" s="62"/>
      <c r="D188" s="65"/>
      <c r="E188" s="66"/>
      <c r="F188" s="65"/>
      <c r="G188" s="67"/>
      <c r="H188" s="67"/>
      <c r="I188" s="71"/>
      <c r="J188" s="70"/>
      <c r="K188" s="23"/>
      <c r="L188" s="70"/>
      <c r="M188" s="70"/>
      <c r="N188" s="70"/>
      <c r="O188" s="40"/>
      <c r="P188" s="23"/>
      <c r="Q188" s="23"/>
      <c r="R188" s="72"/>
      <c r="S188" s="72"/>
      <c r="T188" s="23"/>
      <c r="U188" s="40"/>
      <c r="V188" s="23"/>
      <c r="W188" s="72"/>
      <c r="X188" s="23"/>
      <c r="Y188" s="40"/>
      <c r="Z188" s="23"/>
      <c r="AA188" s="72"/>
      <c r="AB188" s="23"/>
      <c r="AC188" s="40"/>
      <c r="AD188" s="23"/>
      <c r="AE188" s="23"/>
    </row>
    <row r="189" spans="1:31">
      <c r="A189" s="23"/>
      <c r="B189" s="64"/>
      <c r="C189" s="62"/>
      <c r="D189" s="65"/>
      <c r="E189" s="66"/>
      <c r="F189" s="65"/>
      <c r="G189" s="67"/>
      <c r="H189" s="67"/>
      <c r="I189" s="71"/>
      <c r="J189" s="70"/>
      <c r="K189" s="23"/>
      <c r="L189" s="70"/>
      <c r="M189" s="70"/>
      <c r="N189" s="70"/>
      <c r="O189" s="40"/>
      <c r="P189" s="23"/>
      <c r="Q189" s="23"/>
      <c r="R189" s="72"/>
      <c r="S189" s="72"/>
      <c r="T189" s="23"/>
      <c r="U189" s="40"/>
      <c r="V189" s="23"/>
      <c r="W189" s="72"/>
      <c r="X189" s="23"/>
      <c r="Y189" s="40"/>
      <c r="Z189" s="23"/>
      <c r="AA189" s="72"/>
      <c r="AB189" s="23"/>
      <c r="AC189" s="40"/>
      <c r="AD189" s="23"/>
      <c r="AE189" s="23"/>
    </row>
    <row r="190" spans="1:31">
      <c r="A190" s="23"/>
      <c r="B190" s="64"/>
      <c r="C190" s="62"/>
      <c r="D190" s="65"/>
      <c r="E190" s="66"/>
      <c r="F190" s="65"/>
      <c r="G190" s="67"/>
      <c r="H190" s="67"/>
      <c r="I190" s="71"/>
      <c r="J190" s="70"/>
      <c r="K190" s="23"/>
      <c r="L190" s="70"/>
      <c r="M190" s="70"/>
      <c r="N190" s="70"/>
      <c r="O190" s="40"/>
      <c r="P190" s="23"/>
      <c r="Q190" s="23"/>
      <c r="R190" s="72"/>
      <c r="S190" s="72"/>
      <c r="T190" s="23"/>
      <c r="U190" s="40"/>
      <c r="V190" s="23"/>
      <c r="W190" s="72"/>
      <c r="X190" s="23"/>
      <c r="Y190" s="40"/>
      <c r="Z190" s="23"/>
      <c r="AA190" s="72"/>
      <c r="AB190" s="23"/>
      <c r="AC190" s="40"/>
      <c r="AD190" s="23"/>
      <c r="AE190" s="23"/>
    </row>
    <row r="191" spans="1:31">
      <c r="A191" s="23"/>
      <c r="B191" s="64"/>
      <c r="C191" s="62"/>
      <c r="D191" s="65"/>
      <c r="E191" s="66"/>
      <c r="F191" s="65"/>
      <c r="G191" s="67"/>
      <c r="H191" s="67"/>
      <c r="I191" s="71"/>
      <c r="J191" s="70"/>
      <c r="K191" s="23"/>
      <c r="L191" s="70"/>
      <c r="M191" s="70"/>
      <c r="N191" s="70"/>
      <c r="O191" s="40"/>
      <c r="P191" s="23"/>
      <c r="Q191" s="23"/>
      <c r="R191" s="72"/>
      <c r="S191" s="72"/>
      <c r="T191" s="23"/>
      <c r="U191" s="40"/>
      <c r="V191" s="23"/>
      <c r="W191" s="72"/>
      <c r="X191" s="23"/>
      <c r="Y191" s="40"/>
      <c r="Z191" s="23"/>
      <c r="AA191" s="72"/>
      <c r="AB191" s="23"/>
      <c r="AC191" s="40"/>
      <c r="AD191" s="23"/>
      <c r="AE191" s="23"/>
    </row>
    <row r="192" spans="1:31">
      <c r="A192" s="23"/>
      <c r="B192" s="64"/>
      <c r="C192" s="62"/>
      <c r="D192" s="65"/>
      <c r="E192" s="66"/>
      <c r="F192" s="65"/>
      <c r="G192" s="67"/>
      <c r="H192" s="67"/>
      <c r="I192" s="71"/>
      <c r="J192" s="70"/>
      <c r="K192" s="23"/>
      <c r="L192" s="70"/>
      <c r="M192" s="70"/>
      <c r="N192" s="70"/>
      <c r="O192" s="40"/>
      <c r="P192" s="23"/>
      <c r="Q192" s="23"/>
      <c r="R192" s="72"/>
      <c r="S192" s="72"/>
      <c r="T192" s="23"/>
      <c r="U192" s="40"/>
      <c r="V192" s="23"/>
      <c r="W192" s="72"/>
      <c r="X192" s="23"/>
      <c r="Y192" s="40"/>
      <c r="Z192" s="23"/>
      <c r="AA192" s="72"/>
      <c r="AB192" s="23"/>
      <c r="AC192" s="40"/>
      <c r="AD192" s="23"/>
      <c r="AE192" s="23"/>
    </row>
    <row r="193" spans="1:31">
      <c r="A193" s="23"/>
      <c r="B193" s="64"/>
      <c r="C193" s="62"/>
      <c r="D193" s="65"/>
      <c r="E193" s="66"/>
      <c r="F193" s="65"/>
      <c r="G193" s="67"/>
      <c r="H193" s="67"/>
      <c r="I193" s="71"/>
      <c r="J193" s="70"/>
      <c r="K193" s="23"/>
      <c r="L193" s="70"/>
      <c r="M193" s="70"/>
      <c r="N193" s="70"/>
      <c r="O193" s="40"/>
      <c r="P193" s="23"/>
      <c r="Q193" s="23"/>
      <c r="R193" s="72"/>
      <c r="S193" s="72"/>
      <c r="T193" s="23"/>
      <c r="U193" s="40"/>
      <c r="V193" s="23"/>
      <c r="W193" s="72"/>
      <c r="X193" s="23"/>
      <c r="Y193" s="40"/>
      <c r="Z193" s="23"/>
      <c r="AA193" s="72"/>
      <c r="AB193" s="23"/>
      <c r="AC193" s="40"/>
      <c r="AD193" s="23"/>
      <c r="AE193" s="23"/>
    </row>
    <row r="194" spans="1:31">
      <c r="A194" s="23"/>
      <c r="B194" s="64"/>
      <c r="C194" s="62"/>
      <c r="D194" s="65"/>
      <c r="E194" s="66"/>
      <c r="F194" s="65"/>
      <c r="G194" s="67"/>
      <c r="H194" s="67"/>
      <c r="I194" s="71"/>
      <c r="J194" s="70"/>
      <c r="K194" s="23"/>
      <c r="L194" s="70"/>
      <c r="M194" s="70"/>
      <c r="N194" s="70"/>
      <c r="O194" s="40"/>
      <c r="P194" s="23"/>
      <c r="Q194" s="23"/>
      <c r="R194" s="72"/>
      <c r="S194" s="72"/>
      <c r="T194" s="23"/>
      <c r="U194" s="40"/>
      <c r="V194" s="23"/>
      <c r="W194" s="72"/>
      <c r="X194" s="23"/>
      <c r="Y194" s="40"/>
      <c r="Z194" s="23"/>
      <c r="AA194" s="72"/>
      <c r="AB194" s="23"/>
      <c r="AC194" s="40"/>
      <c r="AD194" s="23"/>
      <c r="AE194" s="23"/>
    </row>
    <row r="195" spans="1:31">
      <c r="A195" s="23"/>
      <c r="B195" s="64"/>
      <c r="C195" s="62"/>
      <c r="D195" s="65"/>
      <c r="E195" s="66"/>
      <c r="F195" s="65"/>
      <c r="G195" s="67"/>
      <c r="H195" s="67"/>
      <c r="I195" s="71"/>
      <c r="J195" s="70"/>
      <c r="K195" s="23"/>
      <c r="L195" s="70"/>
      <c r="M195" s="70"/>
      <c r="N195" s="70"/>
      <c r="O195" s="40"/>
      <c r="P195" s="23"/>
      <c r="Q195" s="23"/>
      <c r="R195" s="72"/>
      <c r="S195" s="72"/>
      <c r="T195" s="23"/>
      <c r="U195" s="40"/>
      <c r="V195" s="23"/>
      <c r="W195" s="72"/>
      <c r="X195" s="23"/>
      <c r="Y195" s="40"/>
      <c r="Z195" s="23"/>
      <c r="AA195" s="72"/>
      <c r="AB195" s="23"/>
      <c r="AC195" s="40"/>
      <c r="AD195" s="23"/>
      <c r="AE195" s="23"/>
    </row>
    <row r="196" spans="1:31">
      <c r="A196" s="23"/>
      <c r="B196" s="64"/>
      <c r="C196" s="62"/>
      <c r="D196" s="65"/>
      <c r="E196" s="66"/>
      <c r="F196" s="65"/>
      <c r="G196" s="67"/>
      <c r="H196" s="67"/>
      <c r="I196" s="71"/>
      <c r="J196" s="70"/>
      <c r="K196" s="23"/>
      <c r="L196" s="70"/>
      <c r="M196" s="70"/>
      <c r="N196" s="70"/>
      <c r="O196" s="40"/>
      <c r="P196" s="23"/>
      <c r="Q196" s="23"/>
      <c r="R196" s="72"/>
      <c r="S196" s="72"/>
      <c r="T196" s="23"/>
      <c r="U196" s="40"/>
      <c r="V196" s="23"/>
      <c r="W196" s="72"/>
      <c r="X196" s="23"/>
      <c r="Y196" s="40"/>
      <c r="Z196" s="23"/>
      <c r="AA196" s="72"/>
      <c r="AB196" s="23"/>
      <c r="AC196" s="40"/>
      <c r="AD196" s="23"/>
      <c r="AE196" s="23"/>
    </row>
    <row r="197" spans="1:31">
      <c r="A197" s="23"/>
      <c r="B197" s="64"/>
      <c r="C197" s="62"/>
      <c r="D197" s="65"/>
      <c r="E197" s="66"/>
      <c r="F197" s="65"/>
      <c r="G197" s="67"/>
      <c r="H197" s="67"/>
      <c r="I197" s="71"/>
      <c r="J197" s="70"/>
      <c r="K197" s="23"/>
      <c r="L197" s="70"/>
      <c r="M197" s="70"/>
      <c r="N197" s="70"/>
      <c r="O197" s="40"/>
      <c r="P197" s="23"/>
      <c r="Q197" s="23"/>
      <c r="R197" s="72"/>
      <c r="S197" s="72"/>
      <c r="T197" s="23"/>
      <c r="U197" s="40"/>
      <c r="V197" s="23"/>
      <c r="W197" s="72"/>
      <c r="X197" s="23"/>
      <c r="Y197" s="40"/>
      <c r="Z197" s="23"/>
      <c r="AA197" s="72"/>
      <c r="AB197" s="23"/>
      <c r="AC197" s="40"/>
      <c r="AD197" s="23"/>
      <c r="AE197" s="23"/>
    </row>
    <row r="198" spans="1:31">
      <c r="A198" s="23"/>
      <c r="B198" s="64"/>
      <c r="C198" s="62"/>
      <c r="D198" s="65"/>
      <c r="E198" s="66"/>
      <c r="F198" s="65"/>
      <c r="G198" s="67"/>
      <c r="H198" s="67"/>
      <c r="I198" s="71"/>
      <c r="J198" s="70"/>
      <c r="K198" s="23"/>
      <c r="L198" s="70"/>
      <c r="M198" s="70"/>
      <c r="N198" s="70"/>
      <c r="O198" s="40"/>
      <c r="P198" s="23"/>
      <c r="Q198" s="23"/>
      <c r="R198" s="72"/>
      <c r="S198" s="72"/>
      <c r="T198" s="23"/>
      <c r="U198" s="40"/>
      <c r="V198" s="23"/>
      <c r="W198" s="72"/>
      <c r="X198" s="23"/>
      <c r="Y198" s="40"/>
      <c r="Z198" s="23"/>
      <c r="AA198" s="72"/>
      <c r="AB198" s="23"/>
      <c r="AC198" s="40"/>
      <c r="AD198" s="23"/>
      <c r="AE198" s="23"/>
    </row>
    <row r="199" spans="1:31">
      <c r="A199" s="23"/>
      <c r="B199" s="64"/>
      <c r="C199" s="62"/>
      <c r="D199" s="65"/>
      <c r="E199" s="66"/>
      <c r="F199" s="65"/>
      <c r="G199" s="67"/>
      <c r="H199" s="67"/>
      <c r="I199" s="71"/>
      <c r="J199" s="70"/>
      <c r="K199" s="23"/>
      <c r="L199" s="70"/>
      <c r="M199" s="70"/>
      <c r="N199" s="70"/>
      <c r="O199" s="40"/>
      <c r="P199" s="23"/>
      <c r="Q199" s="23"/>
      <c r="R199" s="72"/>
      <c r="S199" s="72"/>
      <c r="T199" s="23"/>
      <c r="U199" s="40"/>
      <c r="V199" s="23"/>
      <c r="W199" s="72"/>
      <c r="X199" s="23"/>
      <c r="Y199" s="40"/>
      <c r="Z199" s="23"/>
      <c r="AA199" s="72"/>
      <c r="AB199" s="23"/>
      <c r="AC199" s="40"/>
      <c r="AD199" s="23"/>
      <c r="AE199" s="23"/>
    </row>
    <row r="200" spans="1:31">
      <c r="A200" s="23"/>
      <c r="B200" s="64"/>
      <c r="C200" s="62"/>
      <c r="D200" s="65"/>
      <c r="E200" s="66"/>
      <c r="F200" s="65"/>
      <c r="G200" s="67"/>
      <c r="H200" s="67"/>
      <c r="I200" s="71"/>
      <c r="J200" s="70"/>
      <c r="K200" s="23"/>
      <c r="L200" s="70"/>
      <c r="M200" s="70"/>
      <c r="N200" s="70"/>
      <c r="O200" s="40"/>
      <c r="P200" s="23"/>
      <c r="Q200" s="23"/>
      <c r="R200" s="72"/>
      <c r="S200" s="72"/>
      <c r="T200" s="23"/>
      <c r="U200" s="40"/>
      <c r="V200" s="23"/>
      <c r="W200" s="72"/>
      <c r="X200" s="23"/>
      <c r="Y200" s="40"/>
      <c r="Z200" s="23"/>
      <c r="AA200" s="72"/>
      <c r="AB200" s="23"/>
      <c r="AC200" s="40"/>
      <c r="AD200" s="23"/>
      <c r="AE200" s="23"/>
    </row>
    <row r="201" spans="1:31">
      <c r="A201" s="23"/>
      <c r="B201" s="64"/>
      <c r="C201" s="62"/>
      <c r="D201" s="65"/>
      <c r="E201" s="66"/>
      <c r="F201" s="65"/>
      <c r="G201" s="67"/>
      <c r="H201" s="67"/>
      <c r="I201" s="71"/>
      <c r="J201" s="70"/>
      <c r="K201" s="23"/>
      <c r="L201" s="70"/>
      <c r="M201" s="70"/>
      <c r="N201" s="70"/>
      <c r="O201" s="40"/>
      <c r="P201" s="23"/>
      <c r="Q201" s="23"/>
      <c r="R201" s="72"/>
      <c r="S201" s="72"/>
      <c r="T201" s="23"/>
      <c r="U201" s="40"/>
      <c r="V201" s="23"/>
      <c r="W201" s="72"/>
      <c r="X201" s="23"/>
      <c r="Y201" s="40"/>
      <c r="Z201" s="23"/>
      <c r="AA201" s="72"/>
      <c r="AB201" s="23"/>
      <c r="AC201" s="40"/>
      <c r="AD201" s="23"/>
      <c r="AE201" s="23"/>
    </row>
    <row r="202" spans="1:31">
      <c r="A202" s="23"/>
      <c r="B202" s="64"/>
      <c r="C202" s="62"/>
      <c r="D202" s="65"/>
      <c r="E202" s="66"/>
      <c r="F202" s="65"/>
      <c r="G202" s="67"/>
      <c r="H202" s="67"/>
      <c r="I202" s="71"/>
      <c r="J202" s="70"/>
      <c r="K202" s="23"/>
      <c r="L202" s="70"/>
      <c r="M202" s="70"/>
      <c r="N202" s="70"/>
      <c r="O202" s="40"/>
      <c r="P202" s="23"/>
      <c r="Q202" s="23"/>
      <c r="R202" s="72"/>
      <c r="S202" s="72"/>
      <c r="T202" s="23"/>
      <c r="U202" s="40"/>
      <c r="V202" s="23"/>
      <c r="W202" s="72"/>
      <c r="X202" s="23"/>
      <c r="Y202" s="40"/>
      <c r="Z202" s="23"/>
      <c r="AA202" s="72"/>
      <c r="AB202" s="23"/>
      <c r="AC202" s="40"/>
      <c r="AD202" s="23"/>
      <c r="AE202" s="23"/>
    </row>
    <row r="203" spans="1:31">
      <c r="A203" s="23"/>
      <c r="B203" s="64"/>
      <c r="C203" s="62"/>
      <c r="D203" s="65"/>
      <c r="E203" s="66"/>
      <c r="F203" s="65"/>
      <c r="G203" s="67"/>
      <c r="H203" s="67"/>
      <c r="I203" s="71"/>
      <c r="J203" s="70"/>
      <c r="K203" s="23"/>
      <c r="L203" s="70"/>
      <c r="M203" s="70"/>
      <c r="N203" s="70"/>
      <c r="O203" s="40"/>
      <c r="P203" s="23"/>
      <c r="Q203" s="23"/>
      <c r="R203" s="72"/>
      <c r="S203" s="72"/>
      <c r="T203" s="23"/>
      <c r="U203" s="40"/>
      <c r="V203" s="23"/>
      <c r="W203" s="72"/>
      <c r="X203" s="23"/>
      <c r="Y203" s="40"/>
      <c r="Z203" s="23"/>
      <c r="AA203" s="72"/>
      <c r="AB203" s="23"/>
      <c r="AC203" s="40"/>
      <c r="AD203" s="23"/>
      <c r="AE203" s="23"/>
    </row>
    <row r="204" spans="1:31">
      <c r="A204" s="23"/>
      <c r="B204" s="64"/>
      <c r="C204" s="62"/>
      <c r="D204" s="65"/>
      <c r="E204" s="66"/>
      <c r="F204" s="65"/>
      <c r="G204" s="67"/>
      <c r="H204" s="67"/>
      <c r="I204" s="71"/>
      <c r="J204" s="70"/>
      <c r="K204" s="23"/>
      <c r="L204" s="70"/>
      <c r="M204" s="70"/>
      <c r="N204" s="70"/>
      <c r="O204" s="40"/>
      <c r="P204" s="23"/>
      <c r="Q204" s="23"/>
      <c r="R204" s="72"/>
      <c r="S204" s="72"/>
      <c r="T204" s="23"/>
      <c r="U204" s="40"/>
      <c r="V204" s="23"/>
      <c r="W204" s="72"/>
      <c r="X204" s="23"/>
      <c r="Y204" s="40"/>
      <c r="Z204" s="23"/>
      <c r="AA204" s="72"/>
      <c r="AB204" s="23"/>
      <c r="AC204" s="40"/>
      <c r="AD204" s="23"/>
      <c r="AE204" s="23"/>
    </row>
    <row r="205" spans="1:31">
      <c r="A205" s="23"/>
      <c r="B205" s="64"/>
      <c r="C205" s="62"/>
      <c r="D205" s="65"/>
      <c r="E205" s="66"/>
      <c r="F205" s="65"/>
      <c r="G205" s="67"/>
      <c r="H205" s="67"/>
      <c r="I205" s="71"/>
      <c r="J205" s="70"/>
      <c r="K205" s="23"/>
      <c r="L205" s="70"/>
      <c r="M205" s="70"/>
      <c r="N205" s="70"/>
      <c r="O205" s="40"/>
      <c r="P205" s="23"/>
      <c r="Q205" s="23"/>
      <c r="R205" s="72"/>
      <c r="S205" s="72"/>
      <c r="T205" s="23"/>
      <c r="U205" s="40"/>
      <c r="V205" s="23"/>
      <c r="W205" s="72"/>
      <c r="X205" s="23"/>
      <c r="Y205" s="40"/>
      <c r="Z205" s="23"/>
      <c r="AA205" s="72"/>
      <c r="AB205" s="23"/>
      <c r="AC205" s="40"/>
      <c r="AD205" s="23"/>
      <c r="AE205" s="23"/>
    </row>
    <row r="206" spans="1:31">
      <c r="A206" s="23"/>
      <c r="B206" s="64"/>
      <c r="C206" s="62"/>
      <c r="D206" s="65"/>
      <c r="E206" s="66"/>
      <c r="F206" s="65"/>
      <c r="G206" s="67"/>
      <c r="H206" s="67"/>
      <c r="I206" s="71"/>
      <c r="J206" s="70"/>
      <c r="K206" s="23"/>
      <c r="L206" s="70"/>
      <c r="M206" s="70"/>
      <c r="N206" s="70"/>
      <c r="O206" s="40"/>
      <c r="P206" s="23"/>
      <c r="Q206" s="23"/>
      <c r="R206" s="72" t="s">
        <v>63</v>
      </c>
      <c r="S206" s="72"/>
      <c r="T206" s="23"/>
      <c r="U206" s="40"/>
      <c r="V206" s="23"/>
      <c r="W206" s="72"/>
      <c r="X206" s="23"/>
      <c r="Y206" s="40"/>
      <c r="Z206" s="23"/>
      <c r="AA206" s="72"/>
      <c r="AB206" s="23"/>
      <c r="AC206" s="40"/>
      <c r="AD206" s="23"/>
      <c r="AE206" s="23"/>
    </row>
    <row r="207" spans="1:31">
      <c r="A207" s="23"/>
      <c r="B207" s="64"/>
      <c r="C207" s="62"/>
      <c r="D207" s="65"/>
      <c r="E207" s="66"/>
      <c r="F207" s="65"/>
      <c r="G207" s="67"/>
      <c r="H207" s="67"/>
      <c r="I207" s="71"/>
      <c r="J207" s="70"/>
      <c r="K207" s="23"/>
      <c r="L207" s="70"/>
      <c r="M207" s="70"/>
      <c r="N207" s="70"/>
      <c r="O207" s="40"/>
      <c r="P207" s="23"/>
      <c r="Q207" s="23"/>
      <c r="R207" s="72"/>
      <c r="S207" s="72"/>
      <c r="T207" s="23"/>
      <c r="U207" s="40"/>
      <c r="V207" s="23"/>
      <c r="W207" s="72"/>
      <c r="X207" s="23"/>
      <c r="Y207" s="40"/>
      <c r="Z207" s="23"/>
      <c r="AA207" s="72"/>
      <c r="AB207" s="23"/>
      <c r="AC207" s="40"/>
      <c r="AD207" s="23"/>
      <c r="AE207" s="23"/>
    </row>
    <row r="208" spans="1:31">
      <c r="A208" s="23"/>
      <c r="B208" s="64"/>
      <c r="C208" s="62"/>
      <c r="D208" s="65"/>
      <c r="E208" s="66"/>
      <c r="F208" s="65"/>
      <c r="G208" s="67"/>
      <c r="H208" s="67"/>
      <c r="I208" s="71"/>
      <c r="J208" s="70"/>
      <c r="K208" s="23"/>
      <c r="L208" s="70"/>
      <c r="M208" s="70"/>
      <c r="N208" s="70"/>
      <c r="O208" s="40"/>
      <c r="P208" s="23"/>
      <c r="Q208" s="23"/>
      <c r="R208" s="72"/>
      <c r="S208" s="72"/>
      <c r="T208" s="23"/>
      <c r="U208" s="40"/>
      <c r="V208" s="23"/>
      <c r="W208" s="72"/>
      <c r="X208" s="23"/>
      <c r="Y208" s="40"/>
      <c r="Z208" s="23"/>
      <c r="AA208" s="72"/>
      <c r="AB208" s="23"/>
      <c r="AC208" s="40"/>
      <c r="AD208" s="23"/>
      <c r="AE208" s="23"/>
    </row>
    <row r="209" spans="1:31">
      <c r="A209" s="23"/>
      <c r="B209" s="64"/>
      <c r="C209" s="62"/>
      <c r="D209" s="65"/>
      <c r="E209" s="66"/>
      <c r="F209" s="65"/>
      <c r="G209" s="67"/>
      <c r="H209" s="67"/>
      <c r="I209" s="71"/>
      <c r="J209" s="70"/>
      <c r="K209" s="23"/>
      <c r="L209" s="70"/>
      <c r="M209" s="70"/>
      <c r="N209" s="70"/>
      <c r="O209" s="40"/>
      <c r="P209" s="23"/>
      <c r="Q209" s="23"/>
      <c r="R209" s="72"/>
      <c r="S209" s="72"/>
      <c r="T209" s="23"/>
      <c r="U209" s="40"/>
      <c r="V209" s="23"/>
      <c r="W209" s="72"/>
      <c r="X209" s="23"/>
      <c r="Y209" s="40"/>
      <c r="Z209" s="23"/>
      <c r="AA209" s="72"/>
      <c r="AB209" s="23"/>
      <c r="AC209" s="40"/>
      <c r="AD209" s="23"/>
      <c r="AE209" s="23"/>
    </row>
    <row r="210" spans="1:31">
      <c r="A210" s="23"/>
      <c r="B210" s="64"/>
      <c r="C210" s="62"/>
      <c r="D210" s="65"/>
      <c r="E210" s="66"/>
      <c r="F210" s="65"/>
      <c r="G210" s="67"/>
      <c r="H210" s="67"/>
      <c r="I210" s="71"/>
      <c r="J210" s="70"/>
      <c r="K210" s="23"/>
      <c r="L210" s="70"/>
      <c r="M210" s="70"/>
      <c r="N210" s="70"/>
      <c r="O210" s="40"/>
      <c r="P210" s="23"/>
      <c r="Q210" s="23"/>
      <c r="R210" s="72"/>
      <c r="S210" s="72"/>
      <c r="T210" s="23"/>
      <c r="U210" s="40"/>
      <c r="V210" s="23"/>
      <c r="W210" s="72"/>
      <c r="X210" s="23"/>
      <c r="Y210" s="40"/>
      <c r="Z210" s="23"/>
      <c r="AA210" s="72"/>
      <c r="AB210" s="23"/>
      <c r="AC210" s="40"/>
      <c r="AD210" s="23"/>
      <c r="AE210" s="23"/>
    </row>
    <row r="211" spans="1:31">
      <c r="A211" s="23"/>
      <c r="B211" s="64"/>
      <c r="C211" s="62"/>
      <c r="D211" s="65"/>
      <c r="E211" s="66"/>
      <c r="F211" s="65"/>
      <c r="G211" s="67"/>
      <c r="H211" s="67"/>
      <c r="I211" s="71"/>
      <c r="J211" s="70"/>
      <c r="K211" s="23"/>
      <c r="L211" s="70"/>
      <c r="M211" s="70"/>
      <c r="N211" s="70"/>
      <c r="O211" s="40"/>
      <c r="P211" s="23"/>
      <c r="Q211" s="23"/>
      <c r="R211" s="72"/>
      <c r="S211" s="72"/>
      <c r="T211" s="23"/>
      <c r="U211" s="40"/>
      <c r="V211" s="23"/>
      <c r="W211" s="72"/>
      <c r="X211" s="23"/>
      <c r="Y211" s="40"/>
      <c r="Z211" s="23"/>
      <c r="AA211" s="72"/>
      <c r="AB211" s="23"/>
      <c r="AC211" s="40"/>
      <c r="AD211" s="23"/>
      <c r="AE211" s="23"/>
    </row>
    <row r="212" spans="1:31">
      <c r="A212" s="23"/>
      <c r="B212" s="64"/>
      <c r="C212" s="62"/>
      <c r="D212" s="65"/>
      <c r="E212" s="66"/>
      <c r="F212" s="65"/>
      <c r="G212" s="67"/>
      <c r="H212" s="67"/>
      <c r="I212" s="71"/>
      <c r="J212" s="70"/>
      <c r="K212" s="23"/>
      <c r="L212" s="70"/>
      <c r="M212" s="70"/>
      <c r="N212" s="70"/>
      <c r="O212" s="40"/>
      <c r="P212" s="23"/>
      <c r="Q212" s="23"/>
      <c r="R212" s="72"/>
      <c r="S212" s="72"/>
      <c r="T212" s="23"/>
      <c r="U212" s="40"/>
      <c r="V212" s="23"/>
      <c r="W212" s="72"/>
      <c r="X212" s="23"/>
      <c r="Y212" s="40"/>
      <c r="Z212" s="23"/>
      <c r="AA212" s="72"/>
      <c r="AB212" s="23"/>
      <c r="AC212" s="40"/>
      <c r="AD212" s="23"/>
      <c r="AE212" s="23"/>
    </row>
    <row r="213" spans="1:31" s="57" customFormat="1">
      <c r="A213" s="77"/>
      <c r="B213" s="78"/>
      <c r="C213" s="79"/>
      <c r="D213" s="81"/>
      <c r="E213" s="80"/>
      <c r="F213" s="81"/>
      <c r="G213" s="98"/>
      <c r="H213" s="98"/>
      <c r="I213" s="87"/>
      <c r="J213" s="89"/>
      <c r="K213" s="77"/>
      <c r="L213" s="89"/>
      <c r="M213" s="89"/>
      <c r="N213" s="89"/>
      <c r="O213" s="88"/>
      <c r="P213" s="77"/>
      <c r="Q213" s="77"/>
      <c r="R213" s="91"/>
      <c r="S213" s="91"/>
      <c r="T213" s="77"/>
      <c r="U213" s="88"/>
      <c r="V213" s="77"/>
      <c r="W213" s="91"/>
      <c r="X213" s="77"/>
      <c r="Y213" s="88"/>
      <c r="Z213" s="77"/>
      <c r="AA213" s="91"/>
      <c r="AB213" s="77"/>
      <c r="AC213" s="88"/>
      <c r="AD213" s="77"/>
      <c r="AE213" s="77"/>
    </row>
    <row r="214" spans="1:31" s="57" customFormat="1">
      <c r="A214" s="77"/>
      <c r="B214" s="78"/>
      <c r="C214" s="79"/>
      <c r="D214" s="65"/>
      <c r="E214" s="66"/>
      <c r="F214" s="81"/>
      <c r="G214" s="67"/>
      <c r="H214" s="67"/>
      <c r="I214" s="87"/>
      <c r="J214" s="89"/>
      <c r="K214" s="77"/>
      <c r="L214" s="89"/>
      <c r="M214" s="89"/>
      <c r="N214" s="89"/>
      <c r="O214" s="88"/>
      <c r="P214" s="77"/>
      <c r="Q214" s="77"/>
      <c r="R214" s="91"/>
      <c r="S214" s="91"/>
      <c r="T214" s="77"/>
      <c r="U214" s="88"/>
      <c r="V214" s="77"/>
      <c r="W214" s="91"/>
      <c r="X214" s="77"/>
      <c r="Y214" s="88"/>
      <c r="Z214" s="77"/>
      <c r="AA214" s="91"/>
      <c r="AB214" s="77"/>
      <c r="AC214" s="88"/>
      <c r="AD214" s="77"/>
      <c r="AE214" s="77"/>
    </row>
    <row r="215" spans="1:31" s="57" customFormat="1">
      <c r="A215" s="77"/>
      <c r="B215" s="78"/>
      <c r="C215" s="79"/>
      <c r="D215" s="81"/>
      <c r="E215" s="80"/>
      <c r="F215" s="81"/>
      <c r="G215" s="67"/>
      <c r="H215" s="98"/>
      <c r="I215" s="87"/>
      <c r="J215" s="89"/>
      <c r="K215" s="77"/>
      <c r="L215" s="89"/>
      <c r="M215" s="89"/>
      <c r="N215" s="89"/>
      <c r="O215" s="88"/>
      <c r="P215" s="77"/>
      <c r="Q215" s="77"/>
      <c r="R215" s="91"/>
      <c r="S215" s="91"/>
      <c r="T215" s="77"/>
      <c r="U215" s="88"/>
      <c r="V215" s="77"/>
      <c r="W215" s="91"/>
      <c r="X215" s="77"/>
      <c r="Y215" s="88"/>
      <c r="Z215" s="77"/>
      <c r="AA215" s="91"/>
      <c r="AB215" s="77"/>
      <c r="AC215" s="88"/>
      <c r="AD215" s="77"/>
      <c r="AE215" s="77"/>
    </row>
    <row r="216" spans="1:31" s="57" customFormat="1">
      <c r="A216" s="77"/>
      <c r="B216" s="78"/>
      <c r="C216" s="79"/>
      <c r="D216" s="65"/>
      <c r="E216" s="66"/>
      <c r="F216" s="81"/>
      <c r="G216" s="67"/>
      <c r="H216" s="67"/>
      <c r="I216" s="87"/>
      <c r="J216" s="89"/>
      <c r="K216" s="77"/>
      <c r="L216" s="89"/>
      <c r="M216" s="89"/>
      <c r="N216" s="89"/>
      <c r="O216" s="88"/>
      <c r="P216" s="77"/>
      <c r="Q216" s="77"/>
      <c r="R216" s="91"/>
      <c r="S216" s="91"/>
      <c r="T216" s="77"/>
      <c r="U216" s="88"/>
      <c r="V216" s="77"/>
      <c r="W216" s="91"/>
      <c r="X216" s="77"/>
      <c r="Y216" s="88"/>
      <c r="Z216" s="77"/>
      <c r="AA216" s="91"/>
      <c r="AB216" s="77"/>
      <c r="AC216" s="88"/>
      <c r="AD216" s="77"/>
      <c r="AE216" s="77"/>
    </row>
    <row r="217" spans="1:31">
      <c r="A217" s="23"/>
      <c r="B217" s="64"/>
      <c r="C217" s="62"/>
      <c r="D217" s="65"/>
      <c r="E217" s="66"/>
      <c r="F217" s="65"/>
      <c r="G217" s="67"/>
      <c r="H217" s="67"/>
      <c r="I217" s="71"/>
      <c r="J217" s="23"/>
      <c r="K217" s="23"/>
      <c r="L217" s="70"/>
      <c r="M217" s="70"/>
      <c r="N217" s="70"/>
      <c r="O217" s="40"/>
      <c r="P217" s="23"/>
      <c r="Q217" s="23"/>
      <c r="R217" s="72"/>
      <c r="S217" s="72"/>
      <c r="T217" s="23"/>
      <c r="U217" s="40"/>
      <c r="V217" s="23"/>
      <c r="W217" s="72"/>
      <c r="X217" s="23"/>
      <c r="Y217" s="40"/>
      <c r="Z217" s="23"/>
      <c r="AA217" s="72"/>
      <c r="AB217" s="23"/>
      <c r="AC217" s="40"/>
      <c r="AD217" s="23"/>
      <c r="AE217" s="23"/>
    </row>
    <row r="218" spans="1:31">
      <c r="A218" s="23"/>
      <c r="B218" s="64"/>
      <c r="C218" s="62"/>
      <c r="D218" s="65"/>
      <c r="E218" s="66"/>
      <c r="F218" s="65"/>
      <c r="G218" s="67"/>
      <c r="H218" s="67"/>
      <c r="I218" s="71"/>
      <c r="J218" s="23"/>
      <c r="K218" s="23"/>
      <c r="L218" s="70"/>
      <c r="M218" s="70"/>
      <c r="N218" s="70"/>
      <c r="O218" s="40"/>
      <c r="P218" s="23"/>
      <c r="Q218" s="23"/>
      <c r="R218" s="72"/>
      <c r="S218" s="72"/>
      <c r="T218" s="23"/>
      <c r="U218" s="40"/>
      <c r="V218" s="23"/>
      <c r="W218" s="72"/>
      <c r="X218" s="23"/>
      <c r="Y218" s="40"/>
      <c r="Z218" s="23"/>
      <c r="AA218" s="72"/>
      <c r="AB218" s="23"/>
      <c r="AC218" s="40"/>
      <c r="AD218" s="23"/>
      <c r="AE218" s="23"/>
    </row>
    <row r="219" spans="1:31">
      <c r="A219" s="23"/>
      <c r="B219" s="64"/>
      <c r="C219" s="62"/>
      <c r="D219" s="65"/>
      <c r="E219" s="66"/>
      <c r="F219" s="65"/>
      <c r="G219" s="67"/>
      <c r="H219" s="67"/>
      <c r="I219" s="67"/>
      <c r="J219" s="23"/>
      <c r="K219" s="23"/>
      <c r="L219" s="23"/>
      <c r="M219" s="23"/>
      <c r="N219" s="70"/>
      <c r="O219" s="40"/>
      <c r="P219" s="23"/>
      <c r="Q219" s="23"/>
      <c r="R219" s="72"/>
      <c r="S219" s="72"/>
      <c r="T219" s="23"/>
      <c r="U219" s="40"/>
      <c r="V219" s="23"/>
      <c r="W219" s="72"/>
      <c r="X219" s="23"/>
      <c r="Y219" s="40"/>
      <c r="Z219" s="23"/>
      <c r="AA219" s="72"/>
      <c r="AB219" s="23"/>
      <c r="AC219" s="40"/>
      <c r="AD219" s="23"/>
      <c r="AE219" s="23"/>
    </row>
    <row r="220" spans="1:31">
      <c r="A220" s="23"/>
      <c r="B220" s="64"/>
      <c r="C220" s="62"/>
      <c r="D220" s="65"/>
      <c r="E220" s="66"/>
      <c r="F220" s="65"/>
      <c r="G220" s="67"/>
      <c r="H220" s="67"/>
      <c r="I220" s="67"/>
      <c r="J220" s="23"/>
      <c r="K220" s="23"/>
      <c r="L220" s="23"/>
      <c r="M220" s="23"/>
      <c r="N220" s="70"/>
      <c r="O220" s="40"/>
      <c r="P220" s="23"/>
      <c r="Q220" s="23"/>
      <c r="R220" s="72"/>
      <c r="S220" s="72"/>
      <c r="T220" s="23"/>
      <c r="U220" s="40"/>
      <c r="V220" s="23"/>
      <c r="W220" s="72"/>
      <c r="X220" s="23"/>
      <c r="Y220" s="40"/>
      <c r="Z220" s="23"/>
      <c r="AA220" s="72"/>
      <c r="AB220" s="23"/>
      <c r="AC220" s="40"/>
      <c r="AD220" s="23"/>
      <c r="AE220" s="23"/>
    </row>
    <row r="221" spans="1:31">
      <c r="A221" s="23"/>
      <c r="B221" s="64"/>
      <c r="C221" s="62"/>
      <c r="D221" s="65"/>
      <c r="E221" s="66"/>
      <c r="F221" s="65"/>
      <c r="G221" s="67"/>
      <c r="H221" s="67"/>
      <c r="I221" s="71"/>
      <c r="J221" s="70"/>
      <c r="K221" s="23"/>
      <c r="L221" s="70"/>
      <c r="M221" s="70"/>
      <c r="N221" s="70"/>
      <c r="O221" s="40"/>
      <c r="P221" s="23"/>
      <c r="Q221" s="23"/>
      <c r="R221" s="72"/>
      <c r="S221" s="72"/>
      <c r="T221" s="23"/>
      <c r="U221" s="40"/>
      <c r="V221" s="23"/>
      <c r="W221" s="72"/>
      <c r="X221" s="23"/>
      <c r="Y221" s="40"/>
      <c r="Z221" s="23"/>
      <c r="AA221" s="72"/>
      <c r="AB221" s="23"/>
      <c r="AC221" s="40"/>
      <c r="AD221" s="23"/>
      <c r="AE221" s="23"/>
    </row>
    <row r="222" spans="1:31">
      <c r="A222" s="23"/>
      <c r="B222" s="64"/>
      <c r="C222" s="62"/>
      <c r="D222" s="65"/>
      <c r="E222" s="66"/>
      <c r="F222" s="65"/>
      <c r="G222" s="67"/>
      <c r="H222" s="67"/>
      <c r="I222" s="71"/>
      <c r="J222" s="70"/>
      <c r="K222" s="23"/>
      <c r="L222" s="70"/>
      <c r="M222" s="70"/>
      <c r="N222" s="70"/>
      <c r="O222" s="40"/>
      <c r="P222" s="23"/>
      <c r="Q222" s="23"/>
      <c r="R222" s="72"/>
      <c r="S222" s="72"/>
      <c r="T222" s="23"/>
      <c r="U222" s="40"/>
      <c r="V222" s="23"/>
      <c r="W222" s="72"/>
      <c r="X222" s="23"/>
      <c r="Y222" s="40"/>
      <c r="Z222" s="23"/>
      <c r="AA222" s="72"/>
      <c r="AB222" s="23"/>
      <c r="AC222" s="40"/>
      <c r="AD222" s="23"/>
      <c r="AE222" s="23"/>
    </row>
    <row r="223" spans="1:31">
      <c r="A223" s="23"/>
      <c r="B223" s="64"/>
      <c r="C223" s="62"/>
      <c r="D223" s="65"/>
      <c r="E223" s="66"/>
      <c r="F223" s="65"/>
      <c r="G223" s="67"/>
      <c r="H223" s="67"/>
      <c r="I223" s="71"/>
      <c r="J223" s="70"/>
      <c r="K223" s="23"/>
      <c r="L223" s="70"/>
      <c r="M223" s="70"/>
      <c r="N223" s="70"/>
      <c r="O223" s="40"/>
      <c r="P223" s="23"/>
      <c r="Q223" s="23"/>
      <c r="R223" s="72"/>
      <c r="S223" s="72"/>
      <c r="T223" s="23"/>
      <c r="U223" s="40"/>
      <c r="V223" s="23"/>
      <c r="W223" s="72"/>
      <c r="X223" s="23"/>
      <c r="Y223" s="40"/>
      <c r="Z223" s="23"/>
      <c r="AA223" s="72"/>
      <c r="AB223" s="23"/>
      <c r="AC223" s="40"/>
      <c r="AD223" s="23"/>
      <c r="AE223" s="23"/>
    </row>
    <row r="224" spans="1:31">
      <c r="A224" s="23"/>
      <c r="B224" s="64"/>
      <c r="C224" s="62"/>
      <c r="D224" s="65"/>
      <c r="E224" s="66"/>
      <c r="F224" s="65"/>
      <c r="G224" s="67"/>
      <c r="H224" s="67"/>
      <c r="I224" s="71"/>
      <c r="J224" s="70"/>
      <c r="K224" s="23"/>
      <c r="L224" s="70"/>
      <c r="M224" s="70"/>
      <c r="N224" s="70"/>
      <c r="O224" s="40"/>
      <c r="P224" s="23"/>
      <c r="Q224" s="23"/>
      <c r="R224" s="72"/>
      <c r="S224" s="72"/>
      <c r="T224" s="23"/>
      <c r="U224" s="40"/>
      <c r="V224" s="23"/>
      <c r="W224" s="72"/>
      <c r="X224" s="23"/>
      <c r="Y224" s="40"/>
      <c r="Z224" s="23"/>
      <c r="AA224" s="72"/>
      <c r="AB224" s="23"/>
      <c r="AC224" s="40"/>
      <c r="AD224" s="23"/>
      <c r="AE224" s="23"/>
    </row>
    <row r="225" spans="1:31">
      <c r="A225" s="23"/>
      <c r="B225" s="64"/>
      <c r="C225" s="62"/>
      <c r="D225" s="65"/>
      <c r="E225" s="66"/>
      <c r="F225" s="65"/>
      <c r="G225" s="67"/>
      <c r="H225" s="67"/>
      <c r="I225" s="71"/>
      <c r="J225" s="70"/>
      <c r="K225" s="23"/>
      <c r="L225" s="70"/>
      <c r="M225" s="70"/>
      <c r="N225" s="70"/>
      <c r="O225" s="40"/>
      <c r="P225" s="23"/>
      <c r="Q225" s="23"/>
      <c r="R225" s="72"/>
      <c r="S225" s="72"/>
      <c r="T225" s="23"/>
      <c r="U225" s="40"/>
      <c r="V225" s="23"/>
      <c r="W225" s="72"/>
      <c r="X225" s="23"/>
      <c r="Y225" s="40"/>
      <c r="Z225" s="23"/>
      <c r="AA225" s="72"/>
      <c r="AB225" s="23"/>
      <c r="AC225" s="40"/>
      <c r="AD225" s="23"/>
      <c r="AE225" s="23"/>
    </row>
    <row r="226" spans="1:31">
      <c r="A226" s="23"/>
      <c r="B226" s="64"/>
      <c r="C226" s="62"/>
      <c r="D226" s="65"/>
      <c r="E226" s="66"/>
      <c r="F226" s="65"/>
      <c r="G226" s="67"/>
      <c r="H226" s="67"/>
      <c r="I226" s="71"/>
      <c r="J226" s="70"/>
      <c r="K226" s="23"/>
      <c r="L226" s="70"/>
      <c r="M226" s="70"/>
      <c r="N226" s="70"/>
      <c r="O226" s="40"/>
      <c r="P226" s="23"/>
      <c r="Q226" s="23"/>
      <c r="R226" s="72"/>
      <c r="S226" s="72"/>
      <c r="T226" s="23"/>
      <c r="U226" s="40"/>
      <c r="V226" s="23"/>
      <c r="W226" s="72"/>
      <c r="X226" s="23"/>
      <c r="Y226" s="40"/>
      <c r="Z226" s="23"/>
      <c r="AA226" s="72"/>
      <c r="AB226" s="23"/>
      <c r="AC226" s="40"/>
      <c r="AD226" s="23"/>
      <c r="AE226" s="23"/>
    </row>
    <row r="227" spans="1:31">
      <c r="A227" s="23"/>
      <c r="B227" s="64"/>
      <c r="C227" s="62"/>
      <c r="D227" s="65"/>
      <c r="E227" s="66"/>
      <c r="F227" s="65"/>
      <c r="G227" s="67"/>
      <c r="H227" s="67"/>
      <c r="I227" s="71"/>
      <c r="J227" s="70"/>
      <c r="K227" s="23"/>
      <c r="L227" s="70"/>
      <c r="M227" s="70"/>
      <c r="N227" s="70"/>
      <c r="O227" s="40"/>
      <c r="P227" s="23"/>
      <c r="Q227" s="23"/>
      <c r="R227" s="72"/>
      <c r="S227" s="72"/>
      <c r="T227" s="23"/>
      <c r="U227" s="40"/>
      <c r="V227" s="23"/>
      <c r="W227" s="72"/>
      <c r="X227" s="23"/>
      <c r="Y227" s="40"/>
      <c r="Z227" s="23"/>
      <c r="AA227" s="72"/>
      <c r="AB227" s="23"/>
      <c r="AC227" s="40"/>
      <c r="AD227" s="23"/>
      <c r="AE227" s="23"/>
    </row>
    <row r="228" spans="1:31">
      <c r="A228" s="23"/>
      <c r="B228" s="64"/>
      <c r="C228" s="62"/>
      <c r="D228" s="65"/>
      <c r="E228" s="66"/>
      <c r="F228" s="65"/>
      <c r="G228" s="67"/>
      <c r="H228" s="67"/>
      <c r="I228" s="71"/>
      <c r="J228" s="70"/>
      <c r="K228" s="23"/>
      <c r="L228" s="70"/>
      <c r="M228" s="70"/>
      <c r="N228" s="70"/>
      <c r="O228" s="40"/>
      <c r="P228" s="23"/>
      <c r="Q228" s="23"/>
      <c r="R228" s="72"/>
      <c r="S228" s="72"/>
      <c r="T228" s="23"/>
      <c r="U228" s="40"/>
      <c r="V228" s="23"/>
      <c r="W228" s="72"/>
      <c r="X228" s="23"/>
      <c r="Y228" s="40"/>
      <c r="Z228" s="23"/>
      <c r="AA228" s="72"/>
      <c r="AB228" s="23"/>
      <c r="AC228" s="40"/>
      <c r="AD228" s="23"/>
      <c r="AE228" s="23"/>
    </row>
    <row r="229" spans="1:31">
      <c r="A229" s="23"/>
      <c r="B229" s="64"/>
      <c r="C229" s="62"/>
      <c r="D229" s="65"/>
      <c r="E229" s="66"/>
      <c r="F229" s="65"/>
      <c r="G229" s="67"/>
      <c r="H229" s="67"/>
      <c r="I229" s="71"/>
      <c r="J229" s="70"/>
      <c r="K229" s="23"/>
      <c r="L229" s="70"/>
      <c r="M229" s="70"/>
      <c r="N229" s="70"/>
      <c r="O229" s="40"/>
      <c r="P229" s="23"/>
      <c r="Q229" s="23"/>
      <c r="R229" s="72"/>
      <c r="S229" s="72"/>
      <c r="T229" s="23"/>
      <c r="U229" s="40"/>
      <c r="V229" s="23"/>
      <c r="W229" s="72"/>
      <c r="X229" s="23"/>
      <c r="Y229" s="40"/>
      <c r="Z229" s="23"/>
      <c r="AA229" s="72"/>
      <c r="AB229" s="23"/>
      <c r="AC229" s="40"/>
      <c r="AD229" s="23"/>
      <c r="AE229" s="23"/>
    </row>
    <row r="230" spans="1:31">
      <c r="A230" s="23"/>
      <c r="B230" s="64"/>
      <c r="C230" s="62"/>
      <c r="D230" s="65"/>
      <c r="E230" s="66"/>
      <c r="F230" s="65"/>
      <c r="G230" s="67"/>
      <c r="H230" s="67"/>
      <c r="I230" s="71"/>
      <c r="J230" s="70"/>
      <c r="K230" s="23"/>
      <c r="L230" s="70"/>
      <c r="M230" s="70"/>
      <c r="N230" s="70"/>
      <c r="O230" s="40"/>
      <c r="P230" s="23"/>
      <c r="Q230" s="23"/>
      <c r="R230" s="72"/>
      <c r="S230" s="72"/>
      <c r="T230" s="23"/>
      <c r="U230" s="40"/>
      <c r="V230" s="23"/>
      <c r="W230" s="72"/>
      <c r="X230" s="23"/>
      <c r="Y230" s="40"/>
      <c r="Z230" s="23"/>
      <c r="AA230" s="72"/>
      <c r="AB230" s="23"/>
      <c r="AC230" s="40"/>
      <c r="AD230" s="23"/>
      <c r="AE230" s="23"/>
    </row>
    <row r="231" spans="1:31" s="56" customFormat="1" ht="36.950000000000003" customHeight="1">
      <c r="A231" s="73"/>
      <c r="B231" s="74"/>
      <c r="C231" s="75"/>
      <c r="D231" s="76"/>
      <c r="E231" s="82"/>
      <c r="F231" s="76"/>
      <c r="G231" s="99"/>
      <c r="H231" s="99"/>
      <c r="I231" s="84"/>
      <c r="J231" s="86"/>
      <c r="K231" s="73"/>
      <c r="L231" s="86"/>
      <c r="M231" s="86"/>
      <c r="N231" s="86"/>
      <c r="O231" s="85"/>
      <c r="P231" s="73"/>
      <c r="Q231" s="73"/>
      <c r="R231" s="90"/>
      <c r="S231" s="90"/>
      <c r="T231" s="73"/>
      <c r="U231" s="85"/>
      <c r="V231" s="73"/>
      <c r="W231" s="90"/>
      <c r="X231" s="73"/>
      <c r="Y231" s="85"/>
      <c r="Z231" s="73"/>
      <c r="AA231" s="90"/>
      <c r="AB231" s="73"/>
      <c r="AC231" s="85"/>
      <c r="AD231" s="73"/>
      <c r="AE231" s="73"/>
    </row>
    <row r="232" spans="1:31" ht="48.95" customHeight="1">
      <c r="A232" s="23"/>
      <c r="B232" s="64"/>
      <c r="C232" s="62"/>
      <c r="D232" s="65"/>
      <c r="E232" s="65"/>
      <c r="F232" s="65"/>
      <c r="G232" s="67"/>
      <c r="H232" s="67"/>
      <c r="I232" s="71"/>
      <c r="J232" s="70"/>
      <c r="K232" s="23"/>
      <c r="L232" s="70"/>
      <c r="M232" s="70"/>
      <c r="N232" s="70"/>
      <c r="O232" s="40"/>
      <c r="P232" s="23"/>
      <c r="Q232" s="23"/>
      <c r="R232" s="72"/>
      <c r="S232" s="72"/>
      <c r="T232" s="23"/>
      <c r="U232" s="40"/>
      <c r="V232" s="23"/>
      <c r="W232" s="72"/>
      <c r="X232" s="23"/>
      <c r="Y232" s="40"/>
      <c r="Z232" s="23"/>
      <c r="AA232" s="72"/>
      <c r="AB232" s="23"/>
      <c r="AC232" s="40"/>
      <c r="AD232" s="23"/>
      <c r="AE232" s="23"/>
    </row>
    <row r="233" spans="1:31">
      <c r="A233" s="23"/>
      <c r="B233" s="64"/>
      <c r="C233" s="62"/>
      <c r="D233" s="65"/>
      <c r="E233" s="65"/>
      <c r="F233" s="65"/>
      <c r="G233" s="67"/>
      <c r="H233" s="67"/>
      <c r="I233" s="71"/>
      <c r="J233" s="70"/>
      <c r="K233" s="23"/>
      <c r="L233" s="70"/>
      <c r="M233" s="70"/>
      <c r="N233" s="70"/>
      <c r="O233" s="40"/>
      <c r="P233" s="23"/>
      <c r="Q233" s="23"/>
      <c r="R233" s="72"/>
      <c r="S233" s="72"/>
      <c r="T233" s="23"/>
      <c r="U233" s="40"/>
      <c r="V233" s="23"/>
      <c r="W233" s="72"/>
      <c r="X233" s="23"/>
      <c r="Y233" s="40"/>
      <c r="Z233" s="23"/>
      <c r="AA233" s="72"/>
      <c r="AB233" s="23"/>
      <c r="AC233" s="40"/>
      <c r="AD233" s="23"/>
      <c r="AE233" s="23"/>
    </row>
    <row r="234" spans="1:31">
      <c r="A234" s="23"/>
      <c r="B234" s="64"/>
      <c r="C234" s="62"/>
      <c r="D234" s="65"/>
      <c r="E234" s="65"/>
      <c r="F234" s="65"/>
      <c r="G234" s="67"/>
      <c r="H234" s="67"/>
      <c r="I234" s="71"/>
      <c r="J234" s="70"/>
      <c r="K234" s="23"/>
      <c r="L234" s="70"/>
      <c r="M234" s="70"/>
      <c r="N234" s="70"/>
      <c r="O234" s="40"/>
      <c r="P234" s="23"/>
      <c r="Q234" s="23"/>
      <c r="R234" s="72"/>
      <c r="S234" s="72"/>
      <c r="T234" s="23"/>
      <c r="U234" s="40"/>
      <c r="V234" s="23"/>
      <c r="W234" s="72"/>
      <c r="X234" s="23"/>
      <c r="Y234" s="40"/>
      <c r="Z234" s="23"/>
      <c r="AA234" s="72"/>
      <c r="AB234" s="23"/>
      <c r="AC234" s="40"/>
      <c r="AD234" s="23"/>
      <c r="AE234" s="23"/>
    </row>
    <row r="235" spans="1:31" ht="30" customHeight="1">
      <c r="A235" s="23"/>
      <c r="B235" s="64"/>
      <c r="C235" s="62"/>
      <c r="D235" s="65"/>
      <c r="E235" s="65"/>
      <c r="F235" s="65"/>
      <c r="G235" s="67"/>
      <c r="H235" s="67"/>
      <c r="I235" s="71"/>
      <c r="J235" s="70"/>
      <c r="K235" s="23"/>
      <c r="L235" s="70"/>
      <c r="M235" s="70"/>
      <c r="N235" s="70"/>
      <c r="O235" s="40"/>
      <c r="P235" s="23"/>
      <c r="Q235" s="23"/>
      <c r="R235" s="72"/>
      <c r="S235" s="72"/>
      <c r="T235" s="23"/>
      <c r="U235" s="40"/>
      <c r="V235" s="23"/>
      <c r="W235" s="72"/>
      <c r="X235" s="23"/>
      <c r="Y235" s="40"/>
      <c r="Z235" s="23"/>
      <c r="AA235" s="72"/>
      <c r="AB235" s="23"/>
      <c r="AC235" s="40"/>
      <c r="AD235" s="23"/>
      <c r="AE235" s="23"/>
    </row>
    <row r="236" spans="1:31" ht="45.95" customHeight="1">
      <c r="A236" s="23"/>
      <c r="B236" s="64"/>
      <c r="C236" s="62"/>
      <c r="D236" s="65"/>
      <c r="E236" s="65"/>
      <c r="F236" s="65"/>
      <c r="G236" s="67"/>
      <c r="H236" s="67"/>
      <c r="I236" s="71"/>
      <c r="J236" s="70"/>
      <c r="K236" s="23"/>
      <c r="L236" s="70"/>
      <c r="M236" s="70"/>
      <c r="N236" s="70"/>
      <c r="O236" s="40"/>
      <c r="P236" s="23"/>
      <c r="Q236" s="23"/>
      <c r="R236" s="72"/>
      <c r="S236" s="72"/>
      <c r="T236" s="23"/>
      <c r="U236" s="40"/>
      <c r="V236" s="23"/>
      <c r="W236" s="72"/>
      <c r="X236" s="23"/>
      <c r="Y236" s="40"/>
      <c r="Z236" s="23"/>
      <c r="AA236" s="72"/>
      <c r="AB236" s="23"/>
      <c r="AC236" s="40"/>
      <c r="AD236" s="23"/>
      <c r="AE236" s="23"/>
    </row>
    <row r="237" spans="1:31">
      <c r="A237" s="23"/>
      <c r="B237" s="64"/>
      <c r="C237" s="62"/>
      <c r="D237" s="65"/>
      <c r="E237" s="65"/>
      <c r="F237" s="65"/>
      <c r="G237" s="67"/>
      <c r="H237" s="67"/>
      <c r="I237" s="71"/>
      <c r="J237" s="70"/>
      <c r="K237" s="23"/>
      <c r="L237" s="70"/>
      <c r="M237" s="70"/>
      <c r="N237" s="70"/>
      <c r="O237" s="40"/>
      <c r="P237" s="23"/>
      <c r="Q237" s="23"/>
      <c r="R237" s="72"/>
      <c r="S237" s="72"/>
      <c r="T237" s="23"/>
      <c r="U237" s="40"/>
      <c r="V237" s="23"/>
      <c r="W237" s="72"/>
      <c r="X237" s="23"/>
      <c r="Y237" s="40"/>
      <c r="Z237" s="23"/>
      <c r="AA237" s="72"/>
      <c r="AB237" s="23"/>
      <c r="AC237" s="40"/>
      <c r="AD237" s="23"/>
      <c r="AE237" s="23"/>
    </row>
    <row r="238" spans="1:31">
      <c r="A238" s="23"/>
      <c r="B238" s="64"/>
      <c r="C238" s="62"/>
      <c r="D238" s="65"/>
      <c r="E238" s="65"/>
      <c r="F238" s="65"/>
      <c r="G238" s="67"/>
      <c r="H238" s="67"/>
      <c r="I238" s="71"/>
      <c r="J238" s="70"/>
      <c r="K238" s="23"/>
      <c r="L238" s="70"/>
      <c r="M238" s="70"/>
      <c r="N238" s="70"/>
      <c r="O238" s="40"/>
      <c r="P238" s="23"/>
      <c r="Q238" s="23"/>
      <c r="R238" s="72"/>
      <c r="S238" s="72"/>
      <c r="T238" s="23"/>
      <c r="U238" s="40"/>
      <c r="V238" s="23"/>
      <c r="W238" s="72"/>
      <c r="X238" s="23"/>
      <c r="Y238" s="40"/>
      <c r="Z238" s="23"/>
      <c r="AA238" s="72"/>
      <c r="AB238" s="23"/>
      <c r="AC238" s="40"/>
      <c r="AD238" s="23"/>
      <c r="AE238" s="23"/>
    </row>
    <row r="239" spans="1:31">
      <c r="A239" s="23"/>
      <c r="B239" s="64"/>
      <c r="C239" s="62"/>
      <c r="D239" s="65"/>
      <c r="E239" s="65"/>
      <c r="F239" s="65"/>
      <c r="G239" s="67"/>
      <c r="H239" s="67"/>
      <c r="I239" s="71"/>
      <c r="J239" s="70"/>
      <c r="K239" s="23"/>
      <c r="L239" s="70"/>
      <c r="M239" s="70"/>
      <c r="N239" s="70"/>
      <c r="O239" s="40"/>
      <c r="P239" s="23"/>
      <c r="Q239" s="23"/>
      <c r="R239" s="72"/>
      <c r="S239" s="72"/>
      <c r="T239" s="23"/>
      <c r="U239" s="40"/>
      <c r="V239" s="23"/>
      <c r="W239" s="72"/>
      <c r="X239" s="23"/>
      <c r="Y239" s="40"/>
      <c r="Z239" s="23"/>
      <c r="AA239" s="72"/>
      <c r="AB239" s="23"/>
      <c r="AC239" s="40"/>
      <c r="AD239" s="23"/>
      <c r="AE239" s="23"/>
    </row>
    <row r="240" spans="1:31">
      <c r="A240" s="23"/>
      <c r="B240" s="64"/>
      <c r="C240" s="62"/>
      <c r="D240" s="65"/>
      <c r="E240" s="65"/>
      <c r="F240" s="65"/>
      <c r="G240" s="67"/>
      <c r="H240" s="67"/>
      <c r="I240" s="71"/>
      <c r="J240" s="70"/>
      <c r="K240" s="23"/>
      <c r="L240" s="70"/>
      <c r="M240" s="70"/>
      <c r="N240" s="70"/>
      <c r="O240" s="40"/>
      <c r="P240" s="23"/>
      <c r="Q240" s="23"/>
      <c r="R240" s="72"/>
      <c r="S240" s="72"/>
      <c r="T240" s="23"/>
      <c r="U240" s="40"/>
      <c r="V240" s="23"/>
      <c r="W240" s="72"/>
      <c r="X240" s="23"/>
      <c r="Y240" s="40"/>
      <c r="Z240" s="23"/>
      <c r="AA240" s="72"/>
      <c r="AB240" s="23"/>
      <c r="AC240" s="40"/>
      <c r="AD240" s="23"/>
      <c r="AE240" s="23"/>
    </row>
    <row r="241" spans="1:31">
      <c r="A241" s="23"/>
      <c r="B241" s="64"/>
      <c r="C241" s="62"/>
      <c r="D241" s="65"/>
      <c r="E241" s="65"/>
      <c r="F241" s="65"/>
      <c r="G241" s="67"/>
      <c r="H241" s="67"/>
      <c r="I241" s="71"/>
      <c r="J241" s="70"/>
      <c r="K241" s="23"/>
      <c r="L241" s="70"/>
      <c r="M241" s="70"/>
      <c r="N241" s="70"/>
      <c r="O241" s="40"/>
      <c r="P241" s="23"/>
      <c r="Q241" s="23"/>
      <c r="R241" s="72"/>
      <c r="S241" s="72"/>
      <c r="T241" s="23"/>
      <c r="U241" s="40"/>
      <c r="V241" s="23"/>
      <c r="W241" s="72"/>
      <c r="X241" s="23"/>
      <c r="Y241" s="40"/>
      <c r="Z241" s="23"/>
      <c r="AA241" s="72"/>
      <c r="AB241" s="23"/>
      <c r="AC241" s="40"/>
      <c r="AD241" s="23"/>
      <c r="AE241" s="23"/>
    </row>
    <row r="242" spans="1:31">
      <c r="A242" s="23"/>
      <c r="B242" s="64"/>
      <c r="C242" s="62"/>
      <c r="D242" s="65"/>
      <c r="E242" s="65"/>
      <c r="F242" s="65"/>
      <c r="G242" s="67"/>
      <c r="H242" s="71"/>
      <c r="I242" s="71"/>
      <c r="J242" s="70"/>
      <c r="K242" s="23"/>
      <c r="L242" s="70"/>
      <c r="M242" s="70"/>
      <c r="N242" s="70"/>
      <c r="O242" s="40"/>
      <c r="P242" s="23"/>
      <c r="Q242" s="23"/>
      <c r="R242" s="72"/>
      <c r="S242" s="72"/>
      <c r="T242" s="23"/>
      <c r="U242" s="40"/>
      <c r="V242" s="23"/>
      <c r="W242" s="72"/>
      <c r="X242" s="23"/>
      <c r="Y242" s="40"/>
      <c r="Z242" s="23"/>
      <c r="AA242" s="72"/>
      <c r="AB242" s="23"/>
      <c r="AC242" s="40"/>
      <c r="AD242" s="23"/>
      <c r="AE242" s="23"/>
    </row>
    <row r="243" spans="1:31">
      <c r="A243" s="23"/>
      <c r="B243" s="64"/>
      <c r="C243" s="62"/>
      <c r="D243" s="65"/>
      <c r="E243" s="65"/>
      <c r="F243" s="65"/>
      <c r="G243" s="67"/>
      <c r="H243" s="83"/>
      <c r="I243" s="71"/>
      <c r="J243" s="70"/>
      <c r="K243" s="23"/>
      <c r="L243" s="70"/>
      <c r="M243" s="70"/>
      <c r="N243" s="70"/>
      <c r="O243" s="40"/>
      <c r="P243" s="23"/>
      <c r="Q243" s="23"/>
      <c r="R243" s="72"/>
      <c r="S243" s="72"/>
      <c r="T243" s="23"/>
      <c r="U243" s="40"/>
      <c r="V243" s="23"/>
      <c r="W243" s="72"/>
      <c r="X243" s="23"/>
      <c r="Y243" s="40"/>
      <c r="Z243" s="23"/>
      <c r="AA243" s="72"/>
      <c r="AB243" s="23"/>
      <c r="AC243" s="40"/>
      <c r="AD243" s="23"/>
      <c r="AE243" s="23"/>
    </row>
    <row r="244" spans="1:31">
      <c r="A244" s="23"/>
      <c r="B244" s="64"/>
      <c r="C244" s="62"/>
      <c r="D244" s="65"/>
      <c r="E244" s="65"/>
      <c r="F244" s="65"/>
      <c r="G244" s="67"/>
      <c r="H244" s="67"/>
      <c r="I244" s="71"/>
      <c r="J244" s="70"/>
      <c r="K244" s="23"/>
      <c r="L244" s="70"/>
      <c r="M244" s="70"/>
      <c r="N244" s="70"/>
      <c r="O244" s="40"/>
      <c r="P244" s="23"/>
      <c r="Q244" s="23"/>
      <c r="R244" s="72"/>
      <c r="S244" s="72"/>
      <c r="T244" s="23"/>
      <c r="U244" s="40"/>
      <c r="V244" s="23"/>
      <c r="W244" s="72"/>
      <c r="X244" s="23"/>
      <c r="Y244" s="40"/>
      <c r="Z244" s="23"/>
      <c r="AA244" s="72"/>
      <c r="AB244" s="23"/>
      <c r="AC244" s="40"/>
      <c r="AD244" s="23"/>
      <c r="AE244" s="23"/>
    </row>
    <row r="245" spans="1:31">
      <c r="A245" s="23"/>
      <c r="B245" s="64"/>
      <c r="C245" s="62"/>
      <c r="D245" s="65"/>
      <c r="E245" s="65"/>
      <c r="F245" s="65"/>
      <c r="G245" s="67"/>
      <c r="H245" s="67"/>
      <c r="I245" s="71"/>
      <c r="J245" s="70"/>
      <c r="K245" s="23"/>
      <c r="L245" s="70"/>
      <c r="M245" s="70"/>
      <c r="N245" s="70"/>
      <c r="O245" s="40"/>
      <c r="P245" s="23"/>
      <c r="Q245" s="23"/>
      <c r="R245" s="72"/>
      <c r="S245" s="72"/>
      <c r="T245" s="23"/>
      <c r="U245" s="40"/>
      <c r="V245" s="23"/>
      <c r="W245" s="72"/>
      <c r="X245" s="23"/>
      <c r="Y245" s="40"/>
      <c r="Z245" s="23"/>
      <c r="AA245" s="72"/>
      <c r="AB245" s="23"/>
      <c r="AC245" s="40"/>
      <c r="AD245" s="23"/>
      <c r="AE245" s="23"/>
    </row>
    <row r="246" spans="1:31">
      <c r="A246" s="23"/>
      <c r="B246" s="64"/>
      <c r="C246" s="62"/>
      <c r="D246" s="65"/>
      <c r="E246" s="65"/>
      <c r="F246" s="65"/>
      <c r="G246" s="67"/>
      <c r="H246" s="67"/>
      <c r="I246" s="71"/>
      <c r="J246" s="70"/>
      <c r="K246" s="23"/>
      <c r="L246" s="70"/>
      <c r="M246" s="70"/>
      <c r="N246" s="70"/>
      <c r="O246" s="40"/>
      <c r="P246" s="23"/>
      <c r="Q246" s="23"/>
      <c r="R246" s="72"/>
      <c r="S246" s="72"/>
      <c r="T246" s="23"/>
      <c r="U246" s="40"/>
      <c r="V246" s="23"/>
      <c r="W246" s="72"/>
      <c r="X246" s="23"/>
      <c r="Y246" s="40"/>
      <c r="Z246" s="23"/>
      <c r="AA246" s="72"/>
      <c r="AB246" s="23"/>
      <c r="AC246" s="40"/>
      <c r="AD246" s="23"/>
      <c r="AE246" s="23"/>
    </row>
    <row r="247" spans="1:31">
      <c r="A247" s="23"/>
      <c r="B247" s="64"/>
      <c r="C247" s="62"/>
      <c r="D247" s="65"/>
      <c r="E247" s="65"/>
      <c r="F247" s="65"/>
      <c r="G247" s="67"/>
      <c r="H247" s="83"/>
      <c r="I247" s="71"/>
      <c r="J247" s="70"/>
      <c r="K247" s="23"/>
      <c r="L247" s="70"/>
      <c r="M247" s="70"/>
      <c r="N247" s="70"/>
      <c r="O247" s="40"/>
      <c r="P247" s="23"/>
      <c r="Q247" s="23"/>
      <c r="R247" s="72"/>
      <c r="S247" s="72"/>
      <c r="T247" s="23"/>
      <c r="U247" s="40"/>
      <c r="V247" s="23"/>
      <c r="W247" s="72"/>
      <c r="X247" s="23"/>
      <c r="Y247" s="40"/>
      <c r="Z247" s="23"/>
      <c r="AA247" s="72"/>
      <c r="AB247" s="23"/>
      <c r="AC247" s="40"/>
      <c r="AD247" s="23"/>
      <c r="AE247" s="23"/>
    </row>
    <row r="248" spans="1:31">
      <c r="A248" s="23"/>
      <c r="B248" s="64"/>
      <c r="C248" s="62"/>
      <c r="D248" s="65"/>
      <c r="E248" s="65"/>
      <c r="F248" s="65"/>
      <c r="G248" s="67"/>
      <c r="H248" s="83"/>
      <c r="I248" s="71"/>
      <c r="J248" s="70"/>
      <c r="K248" s="23"/>
      <c r="L248" s="70"/>
      <c r="M248" s="70"/>
      <c r="N248" s="70"/>
      <c r="O248" s="40"/>
      <c r="P248" s="23"/>
      <c r="Q248" s="23"/>
      <c r="R248" s="72"/>
      <c r="S248" s="72"/>
      <c r="T248" s="23"/>
      <c r="U248" s="40"/>
      <c r="V248" s="23"/>
      <c r="W248" s="72"/>
      <c r="X248" s="23"/>
      <c r="Y248" s="40"/>
      <c r="Z248" s="23"/>
      <c r="AA248" s="72"/>
      <c r="AB248" s="23"/>
      <c r="AC248" s="40"/>
      <c r="AD248" s="23"/>
      <c r="AE248" s="23"/>
    </row>
    <row r="249" spans="1:31">
      <c r="A249" s="23"/>
      <c r="B249" s="64"/>
      <c r="C249" s="62"/>
      <c r="D249" s="65"/>
      <c r="E249" s="65"/>
      <c r="F249" s="65"/>
      <c r="G249" s="67"/>
      <c r="H249" s="67"/>
      <c r="I249" s="71"/>
      <c r="J249" s="70"/>
      <c r="K249" s="23"/>
      <c r="L249" s="70"/>
      <c r="M249" s="70"/>
      <c r="N249" s="70"/>
      <c r="O249" s="40"/>
      <c r="P249" s="23"/>
      <c r="Q249" s="23"/>
      <c r="R249" s="72"/>
      <c r="S249" s="72"/>
      <c r="T249" s="23"/>
      <c r="U249" s="40"/>
      <c r="V249" s="23"/>
      <c r="W249" s="72"/>
      <c r="X249" s="23"/>
      <c r="Y249" s="40"/>
      <c r="Z249" s="23"/>
      <c r="AA249" s="72"/>
      <c r="AB249" s="23"/>
      <c r="AC249" s="40"/>
      <c r="AD249" s="23"/>
      <c r="AE249" s="23"/>
    </row>
    <row r="250" spans="1:31">
      <c r="A250" s="23"/>
      <c r="B250" s="64"/>
      <c r="C250" s="62"/>
      <c r="D250" s="65"/>
      <c r="E250" s="65"/>
      <c r="F250" s="65"/>
      <c r="G250" s="67"/>
      <c r="H250" s="67"/>
      <c r="I250" s="71"/>
      <c r="J250" s="70"/>
      <c r="K250" s="23"/>
      <c r="L250" s="70"/>
      <c r="M250" s="70"/>
      <c r="N250" s="70"/>
      <c r="O250" s="40"/>
      <c r="P250" s="23"/>
      <c r="Q250" s="23"/>
      <c r="R250" s="72"/>
      <c r="S250" s="72"/>
      <c r="T250" s="23"/>
      <c r="U250" s="40"/>
      <c r="V250" s="23"/>
      <c r="W250" s="72"/>
      <c r="X250" s="23"/>
      <c r="Y250" s="40"/>
      <c r="Z250" s="23"/>
      <c r="AA250" s="72"/>
      <c r="AB250" s="23"/>
      <c r="AC250" s="40"/>
      <c r="AD250" s="23"/>
      <c r="AE250" s="23"/>
    </row>
    <row r="251" spans="1:31">
      <c r="A251" s="23"/>
      <c r="B251" s="64"/>
      <c r="C251" s="62"/>
      <c r="D251" s="65"/>
      <c r="E251" s="65"/>
      <c r="F251" s="65"/>
      <c r="G251" s="67"/>
      <c r="H251" s="67"/>
      <c r="I251" s="71"/>
      <c r="J251" s="70"/>
      <c r="K251" s="23"/>
      <c r="L251" s="70"/>
      <c r="M251" s="70"/>
      <c r="N251" s="70"/>
      <c r="O251" s="40"/>
      <c r="P251" s="23"/>
      <c r="Q251" s="23"/>
      <c r="R251" s="72"/>
      <c r="S251" s="72"/>
      <c r="T251" s="23"/>
      <c r="U251" s="40"/>
      <c r="V251" s="23"/>
      <c r="W251" s="72"/>
      <c r="X251" s="23"/>
      <c r="Y251" s="40"/>
      <c r="Z251" s="23"/>
      <c r="AA251" s="72"/>
      <c r="AB251" s="23"/>
      <c r="AC251" s="40"/>
      <c r="AD251" s="23"/>
      <c r="AE251" s="23"/>
    </row>
    <row r="252" spans="1:31">
      <c r="A252" s="23"/>
      <c r="B252" s="64"/>
      <c r="C252" s="62"/>
      <c r="D252" s="65"/>
      <c r="E252" s="65"/>
      <c r="F252" s="65"/>
      <c r="G252" s="67"/>
      <c r="H252" s="83"/>
      <c r="I252" s="71"/>
      <c r="J252" s="70"/>
      <c r="K252" s="23"/>
      <c r="L252" s="70"/>
      <c r="M252" s="70"/>
      <c r="N252" s="70"/>
      <c r="O252" s="40"/>
      <c r="P252" s="23"/>
      <c r="Q252" s="23"/>
      <c r="R252" s="72"/>
      <c r="S252" s="72"/>
      <c r="T252" s="23"/>
      <c r="U252" s="40"/>
      <c r="V252" s="23"/>
      <c r="W252" s="72"/>
      <c r="X252" s="23"/>
      <c r="Y252" s="40"/>
      <c r="Z252" s="23"/>
      <c r="AA252" s="72"/>
      <c r="AB252" s="23"/>
      <c r="AC252" s="40"/>
      <c r="AD252" s="23"/>
      <c r="AE252" s="23"/>
    </row>
    <row r="253" spans="1:31">
      <c r="A253" s="23"/>
      <c r="B253" s="64"/>
      <c r="C253" s="62"/>
      <c r="D253" s="65"/>
      <c r="E253" s="65"/>
      <c r="F253" s="65"/>
      <c r="G253" s="67"/>
      <c r="H253" s="83"/>
      <c r="I253" s="71"/>
      <c r="J253" s="70"/>
      <c r="K253" s="23"/>
      <c r="L253" s="70"/>
      <c r="M253" s="70"/>
      <c r="N253" s="70"/>
      <c r="O253" s="40"/>
      <c r="P253" s="23"/>
      <c r="Q253" s="23"/>
      <c r="R253" s="72"/>
      <c r="S253" s="72"/>
      <c r="T253" s="23"/>
      <c r="U253" s="40"/>
      <c r="V253" s="23"/>
      <c r="W253" s="72"/>
      <c r="X253" s="23"/>
      <c r="Y253" s="40"/>
      <c r="Z253" s="23"/>
      <c r="AA253" s="72"/>
      <c r="AB253" s="23"/>
      <c r="AC253" s="40"/>
      <c r="AD253" s="23"/>
      <c r="AE253" s="23"/>
    </row>
    <row r="254" spans="1:31">
      <c r="A254" s="23"/>
      <c r="B254" s="64"/>
      <c r="C254" s="62"/>
      <c r="D254" s="65"/>
      <c r="E254" s="65"/>
      <c r="F254" s="65"/>
      <c r="G254" s="67"/>
      <c r="H254" s="67"/>
      <c r="I254" s="71"/>
      <c r="J254" s="70"/>
      <c r="K254" s="23"/>
      <c r="L254" s="70"/>
      <c r="M254" s="70"/>
      <c r="N254" s="70"/>
      <c r="O254" s="40"/>
      <c r="P254" s="23"/>
      <c r="Q254" s="23"/>
      <c r="R254" s="72"/>
      <c r="S254" s="72"/>
      <c r="T254" s="23"/>
      <c r="U254" s="40"/>
      <c r="V254" s="23"/>
      <c r="W254" s="72"/>
      <c r="X254" s="23"/>
      <c r="Y254" s="40"/>
      <c r="Z254" s="23"/>
      <c r="AA254" s="72"/>
      <c r="AB254" s="23"/>
      <c r="AC254" s="40"/>
      <c r="AD254" s="23"/>
      <c r="AE254" s="23"/>
    </row>
    <row r="255" spans="1:31">
      <c r="A255" s="23"/>
      <c r="B255" s="64"/>
      <c r="C255" s="62"/>
      <c r="D255" s="65"/>
      <c r="E255" s="65"/>
      <c r="F255" s="65"/>
      <c r="G255" s="67"/>
      <c r="H255" s="67"/>
      <c r="I255" s="71"/>
      <c r="J255" s="70"/>
      <c r="K255" s="23"/>
      <c r="L255" s="70"/>
      <c r="M255" s="70"/>
      <c r="N255" s="70"/>
      <c r="O255" s="40"/>
      <c r="P255" s="23"/>
      <c r="Q255" s="23"/>
      <c r="R255" s="72"/>
      <c r="S255" s="72"/>
      <c r="T255" s="23"/>
      <c r="U255" s="40"/>
      <c r="V255" s="23"/>
      <c r="W255" s="72"/>
      <c r="X255" s="23"/>
      <c r="Y255" s="40"/>
      <c r="Z255" s="23"/>
      <c r="AA255" s="72"/>
      <c r="AB255" s="23"/>
      <c r="AC255" s="40"/>
      <c r="AD255" s="23"/>
      <c r="AE255" s="23"/>
    </row>
    <row r="256" spans="1:31">
      <c r="A256" s="23"/>
      <c r="B256" s="64"/>
      <c r="C256" s="62"/>
      <c r="D256" s="65"/>
      <c r="E256" s="65"/>
      <c r="F256" s="65"/>
      <c r="G256" s="67"/>
      <c r="H256" s="67"/>
      <c r="I256" s="71"/>
      <c r="J256" s="70"/>
      <c r="K256" s="23"/>
      <c r="L256" s="70"/>
      <c r="M256" s="70"/>
      <c r="N256" s="70"/>
      <c r="O256" s="40"/>
      <c r="P256" s="23"/>
      <c r="Q256" s="23"/>
      <c r="R256" s="72"/>
      <c r="S256" s="72"/>
      <c r="T256" s="23"/>
      <c r="U256" s="40"/>
      <c r="V256" s="23"/>
      <c r="W256" s="72"/>
      <c r="X256" s="23"/>
      <c r="Y256" s="40"/>
      <c r="Z256" s="23"/>
      <c r="AA256" s="72"/>
      <c r="AB256" s="23"/>
      <c r="AC256" s="40"/>
      <c r="AD256" s="23"/>
      <c r="AE256" s="23"/>
    </row>
    <row r="257" spans="1:31">
      <c r="A257" s="23"/>
      <c r="B257" s="64"/>
      <c r="C257" s="62"/>
      <c r="D257" s="65"/>
      <c r="E257" s="65"/>
      <c r="F257" s="65"/>
      <c r="G257" s="67"/>
      <c r="H257" s="67"/>
      <c r="I257" s="71"/>
      <c r="J257" s="70"/>
      <c r="K257" s="23"/>
      <c r="L257" s="70"/>
      <c r="M257" s="70"/>
      <c r="N257" s="70"/>
      <c r="O257" s="40"/>
      <c r="P257" s="23"/>
      <c r="Q257" s="23"/>
      <c r="R257" s="72"/>
      <c r="S257" s="72"/>
      <c r="T257" s="23"/>
      <c r="U257" s="40"/>
      <c r="V257" s="23"/>
      <c r="W257" s="72"/>
      <c r="X257" s="23"/>
      <c r="Y257" s="40"/>
      <c r="Z257" s="23"/>
      <c r="AA257" s="72"/>
      <c r="AB257" s="23"/>
      <c r="AC257" s="40"/>
      <c r="AD257" s="23"/>
      <c r="AE257" s="23"/>
    </row>
    <row r="258" spans="1:31">
      <c r="A258" s="23"/>
      <c r="B258" s="64"/>
      <c r="C258" s="62"/>
      <c r="D258" s="65"/>
      <c r="E258" s="65"/>
      <c r="F258" s="65"/>
      <c r="G258" s="67"/>
      <c r="H258" s="67"/>
      <c r="I258" s="71"/>
      <c r="J258" s="70"/>
      <c r="K258" s="23"/>
      <c r="L258" s="70"/>
      <c r="M258" s="70"/>
      <c r="N258" s="70"/>
      <c r="O258" s="40"/>
      <c r="P258" s="23"/>
      <c r="Q258" s="23"/>
      <c r="R258" s="72"/>
      <c r="S258" s="72"/>
      <c r="T258" s="23"/>
      <c r="U258" s="40"/>
      <c r="V258" s="23"/>
      <c r="W258" s="72"/>
      <c r="X258" s="23"/>
      <c r="Y258" s="40"/>
      <c r="Z258" s="23"/>
      <c r="AA258" s="72"/>
      <c r="AB258" s="23"/>
      <c r="AC258" s="40"/>
      <c r="AD258" s="23"/>
      <c r="AE258" s="23"/>
    </row>
    <row r="259" spans="1:31">
      <c r="A259" s="23"/>
      <c r="B259" s="64"/>
      <c r="C259" s="62"/>
      <c r="D259" s="65"/>
      <c r="E259" s="65"/>
      <c r="F259" s="65"/>
      <c r="G259" s="67"/>
      <c r="H259" s="67"/>
      <c r="I259" s="71"/>
      <c r="J259" s="70"/>
      <c r="K259" s="23"/>
      <c r="L259" s="70"/>
      <c r="M259" s="70"/>
      <c r="N259" s="70"/>
      <c r="O259" s="40"/>
      <c r="P259" s="23"/>
      <c r="Q259" s="23"/>
      <c r="R259" s="72"/>
      <c r="S259" s="72"/>
      <c r="T259" s="23"/>
      <c r="U259" s="40"/>
      <c r="V259" s="23"/>
      <c r="W259" s="72"/>
      <c r="X259" s="23"/>
      <c r="Y259" s="40"/>
      <c r="Z259" s="23"/>
      <c r="AA259" s="72"/>
      <c r="AB259" s="23"/>
      <c r="AC259" s="40"/>
      <c r="AD259" s="23"/>
      <c r="AE259" s="23"/>
    </row>
    <row r="260" spans="1:31">
      <c r="A260" s="23"/>
      <c r="B260" s="64"/>
      <c r="C260" s="62"/>
      <c r="D260" s="65"/>
      <c r="E260" s="65"/>
      <c r="F260" s="65"/>
      <c r="G260" s="67"/>
      <c r="H260" s="67"/>
      <c r="I260" s="71"/>
      <c r="J260" s="70"/>
      <c r="K260" s="23"/>
      <c r="L260" s="70"/>
      <c r="M260" s="70"/>
      <c r="N260" s="70"/>
      <c r="O260" s="40"/>
      <c r="P260" s="23"/>
      <c r="Q260" s="23"/>
      <c r="R260" s="72"/>
      <c r="S260" s="72"/>
      <c r="T260" s="23"/>
      <c r="U260" s="40"/>
      <c r="V260" s="23"/>
      <c r="W260" s="72"/>
      <c r="X260" s="23"/>
      <c r="Y260" s="40"/>
      <c r="Z260" s="23"/>
      <c r="AA260" s="72"/>
      <c r="AB260" s="23"/>
      <c r="AC260" s="40"/>
      <c r="AD260" s="23"/>
      <c r="AE260" s="23"/>
    </row>
    <row r="261" spans="1:31">
      <c r="A261" s="23"/>
      <c r="B261" s="64"/>
      <c r="C261" s="62"/>
      <c r="D261" s="65"/>
      <c r="E261" s="65"/>
      <c r="F261" s="65"/>
      <c r="G261" s="67"/>
      <c r="H261" s="67"/>
      <c r="I261" s="71"/>
      <c r="J261" s="70"/>
      <c r="K261" s="23"/>
      <c r="L261" s="70"/>
      <c r="M261" s="70"/>
      <c r="N261" s="70"/>
      <c r="O261" s="40"/>
      <c r="P261" s="23"/>
      <c r="Q261" s="23"/>
      <c r="R261" s="72"/>
      <c r="S261" s="72"/>
      <c r="T261" s="23"/>
      <c r="U261" s="40"/>
      <c r="V261" s="23"/>
      <c r="W261" s="72"/>
      <c r="X261" s="23"/>
      <c r="Y261" s="40"/>
      <c r="Z261" s="23"/>
      <c r="AA261" s="72"/>
      <c r="AB261" s="23"/>
      <c r="AC261" s="40"/>
      <c r="AD261" s="23"/>
      <c r="AE261" s="23"/>
    </row>
    <row r="262" spans="1:31">
      <c r="A262" s="23"/>
      <c r="B262" s="64"/>
      <c r="C262" s="62"/>
      <c r="D262" s="65"/>
      <c r="E262" s="65"/>
      <c r="F262" s="65"/>
      <c r="G262" s="67"/>
      <c r="H262" s="83"/>
      <c r="I262" s="71"/>
      <c r="J262" s="70"/>
      <c r="K262" s="23"/>
      <c r="L262" s="70"/>
      <c r="M262" s="70"/>
      <c r="N262" s="70"/>
      <c r="O262" s="40"/>
      <c r="P262" s="23"/>
      <c r="Q262" s="23"/>
      <c r="R262" s="72"/>
      <c r="S262" s="72"/>
      <c r="T262" s="23"/>
      <c r="U262" s="40"/>
      <c r="V262" s="23"/>
      <c r="W262" s="72"/>
      <c r="X262" s="23"/>
      <c r="Y262" s="40"/>
      <c r="Z262" s="23"/>
      <c r="AA262" s="72"/>
      <c r="AB262" s="23"/>
      <c r="AC262" s="40"/>
      <c r="AD262" s="23"/>
      <c r="AE262" s="23"/>
    </row>
    <row r="263" spans="1:31">
      <c r="A263" s="23"/>
      <c r="B263" s="64"/>
      <c r="C263" s="62"/>
      <c r="D263" s="65"/>
      <c r="E263" s="65"/>
      <c r="F263" s="65"/>
      <c r="G263" s="67"/>
      <c r="H263" s="67"/>
      <c r="I263" s="71"/>
      <c r="J263" s="70"/>
      <c r="K263" s="23"/>
      <c r="L263" s="70"/>
      <c r="M263" s="70"/>
      <c r="N263" s="70"/>
      <c r="O263" s="40"/>
      <c r="P263" s="23"/>
      <c r="Q263" s="23"/>
      <c r="R263" s="72"/>
      <c r="S263" s="72"/>
      <c r="T263" s="23"/>
      <c r="U263" s="40"/>
      <c r="V263" s="23"/>
      <c r="W263" s="72"/>
      <c r="X263" s="23"/>
      <c r="Y263" s="40"/>
      <c r="Z263" s="23"/>
      <c r="AA263" s="72"/>
      <c r="AB263" s="23"/>
      <c r="AC263" s="40"/>
      <c r="AD263" s="23"/>
      <c r="AE263" s="23"/>
    </row>
    <row r="264" spans="1:31">
      <c r="A264" s="23"/>
      <c r="B264" s="64"/>
      <c r="C264" s="62"/>
      <c r="D264" s="65"/>
      <c r="E264" s="65"/>
      <c r="F264" s="65"/>
      <c r="G264" s="67"/>
      <c r="H264" s="67"/>
      <c r="I264" s="71"/>
      <c r="J264" s="70"/>
      <c r="K264" s="23"/>
      <c r="L264" s="70"/>
      <c r="M264" s="70"/>
      <c r="N264" s="70"/>
      <c r="O264" s="40"/>
      <c r="P264" s="23"/>
      <c r="Q264" s="23"/>
      <c r="R264" s="72"/>
      <c r="S264" s="72"/>
      <c r="T264" s="23"/>
      <c r="U264" s="40"/>
      <c r="V264" s="23"/>
      <c r="W264" s="72"/>
      <c r="X264" s="23"/>
      <c r="Y264" s="40"/>
      <c r="Z264" s="23"/>
      <c r="AA264" s="72"/>
      <c r="AB264" s="23"/>
      <c r="AC264" s="40"/>
      <c r="AD264" s="23"/>
      <c r="AE264" s="23"/>
    </row>
    <row r="265" spans="1:31">
      <c r="A265" s="23"/>
      <c r="B265" s="64"/>
      <c r="C265" s="62"/>
      <c r="D265" s="65"/>
      <c r="E265" s="65"/>
      <c r="F265" s="65"/>
      <c r="G265" s="67"/>
      <c r="H265" s="67"/>
      <c r="I265" s="71"/>
      <c r="J265" s="70"/>
      <c r="K265" s="23"/>
      <c r="L265" s="70"/>
      <c r="M265" s="70"/>
      <c r="N265" s="70"/>
      <c r="O265" s="40"/>
      <c r="P265" s="23"/>
      <c r="Q265" s="23"/>
      <c r="R265" s="72"/>
      <c r="S265" s="72"/>
      <c r="T265" s="23"/>
      <c r="U265" s="40"/>
      <c r="V265" s="23"/>
      <c r="W265" s="72"/>
      <c r="X265" s="23"/>
      <c r="Y265" s="40"/>
      <c r="Z265" s="23"/>
      <c r="AA265" s="72"/>
      <c r="AB265" s="23"/>
      <c r="AC265" s="40"/>
      <c r="AD265" s="23"/>
      <c r="AE265" s="23"/>
    </row>
    <row r="266" spans="1:31">
      <c r="A266" s="23"/>
      <c r="B266" s="64"/>
      <c r="C266" s="62"/>
      <c r="D266" s="65"/>
      <c r="E266" s="65"/>
      <c r="F266" s="65"/>
      <c r="G266" s="67"/>
      <c r="H266" s="67"/>
      <c r="I266" s="71"/>
      <c r="J266" s="70"/>
      <c r="K266" s="23"/>
      <c r="L266" s="70"/>
      <c r="M266" s="70"/>
      <c r="N266" s="70"/>
      <c r="O266" s="40"/>
      <c r="P266" s="23"/>
      <c r="Q266" s="23"/>
      <c r="R266" s="72"/>
      <c r="S266" s="72"/>
      <c r="T266" s="23"/>
      <c r="U266" s="40"/>
      <c r="V266" s="23"/>
      <c r="W266" s="72"/>
      <c r="X266" s="23"/>
      <c r="Y266" s="40"/>
      <c r="Z266" s="23"/>
      <c r="AA266" s="72"/>
      <c r="AB266" s="23"/>
      <c r="AC266" s="40"/>
      <c r="AD266" s="23"/>
      <c r="AE266" s="23"/>
    </row>
    <row r="267" spans="1:31">
      <c r="A267" s="23"/>
      <c r="B267" s="64"/>
      <c r="C267" s="62"/>
      <c r="D267" s="65"/>
      <c r="E267" s="65"/>
      <c r="F267" s="65"/>
      <c r="G267" s="67"/>
      <c r="H267" s="67"/>
      <c r="I267" s="71"/>
      <c r="J267" s="70"/>
      <c r="K267" s="23"/>
      <c r="L267" s="70"/>
      <c r="M267" s="70"/>
      <c r="N267" s="70"/>
      <c r="O267" s="40"/>
      <c r="P267" s="23"/>
      <c r="Q267" s="23"/>
      <c r="R267" s="72"/>
      <c r="S267" s="72"/>
      <c r="T267" s="23"/>
      <c r="U267" s="40"/>
      <c r="V267" s="23"/>
      <c r="W267" s="72"/>
      <c r="X267" s="23"/>
      <c r="Y267" s="40"/>
      <c r="Z267" s="23"/>
      <c r="AA267" s="72"/>
      <c r="AB267" s="23"/>
      <c r="AC267" s="40"/>
      <c r="AD267" s="23"/>
      <c r="AE267" s="23"/>
    </row>
    <row r="268" spans="1:31">
      <c r="A268" s="23"/>
      <c r="B268" s="64"/>
      <c r="C268" s="62"/>
      <c r="D268" s="65"/>
      <c r="E268" s="65"/>
      <c r="F268" s="65"/>
      <c r="G268" s="67"/>
      <c r="H268" s="67"/>
      <c r="I268" s="71"/>
      <c r="J268" s="70"/>
      <c r="K268" s="23"/>
      <c r="L268" s="70"/>
      <c r="M268" s="70"/>
      <c r="N268" s="70"/>
      <c r="O268" s="40"/>
      <c r="P268" s="23"/>
      <c r="Q268" s="23"/>
      <c r="R268" s="72"/>
      <c r="S268" s="72"/>
      <c r="T268" s="23"/>
      <c r="U268" s="40"/>
      <c r="V268" s="23"/>
      <c r="W268" s="72"/>
      <c r="X268" s="23"/>
      <c r="Y268" s="40"/>
      <c r="Z268" s="23"/>
      <c r="AA268" s="72"/>
      <c r="AB268" s="23"/>
      <c r="AC268" s="40"/>
      <c r="AD268" s="23"/>
      <c r="AE268" s="23"/>
    </row>
    <row r="269" spans="1:31">
      <c r="A269" s="23"/>
      <c r="B269" s="64"/>
      <c r="C269" s="62"/>
      <c r="D269" s="65"/>
      <c r="E269" s="65"/>
      <c r="F269" s="65"/>
      <c r="G269" s="67"/>
      <c r="H269" s="67"/>
      <c r="I269" s="71"/>
      <c r="J269" s="70"/>
      <c r="K269" s="23"/>
      <c r="L269" s="70"/>
      <c r="M269" s="70"/>
      <c r="N269" s="70"/>
      <c r="O269" s="40"/>
      <c r="P269" s="23"/>
      <c r="Q269" s="23"/>
      <c r="R269" s="72"/>
      <c r="S269" s="72"/>
      <c r="T269" s="23"/>
      <c r="U269" s="40"/>
      <c r="V269" s="23"/>
      <c r="W269" s="72"/>
      <c r="X269" s="23"/>
      <c r="Y269" s="40"/>
      <c r="Z269" s="23"/>
      <c r="AA269" s="72"/>
      <c r="AB269" s="23"/>
      <c r="AC269" s="40"/>
      <c r="AD269" s="23"/>
      <c r="AE269" s="23"/>
    </row>
    <row r="270" spans="1:31">
      <c r="A270" s="23"/>
      <c r="B270" s="64"/>
      <c r="C270" s="62"/>
      <c r="D270" s="65"/>
      <c r="E270" s="65"/>
      <c r="F270" s="65"/>
      <c r="G270" s="67"/>
      <c r="H270" s="67"/>
      <c r="I270" s="71"/>
      <c r="J270" s="70"/>
      <c r="K270" s="23"/>
      <c r="L270" s="70"/>
      <c r="M270" s="70"/>
      <c r="N270" s="70"/>
      <c r="O270" s="40"/>
      <c r="P270" s="23"/>
      <c r="Q270" s="23"/>
      <c r="R270" s="72"/>
      <c r="S270" s="72"/>
      <c r="T270" s="23"/>
      <c r="U270" s="40"/>
      <c r="V270" s="23"/>
      <c r="W270" s="72"/>
      <c r="X270" s="23"/>
      <c r="Y270" s="40"/>
      <c r="Z270" s="23"/>
      <c r="AA270" s="72"/>
      <c r="AB270" s="23"/>
      <c r="AC270" s="40"/>
      <c r="AD270" s="23"/>
      <c r="AE270" s="23"/>
    </row>
    <row r="271" spans="1:31">
      <c r="A271" s="23"/>
      <c r="B271" s="64"/>
      <c r="C271" s="62"/>
      <c r="D271" s="65"/>
      <c r="E271" s="65"/>
      <c r="F271" s="65"/>
      <c r="G271" s="67"/>
      <c r="H271" s="67"/>
      <c r="I271" s="71"/>
      <c r="J271" s="70"/>
      <c r="K271" s="23"/>
      <c r="L271" s="70"/>
      <c r="M271" s="70"/>
      <c r="N271" s="70"/>
      <c r="O271" s="40"/>
      <c r="P271" s="23"/>
      <c r="Q271" s="23"/>
      <c r="R271" s="72"/>
      <c r="S271" s="72"/>
      <c r="T271" s="23"/>
      <c r="U271" s="40"/>
      <c r="V271" s="23"/>
      <c r="W271" s="72"/>
      <c r="X271" s="23"/>
      <c r="Y271" s="40"/>
      <c r="Z271" s="23"/>
      <c r="AA271" s="72"/>
      <c r="AB271" s="23"/>
      <c r="AC271" s="40"/>
      <c r="AD271" s="23"/>
      <c r="AE271" s="23"/>
    </row>
    <row r="272" spans="1:31">
      <c r="A272" s="23"/>
      <c r="B272" s="64"/>
      <c r="C272" s="62"/>
      <c r="D272" s="65"/>
      <c r="E272" s="65"/>
      <c r="F272" s="65"/>
      <c r="G272" s="67"/>
      <c r="H272" s="67"/>
      <c r="I272" s="71"/>
      <c r="J272" s="70"/>
      <c r="K272" s="23"/>
      <c r="L272" s="70"/>
      <c r="M272" s="70"/>
      <c r="N272" s="70"/>
      <c r="O272" s="40"/>
      <c r="P272" s="23"/>
      <c r="Q272" s="23"/>
      <c r="R272" s="72"/>
      <c r="S272" s="72"/>
      <c r="T272" s="23"/>
      <c r="U272" s="40"/>
      <c r="V272" s="23"/>
      <c r="W272" s="72"/>
      <c r="X272" s="23"/>
      <c r="Y272" s="40"/>
      <c r="Z272" s="23"/>
      <c r="AA272" s="72"/>
      <c r="AB272" s="23"/>
      <c r="AC272" s="40"/>
      <c r="AD272" s="23"/>
      <c r="AE272" s="23"/>
    </row>
    <row r="273" spans="1:31">
      <c r="A273" s="23"/>
      <c r="B273" s="64"/>
      <c r="C273" s="62"/>
      <c r="D273" s="65"/>
      <c r="E273" s="65"/>
      <c r="F273" s="65"/>
      <c r="G273" s="67"/>
      <c r="H273" s="67"/>
      <c r="I273" s="71"/>
      <c r="J273" s="70"/>
      <c r="K273" s="23"/>
      <c r="L273" s="70"/>
      <c r="M273" s="70"/>
      <c r="N273" s="70"/>
      <c r="O273" s="40"/>
      <c r="P273" s="23"/>
      <c r="Q273" s="23"/>
      <c r="R273" s="72"/>
      <c r="S273" s="72"/>
      <c r="T273" s="23"/>
      <c r="U273" s="40"/>
      <c r="V273" s="23"/>
      <c r="W273" s="72"/>
      <c r="X273" s="23"/>
      <c r="Y273" s="40"/>
      <c r="Z273" s="23"/>
      <c r="AA273" s="72"/>
      <c r="AB273" s="23"/>
      <c r="AC273" s="40"/>
      <c r="AD273" s="23"/>
      <c r="AE273" s="23"/>
    </row>
    <row r="274" spans="1:31">
      <c r="A274" s="23"/>
      <c r="B274" s="64"/>
      <c r="C274" s="62"/>
      <c r="D274" s="65"/>
      <c r="E274" s="65"/>
      <c r="F274" s="65"/>
      <c r="G274" s="67"/>
      <c r="H274" s="67"/>
      <c r="I274" s="71"/>
      <c r="J274" s="70"/>
      <c r="K274" s="23"/>
      <c r="L274" s="70"/>
      <c r="M274" s="70"/>
      <c r="N274" s="70"/>
      <c r="O274" s="40"/>
      <c r="P274" s="23"/>
      <c r="Q274" s="23"/>
      <c r="R274" s="72"/>
      <c r="S274" s="72"/>
      <c r="T274" s="23"/>
      <c r="U274" s="40"/>
      <c r="V274" s="23"/>
      <c r="W274" s="72"/>
      <c r="X274" s="23"/>
      <c r="Y274" s="40"/>
      <c r="Z274" s="23"/>
      <c r="AA274" s="72"/>
      <c r="AB274" s="23"/>
      <c r="AC274" s="40"/>
      <c r="AD274" s="23"/>
      <c r="AE274" s="23"/>
    </row>
    <row r="275" spans="1:31">
      <c r="A275" s="23"/>
      <c r="B275" s="64"/>
      <c r="C275" s="62"/>
      <c r="D275" s="65"/>
      <c r="E275" s="65"/>
      <c r="F275" s="65"/>
      <c r="G275" s="67"/>
      <c r="H275" s="67"/>
      <c r="I275" s="71"/>
      <c r="J275" s="70"/>
      <c r="K275" s="23"/>
      <c r="L275" s="70"/>
      <c r="M275" s="70"/>
      <c r="N275" s="70"/>
      <c r="O275" s="40"/>
      <c r="P275" s="23"/>
      <c r="Q275" s="23"/>
      <c r="R275" s="72"/>
      <c r="S275" s="72"/>
      <c r="T275" s="23"/>
      <c r="U275" s="40"/>
      <c r="V275" s="23"/>
      <c r="W275" s="72"/>
      <c r="X275" s="23"/>
      <c r="Y275" s="40"/>
      <c r="Z275" s="23"/>
      <c r="AA275" s="72"/>
      <c r="AB275" s="23"/>
      <c r="AC275" s="40"/>
      <c r="AD275" s="23"/>
      <c r="AE275" s="23"/>
    </row>
    <row r="276" spans="1:31">
      <c r="A276" s="23"/>
      <c r="B276" s="64"/>
      <c r="C276" s="62"/>
      <c r="D276" s="65"/>
      <c r="E276" s="65"/>
      <c r="F276" s="65"/>
      <c r="G276" s="67"/>
      <c r="H276" s="67"/>
      <c r="I276" s="71"/>
      <c r="J276" s="70"/>
      <c r="K276" s="23"/>
      <c r="L276" s="70"/>
      <c r="M276" s="70"/>
      <c r="N276" s="70"/>
      <c r="O276" s="40"/>
      <c r="P276" s="23"/>
      <c r="Q276" s="23"/>
      <c r="R276" s="72"/>
      <c r="S276" s="72"/>
      <c r="T276" s="23"/>
      <c r="U276" s="40"/>
      <c r="V276" s="23"/>
      <c r="W276" s="72"/>
      <c r="X276" s="23"/>
      <c r="Y276" s="40"/>
      <c r="Z276" s="23"/>
      <c r="AA276" s="72"/>
      <c r="AB276" s="23"/>
      <c r="AC276" s="40"/>
      <c r="AD276" s="23"/>
      <c r="AE276" s="23"/>
    </row>
    <row r="277" spans="1:31">
      <c r="A277" s="23"/>
      <c r="B277" s="64"/>
      <c r="C277" s="62"/>
      <c r="D277" s="65"/>
      <c r="E277" s="65"/>
      <c r="F277" s="65"/>
      <c r="G277" s="67"/>
      <c r="H277" s="67"/>
      <c r="I277" s="71"/>
      <c r="J277" s="70"/>
      <c r="K277" s="23"/>
      <c r="L277" s="70"/>
      <c r="M277" s="70"/>
      <c r="N277" s="70"/>
      <c r="O277" s="40"/>
      <c r="P277" s="23"/>
      <c r="Q277" s="23"/>
      <c r="R277" s="72"/>
      <c r="S277" s="72"/>
      <c r="T277" s="23"/>
      <c r="U277" s="40"/>
      <c r="V277" s="23"/>
      <c r="W277" s="72"/>
      <c r="X277" s="23"/>
      <c r="Y277" s="40"/>
      <c r="Z277" s="23"/>
      <c r="AA277" s="72"/>
      <c r="AB277" s="23"/>
      <c r="AC277" s="40"/>
      <c r="AD277" s="23"/>
      <c r="AE277" s="23"/>
    </row>
    <row r="278" spans="1:31">
      <c r="A278" s="23"/>
      <c r="B278" s="64"/>
      <c r="C278" s="62"/>
      <c r="D278" s="65"/>
      <c r="E278" s="65"/>
      <c r="F278" s="65"/>
      <c r="G278" s="67"/>
      <c r="H278" s="67"/>
      <c r="I278" s="71"/>
      <c r="J278" s="70"/>
      <c r="K278" s="23"/>
      <c r="L278" s="70"/>
      <c r="M278" s="70"/>
      <c r="N278" s="70"/>
      <c r="O278" s="40"/>
      <c r="P278" s="23"/>
      <c r="Q278" s="23"/>
      <c r="R278" s="72"/>
      <c r="S278" s="72"/>
      <c r="T278" s="23"/>
      <c r="U278" s="40"/>
      <c r="V278" s="23"/>
      <c r="W278" s="72"/>
      <c r="X278" s="23"/>
      <c r="Y278" s="40"/>
      <c r="Z278" s="23"/>
      <c r="AA278" s="72"/>
      <c r="AB278" s="23"/>
      <c r="AC278" s="40"/>
      <c r="AD278" s="23"/>
      <c r="AE278" s="23"/>
    </row>
    <row r="279" spans="1:31">
      <c r="A279" s="23"/>
      <c r="B279" s="64"/>
      <c r="C279" s="62"/>
      <c r="D279" s="65"/>
      <c r="E279" s="65"/>
      <c r="F279" s="65"/>
      <c r="G279" s="67"/>
      <c r="H279" s="67"/>
      <c r="I279" s="71"/>
      <c r="J279" s="70"/>
      <c r="K279" s="23"/>
      <c r="L279" s="70"/>
      <c r="M279" s="70"/>
      <c r="N279" s="70"/>
      <c r="O279" s="40"/>
      <c r="P279" s="23"/>
      <c r="Q279" s="23"/>
      <c r="R279" s="72"/>
      <c r="S279" s="72"/>
      <c r="T279" s="23"/>
      <c r="U279" s="40"/>
      <c r="V279" s="23"/>
      <c r="W279" s="72"/>
      <c r="X279" s="23"/>
      <c r="Y279" s="40"/>
      <c r="Z279" s="23"/>
      <c r="AA279" s="72"/>
      <c r="AB279" s="23"/>
      <c r="AC279" s="40"/>
      <c r="AD279" s="23"/>
      <c r="AE279" s="23"/>
    </row>
    <row r="280" spans="1:31">
      <c r="A280" s="23"/>
      <c r="B280" s="64"/>
      <c r="C280" s="62"/>
      <c r="D280" s="65"/>
      <c r="E280" s="65"/>
      <c r="F280" s="65"/>
      <c r="G280" s="67"/>
      <c r="H280" s="67"/>
      <c r="I280" s="71"/>
      <c r="J280" s="70"/>
      <c r="K280" s="23"/>
      <c r="L280" s="70"/>
      <c r="M280" s="70"/>
      <c r="N280" s="70"/>
      <c r="O280" s="40"/>
      <c r="P280" s="23"/>
      <c r="Q280" s="23"/>
      <c r="R280" s="72"/>
      <c r="S280" s="72"/>
      <c r="T280" s="23"/>
      <c r="U280" s="40"/>
      <c r="V280" s="23"/>
      <c r="W280" s="72"/>
      <c r="X280" s="23"/>
      <c r="Y280" s="40"/>
      <c r="Z280" s="23"/>
      <c r="AA280" s="72"/>
      <c r="AB280" s="23"/>
      <c r="AC280" s="40"/>
      <c r="AD280" s="23"/>
      <c r="AE280" s="23"/>
    </row>
    <row r="281" spans="1:31">
      <c r="A281" s="23"/>
      <c r="B281" s="64"/>
      <c r="C281" s="62"/>
      <c r="D281" s="65"/>
      <c r="E281" s="65"/>
      <c r="F281" s="65"/>
      <c r="G281" s="67"/>
      <c r="H281" s="67"/>
      <c r="I281" s="71"/>
      <c r="J281" s="70"/>
      <c r="K281" s="23"/>
      <c r="L281" s="70"/>
      <c r="M281" s="70"/>
      <c r="N281" s="70"/>
      <c r="O281" s="40"/>
      <c r="P281" s="23"/>
      <c r="Q281" s="23"/>
      <c r="R281" s="72"/>
      <c r="S281" s="72"/>
      <c r="T281" s="23"/>
      <c r="U281" s="40"/>
      <c r="V281" s="23"/>
      <c r="W281" s="72"/>
      <c r="X281" s="23"/>
      <c r="Y281" s="40"/>
      <c r="Z281" s="23"/>
      <c r="AA281" s="72"/>
      <c r="AB281" s="23"/>
      <c r="AC281" s="40"/>
      <c r="AD281" s="23"/>
      <c r="AE281" s="23"/>
    </row>
    <row r="282" spans="1:31">
      <c r="A282" s="23"/>
      <c r="B282" s="64"/>
      <c r="C282" s="62"/>
      <c r="D282" s="65"/>
      <c r="E282" s="65"/>
      <c r="F282" s="65"/>
      <c r="G282" s="67"/>
      <c r="H282" s="67"/>
      <c r="I282" s="71"/>
      <c r="J282" s="70"/>
      <c r="K282" s="23"/>
      <c r="L282" s="70"/>
      <c r="M282" s="70"/>
      <c r="N282" s="70"/>
      <c r="O282" s="40"/>
      <c r="P282" s="23"/>
      <c r="Q282" s="23"/>
      <c r="R282" s="72"/>
      <c r="S282" s="72"/>
      <c r="T282" s="23"/>
      <c r="U282" s="40"/>
      <c r="V282" s="23"/>
      <c r="W282" s="72"/>
      <c r="X282" s="23"/>
      <c r="Y282" s="40"/>
      <c r="Z282" s="23"/>
      <c r="AA282" s="72"/>
      <c r="AB282" s="23"/>
      <c r="AC282" s="40"/>
      <c r="AD282" s="23"/>
      <c r="AE282" s="23"/>
    </row>
    <row r="283" spans="1:31">
      <c r="A283" s="23"/>
      <c r="B283" s="64"/>
      <c r="C283" s="62"/>
      <c r="D283" s="65"/>
      <c r="E283" s="65"/>
      <c r="F283" s="65"/>
      <c r="G283" s="67"/>
      <c r="H283" s="67"/>
      <c r="I283" s="71"/>
      <c r="J283" s="70"/>
      <c r="K283" s="23"/>
      <c r="L283" s="70"/>
      <c r="M283" s="70"/>
      <c r="N283" s="70"/>
      <c r="O283" s="40"/>
      <c r="P283" s="23"/>
      <c r="Q283" s="23"/>
      <c r="R283" s="72"/>
      <c r="S283" s="72"/>
      <c r="T283" s="23"/>
      <c r="U283" s="40"/>
      <c r="V283" s="23"/>
      <c r="W283" s="72"/>
      <c r="X283" s="23"/>
      <c r="Y283" s="40"/>
      <c r="Z283" s="23"/>
      <c r="AA283" s="72"/>
      <c r="AB283" s="23"/>
      <c r="AC283" s="40"/>
      <c r="AD283" s="23"/>
      <c r="AE283" s="23"/>
    </row>
    <row r="284" spans="1:31">
      <c r="A284" s="23"/>
      <c r="B284" s="64"/>
      <c r="C284" s="62"/>
      <c r="D284" s="65"/>
      <c r="E284" s="65"/>
      <c r="F284" s="65"/>
      <c r="G284" s="67"/>
      <c r="H284" s="67"/>
      <c r="I284" s="71"/>
      <c r="J284" s="70"/>
      <c r="K284" s="23"/>
      <c r="L284" s="70"/>
      <c r="M284" s="70"/>
      <c r="N284" s="70"/>
      <c r="O284" s="40"/>
      <c r="P284" s="23"/>
      <c r="Q284" s="23"/>
      <c r="R284" s="72"/>
      <c r="S284" s="72"/>
      <c r="T284" s="23"/>
      <c r="U284" s="40"/>
      <c r="V284" s="23"/>
      <c r="W284" s="72"/>
      <c r="X284" s="23"/>
      <c r="Y284" s="40"/>
      <c r="Z284" s="23"/>
      <c r="AA284" s="72"/>
      <c r="AB284" s="23"/>
      <c r="AC284" s="40"/>
      <c r="AD284" s="23"/>
      <c r="AE284" s="23"/>
    </row>
    <row r="285" spans="1:31">
      <c r="A285" s="23"/>
      <c r="B285" s="64"/>
      <c r="C285" s="62"/>
      <c r="D285" s="65"/>
      <c r="E285" s="65"/>
      <c r="F285" s="65"/>
      <c r="G285" s="67"/>
      <c r="H285" s="67"/>
      <c r="I285" s="71"/>
      <c r="J285" s="70"/>
      <c r="K285" s="23"/>
      <c r="L285" s="70"/>
      <c r="M285" s="70"/>
      <c r="N285" s="70"/>
      <c r="O285" s="40"/>
      <c r="P285" s="23"/>
      <c r="Q285" s="23"/>
      <c r="R285" s="72"/>
      <c r="S285" s="72"/>
      <c r="T285" s="23"/>
      <c r="U285" s="40"/>
      <c r="V285" s="23"/>
      <c r="W285" s="72"/>
      <c r="X285" s="23"/>
      <c r="Y285" s="40"/>
      <c r="Z285" s="23"/>
      <c r="AA285" s="72"/>
      <c r="AB285" s="23"/>
      <c r="AC285" s="40"/>
      <c r="AD285" s="23"/>
      <c r="AE285" s="23"/>
    </row>
    <row r="286" spans="1:31">
      <c r="A286" s="23"/>
      <c r="B286" s="64"/>
      <c r="C286" s="62"/>
      <c r="D286" s="65"/>
      <c r="E286" s="65"/>
      <c r="F286" s="65"/>
      <c r="G286" s="67"/>
      <c r="H286" s="67"/>
      <c r="I286" s="71"/>
      <c r="J286" s="70"/>
      <c r="K286" s="23"/>
      <c r="L286" s="70"/>
      <c r="M286" s="70"/>
      <c r="N286" s="70"/>
      <c r="O286" s="40"/>
      <c r="P286" s="23"/>
      <c r="Q286" s="23"/>
      <c r="R286" s="72"/>
      <c r="S286" s="72"/>
      <c r="T286" s="23"/>
      <c r="U286" s="40"/>
      <c r="V286" s="23"/>
      <c r="W286" s="72"/>
      <c r="X286" s="23"/>
      <c r="Y286" s="40"/>
      <c r="Z286" s="23"/>
      <c r="AA286" s="72"/>
      <c r="AB286" s="23"/>
      <c r="AC286" s="40"/>
      <c r="AD286" s="23"/>
      <c r="AE286" s="23"/>
    </row>
    <row r="287" spans="1:31">
      <c r="A287" s="23"/>
      <c r="B287" s="64"/>
      <c r="C287" s="62"/>
      <c r="D287" s="65"/>
      <c r="E287" s="65"/>
      <c r="F287" s="65"/>
      <c r="G287" s="67"/>
      <c r="H287" s="67"/>
      <c r="I287" s="71"/>
      <c r="J287" s="70"/>
      <c r="K287" s="23"/>
      <c r="L287" s="70"/>
      <c r="M287" s="70"/>
      <c r="N287" s="70"/>
      <c r="O287" s="40"/>
      <c r="P287" s="23"/>
      <c r="Q287" s="23"/>
      <c r="R287" s="72"/>
      <c r="S287" s="72"/>
      <c r="T287" s="23"/>
      <c r="U287" s="40"/>
      <c r="V287" s="23"/>
      <c r="W287" s="72"/>
      <c r="X287" s="23"/>
      <c r="Y287" s="40"/>
      <c r="Z287" s="23"/>
      <c r="AA287" s="72"/>
      <c r="AB287" s="23"/>
      <c r="AC287" s="40"/>
      <c r="AD287" s="23"/>
      <c r="AE287" s="23"/>
    </row>
    <row r="288" spans="1:31">
      <c r="A288" s="23"/>
      <c r="B288" s="64"/>
      <c r="C288" s="62"/>
      <c r="D288" s="65"/>
      <c r="E288" s="65"/>
      <c r="F288" s="65"/>
      <c r="G288" s="67"/>
      <c r="H288" s="67"/>
      <c r="I288" s="71"/>
      <c r="J288" s="70"/>
      <c r="K288" s="23"/>
      <c r="L288" s="70"/>
      <c r="M288" s="70"/>
      <c r="N288" s="70"/>
      <c r="O288" s="40"/>
      <c r="P288" s="23"/>
      <c r="Q288" s="23"/>
      <c r="R288" s="72"/>
      <c r="S288" s="72"/>
      <c r="T288" s="23"/>
      <c r="U288" s="40"/>
      <c r="V288" s="23"/>
      <c r="W288" s="72"/>
      <c r="X288" s="23"/>
      <c r="Y288" s="40"/>
      <c r="Z288" s="23"/>
      <c r="AA288" s="72"/>
      <c r="AB288" s="23"/>
      <c r="AC288" s="40"/>
      <c r="AD288" s="23"/>
      <c r="AE288" s="23"/>
    </row>
    <row r="289" spans="1:31">
      <c r="A289" s="23"/>
      <c r="B289" s="64"/>
      <c r="C289" s="62"/>
      <c r="D289" s="65"/>
      <c r="E289" s="65"/>
      <c r="F289" s="65"/>
      <c r="G289" s="67"/>
      <c r="H289" s="67"/>
      <c r="I289" s="71"/>
      <c r="J289" s="70"/>
      <c r="K289" s="23"/>
      <c r="L289" s="70"/>
      <c r="M289" s="70"/>
      <c r="N289" s="70"/>
      <c r="O289" s="40"/>
      <c r="P289" s="23"/>
      <c r="Q289" s="23"/>
      <c r="R289" s="72"/>
      <c r="S289" s="72"/>
      <c r="T289" s="23"/>
      <c r="U289" s="40"/>
      <c r="V289" s="23"/>
      <c r="W289" s="72"/>
      <c r="X289" s="23"/>
      <c r="Y289" s="40"/>
      <c r="Z289" s="23"/>
      <c r="AA289" s="72"/>
      <c r="AB289" s="23"/>
      <c r="AC289" s="40"/>
      <c r="AD289" s="23"/>
      <c r="AE289" s="23"/>
    </row>
    <row r="290" spans="1:31" ht="24" customHeight="1">
      <c r="A290" s="23"/>
      <c r="B290" s="64"/>
      <c r="C290" s="62"/>
      <c r="D290" s="65"/>
      <c r="E290" s="65"/>
      <c r="F290" s="65"/>
      <c r="G290" s="67"/>
      <c r="H290" s="83"/>
      <c r="I290" s="71"/>
      <c r="J290" s="70"/>
      <c r="K290" s="23"/>
      <c r="L290" s="70"/>
      <c r="M290" s="70"/>
      <c r="N290" s="70"/>
      <c r="O290" s="40"/>
      <c r="P290" s="23"/>
      <c r="Q290" s="23"/>
      <c r="R290" s="72"/>
      <c r="S290" s="72"/>
      <c r="T290" s="23"/>
      <c r="U290" s="40"/>
      <c r="V290" s="23"/>
      <c r="W290" s="72"/>
      <c r="X290" s="23"/>
      <c r="Y290" s="40"/>
      <c r="Z290" s="23"/>
      <c r="AA290" s="72"/>
      <c r="AB290" s="23"/>
      <c r="AC290" s="40"/>
      <c r="AD290" s="23"/>
      <c r="AE290" s="23"/>
    </row>
    <row r="291" spans="1:31">
      <c r="A291" s="23"/>
      <c r="B291" s="64"/>
      <c r="C291" s="62"/>
      <c r="D291" s="65"/>
      <c r="E291" s="65"/>
      <c r="F291" s="65"/>
      <c r="G291" s="67"/>
      <c r="H291" s="67"/>
      <c r="I291" s="71"/>
      <c r="J291" s="70"/>
      <c r="K291" s="23"/>
      <c r="L291" s="70"/>
      <c r="M291" s="70"/>
      <c r="N291" s="70"/>
      <c r="O291" s="40"/>
      <c r="P291" s="23"/>
      <c r="Q291" s="23"/>
      <c r="R291" s="72"/>
      <c r="S291" s="72"/>
      <c r="T291" s="23"/>
      <c r="U291" s="40"/>
      <c r="V291" s="23"/>
      <c r="W291" s="72"/>
      <c r="X291" s="23"/>
      <c r="Y291" s="40"/>
      <c r="Z291" s="23"/>
      <c r="AA291" s="72"/>
      <c r="AB291" s="23"/>
      <c r="AC291" s="40"/>
      <c r="AD291" s="23"/>
      <c r="AE291" s="23"/>
    </row>
    <row r="292" spans="1:31" ht="24" customHeight="1">
      <c r="A292" s="23"/>
      <c r="B292" s="64"/>
      <c r="C292" s="62"/>
      <c r="D292" s="65"/>
      <c r="E292" s="65"/>
      <c r="F292" s="65"/>
      <c r="G292" s="67"/>
      <c r="H292" s="83"/>
      <c r="I292" s="71"/>
      <c r="J292" s="70"/>
      <c r="K292" s="23"/>
      <c r="L292" s="70"/>
      <c r="M292" s="70"/>
      <c r="N292" s="70"/>
      <c r="O292" s="40"/>
      <c r="P292" s="23"/>
      <c r="Q292" s="23"/>
      <c r="R292" s="72"/>
      <c r="S292" s="72"/>
      <c r="T292" s="23"/>
      <c r="U292" s="40"/>
      <c r="V292" s="23"/>
      <c r="W292" s="72"/>
      <c r="X292" s="23"/>
      <c r="Y292" s="40"/>
      <c r="Z292" s="23"/>
      <c r="AA292" s="72"/>
      <c r="AB292" s="23"/>
      <c r="AC292" s="40"/>
      <c r="AD292" s="23"/>
      <c r="AE292" s="23"/>
    </row>
    <row r="293" spans="1:31">
      <c r="A293" s="23"/>
      <c r="B293" s="64"/>
      <c r="C293" s="62"/>
      <c r="D293" s="65"/>
      <c r="E293" s="65"/>
      <c r="F293" s="65"/>
      <c r="G293" s="67"/>
      <c r="H293" s="67"/>
      <c r="I293" s="71"/>
      <c r="J293" s="70"/>
      <c r="K293" s="23"/>
      <c r="L293" s="70"/>
      <c r="M293" s="70"/>
      <c r="N293" s="70"/>
      <c r="O293" s="40"/>
      <c r="P293" s="23"/>
      <c r="Q293" s="23"/>
      <c r="R293" s="72"/>
      <c r="S293" s="72"/>
      <c r="T293" s="23"/>
      <c r="U293" s="40"/>
      <c r="V293" s="23"/>
      <c r="W293" s="72"/>
      <c r="X293" s="23"/>
      <c r="Y293" s="40"/>
      <c r="Z293" s="23"/>
      <c r="AA293" s="72"/>
      <c r="AB293" s="23"/>
      <c r="AC293" s="40"/>
      <c r="AD293" s="23"/>
      <c r="AE293" s="23"/>
    </row>
    <row r="294" spans="1:31" ht="24" customHeight="1">
      <c r="A294" s="23"/>
      <c r="B294" s="64"/>
      <c r="C294" s="62"/>
      <c r="D294" s="65"/>
      <c r="E294" s="65"/>
      <c r="F294" s="65"/>
      <c r="G294" s="67"/>
      <c r="H294" s="83"/>
      <c r="I294" s="71"/>
      <c r="J294" s="70"/>
      <c r="K294" s="23"/>
      <c r="L294" s="70"/>
      <c r="M294" s="70"/>
      <c r="N294" s="70"/>
      <c r="O294" s="40"/>
      <c r="P294" s="23"/>
      <c r="Q294" s="23"/>
      <c r="R294" s="72"/>
      <c r="S294" s="72"/>
      <c r="T294" s="23"/>
      <c r="U294" s="40"/>
      <c r="V294" s="23"/>
      <c r="W294" s="72"/>
      <c r="X294" s="23"/>
      <c r="Y294" s="40"/>
      <c r="Z294" s="23"/>
      <c r="AA294" s="72"/>
      <c r="AB294" s="23"/>
      <c r="AC294" s="40"/>
      <c r="AD294" s="23"/>
      <c r="AE294" s="23"/>
    </row>
    <row r="295" spans="1:31">
      <c r="A295" s="23"/>
      <c r="B295" s="64"/>
      <c r="C295" s="62"/>
      <c r="D295" s="65"/>
      <c r="E295" s="65"/>
      <c r="F295" s="65"/>
      <c r="G295" s="67"/>
      <c r="H295" s="67"/>
      <c r="I295" s="71"/>
      <c r="J295" s="70"/>
      <c r="K295" s="23"/>
      <c r="L295" s="70"/>
      <c r="M295" s="70"/>
      <c r="N295" s="70"/>
      <c r="O295" s="40"/>
      <c r="P295" s="23"/>
      <c r="Q295" s="23"/>
      <c r="R295" s="72"/>
      <c r="S295" s="72"/>
      <c r="T295" s="23"/>
      <c r="U295" s="40"/>
      <c r="V295" s="23"/>
      <c r="W295" s="72"/>
      <c r="X295" s="23"/>
      <c r="Y295" s="40"/>
      <c r="Z295" s="23"/>
      <c r="AA295" s="72"/>
      <c r="AB295" s="23"/>
      <c r="AC295" s="40"/>
      <c r="AD295" s="23"/>
      <c r="AE295" s="23"/>
    </row>
    <row r="296" spans="1:31">
      <c r="A296" s="23"/>
      <c r="B296" s="64"/>
      <c r="C296" s="62"/>
      <c r="D296" s="65"/>
      <c r="E296" s="65"/>
      <c r="F296" s="65"/>
      <c r="G296" s="67"/>
      <c r="H296" s="67"/>
      <c r="I296" s="71"/>
      <c r="J296" s="70"/>
      <c r="K296" s="23"/>
      <c r="L296" s="70"/>
      <c r="M296" s="70"/>
      <c r="N296" s="70"/>
      <c r="O296" s="40"/>
      <c r="P296" s="23"/>
      <c r="Q296" s="23"/>
      <c r="R296" s="72"/>
      <c r="S296" s="72"/>
      <c r="T296" s="23"/>
      <c r="U296" s="40"/>
      <c r="V296" s="23"/>
      <c r="W296" s="72"/>
      <c r="X296" s="23"/>
      <c r="Y296" s="40"/>
      <c r="Z296" s="23"/>
      <c r="AA296" s="72"/>
      <c r="AB296" s="23"/>
      <c r="AC296" s="40"/>
      <c r="AD296" s="23"/>
      <c r="AE296" s="23"/>
    </row>
    <row r="297" spans="1:31">
      <c r="A297" s="23"/>
      <c r="B297" s="64"/>
      <c r="C297" s="62"/>
      <c r="D297" s="65"/>
      <c r="E297" s="65"/>
      <c r="F297" s="65"/>
      <c r="G297" s="67"/>
      <c r="H297" s="67"/>
      <c r="I297" s="71"/>
      <c r="J297" s="70"/>
      <c r="K297" s="23"/>
      <c r="L297" s="70"/>
      <c r="M297" s="70"/>
      <c r="N297" s="70"/>
      <c r="O297" s="40"/>
      <c r="P297" s="23"/>
      <c r="Q297" s="23"/>
      <c r="R297" s="72"/>
      <c r="S297" s="72"/>
      <c r="T297" s="23"/>
      <c r="U297" s="40"/>
      <c r="V297" s="23"/>
      <c r="W297" s="72"/>
      <c r="X297" s="23"/>
      <c r="Y297" s="40"/>
      <c r="Z297" s="23"/>
      <c r="AA297" s="72"/>
      <c r="AB297" s="23"/>
      <c r="AC297" s="40"/>
      <c r="AD297" s="23"/>
      <c r="AE297" s="23"/>
    </row>
    <row r="298" spans="1:31">
      <c r="A298" s="23"/>
      <c r="B298" s="64"/>
      <c r="C298" s="62"/>
      <c r="D298" s="65"/>
      <c r="E298" s="65"/>
      <c r="F298" s="65"/>
      <c r="G298" s="67"/>
      <c r="H298" s="67"/>
      <c r="I298" s="71"/>
      <c r="J298" s="70"/>
      <c r="K298" s="23"/>
      <c r="L298" s="70"/>
      <c r="M298" s="70"/>
      <c r="N298" s="70"/>
      <c r="O298" s="40"/>
      <c r="P298" s="23"/>
      <c r="Q298" s="23"/>
      <c r="R298" s="72"/>
      <c r="S298" s="72"/>
      <c r="T298" s="23"/>
      <c r="U298" s="40"/>
      <c r="V298" s="23"/>
      <c r="W298" s="72"/>
      <c r="X298" s="23"/>
      <c r="Y298" s="40"/>
      <c r="Z298" s="23"/>
      <c r="AA298" s="72"/>
      <c r="AB298" s="23"/>
      <c r="AC298" s="40"/>
      <c r="AD298" s="23"/>
      <c r="AE298" s="23"/>
    </row>
    <row r="299" spans="1:31">
      <c r="A299" s="23"/>
      <c r="B299" s="64"/>
      <c r="C299" s="62"/>
      <c r="D299" s="65"/>
      <c r="E299" s="65"/>
      <c r="F299" s="65"/>
      <c r="G299" s="67"/>
      <c r="H299" s="67"/>
      <c r="I299" s="71"/>
      <c r="J299" s="70"/>
      <c r="K299" s="23"/>
      <c r="L299" s="70"/>
      <c r="M299" s="70"/>
      <c r="N299" s="70"/>
      <c r="O299" s="40"/>
      <c r="P299" s="23"/>
      <c r="Q299" s="23"/>
      <c r="R299" s="72"/>
      <c r="S299" s="72"/>
      <c r="T299" s="23"/>
      <c r="U299" s="40"/>
      <c r="V299" s="23"/>
      <c r="W299" s="72"/>
      <c r="X299" s="23"/>
      <c r="Y299" s="40"/>
      <c r="Z299" s="23"/>
      <c r="AA299" s="72"/>
      <c r="AB299" s="23"/>
      <c r="AC299" s="40"/>
      <c r="AD299" s="23"/>
      <c r="AE299" s="23"/>
    </row>
    <row r="300" spans="1:31">
      <c r="A300" s="23"/>
      <c r="B300" s="64"/>
      <c r="C300" s="62"/>
      <c r="D300" s="65"/>
      <c r="E300" s="65"/>
      <c r="F300" s="65"/>
      <c r="G300" s="67"/>
      <c r="H300" s="67"/>
      <c r="I300" s="71"/>
      <c r="J300" s="70"/>
      <c r="K300" s="23"/>
      <c r="L300" s="70"/>
      <c r="M300" s="70"/>
      <c r="N300" s="70"/>
      <c r="O300" s="40"/>
      <c r="P300" s="23"/>
      <c r="Q300" s="23"/>
      <c r="R300" s="72"/>
      <c r="S300" s="72"/>
      <c r="T300" s="23"/>
      <c r="U300" s="40"/>
      <c r="V300" s="23"/>
      <c r="W300" s="72"/>
      <c r="X300" s="23"/>
      <c r="Y300" s="40"/>
      <c r="Z300" s="23"/>
      <c r="AA300" s="72"/>
      <c r="AB300" s="23"/>
      <c r="AC300" s="40"/>
      <c r="AD300" s="23"/>
      <c r="AE300" s="23"/>
    </row>
    <row r="301" spans="1:31">
      <c r="A301" s="23"/>
      <c r="B301" s="64"/>
      <c r="C301" s="62"/>
      <c r="D301" s="65"/>
      <c r="E301" s="65"/>
      <c r="F301" s="65"/>
      <c r="G301" s="67"/>
      <c r="H301" s="67"/>
      <c r="I301" s="71"/>
      <c r="J301" s="70"/>
      <c r="K301" s="23"/>
      <c r="L301" s="70"/>
      <c r="M301" s="70"/>
      <c r="N301" s="70"/>
      <c r="O301" s="40"/>
      <c r="P301" s="23"/>
      <c r="Q301" s="23"/>
      <c r="R301" s="72"/>
      <c r="S301" s="72"/>
      <c r="T301" s="23"/>
      <c r="U301" s="40"/>
      <c r="V301" s="23"/>
      <c r="W301" s="72"/>
      <c r="X301" s="23"/>
      <c r="Y301" s="40"/>
      <c r="Z301" s="23"/>
      <c r="AA301" s="72"/>
      <c r="AB301" s="23"/>
      <c r="AC301" s="40"/>
      <c r="AD301" s="23"/>
      <c r="AE301" s="23"/>
    </row>
    <row r="302" spans="1:31">
      <c r="A302" s="23"/>
      <c r="B302" s="64"/>
      <c r="C302" s="62"/>
      <c r="D302" s="65"/>
      <c r="E302" s="65"/>
      <c r="F302" s="65"/>
      <c r="G302" s="67"/>
      <c r="H302" s="67"/>
      <c r="I302" s="71"/>
      <c r="J302" s="70"/>
      <c r="K302" s="23"/>
      <c r="L302" s="70"/>
      <c r="M302" s="70"/>
      <c r="N302" s="70"/>
      <c r="O302" s="40"/>
      <c r="P302" s="23"/>
      <c r="Q302" s="23"/>
      <c r="R302" s="72"/>
      <c r="S302" s="72"/>
      <c r="T302" s="23"/>
      <c r="U302" s="40"/>
      <c r="V302" s="23"/>
      <c r="W302" s="72"/>
      <c r="X302" s="23"/>
      <c r="Y302" s="40"/>
      <c r="Z302" s="23"/>
      <c r="AA302" s="72"/>
      <c r="AB302" s="23"/>
      <c r="AC302" s="40"/>
      <c r="AD302" s="23"/>
      <c r="AE302" s="23"/>
    </row>
    <row r="303" spans="1:31">
      <c r="A303" s="23"/>
      <c r="B303" s="64"/>
      <c r="C303" s="62"/>
      <c r="D303" s="65"/>
      <c r="E303" s="65"/>
      <c r="F303" s="65"/>
      <c r="G303" s="67"/>
      <c r="H303" s="67"/>
      <c r="I303" s="71"/>
      <c r="J303" s="70"/>
      <c r="K303" s="23"/>
      <c r="L303" s="70"/>
      <c r="M303" s="70"/>
      <c r="N303" s="70"/>
      <c r="O303" s="40"/>
      <c r="P303" s="23"/>
      <c r="Q303" s="23"/>
      <c r="R303" s="72"/>
      <c r="S303" s="72"/>
      <c r="T303" s="23"/>
      <c r="U303" s="40"/>
      <c r="V303" s="23"/>
      <c r="W303" s="72"/>
      <c r="X303" s="23"/>
      <c r="Y303" s="40"/>
      <c r="Z303" s="23"/>
      <c r="AA303" s="72"/>
      <c r="AB303" s="23"/>
      <c r="AC303" s="40"/>
      <c r="AD303" s="23"/>
      <c r="AE303" s="23"/>
    </row>
    <row r="304" spans="1:31">
      <c r="A304" s="23"/>
      <c r="B304" s="64"/>
      <c r="C304" s="62"/>
      <c r="D304" s="65"/>
      <c r="E304" s="65"/>
      <c r="F304" s="65"/>
      <c r="G304" s="67"/>
      <c r="H304" s="67"/>
      <c r="I304" s="71"/>
      <c r="J304" s="70"/>
      <c r="K304" s="23"/>
      <c r="L304" s="70"/>
      <c r="M304" s="70"/>
      <c r="N304" s="70"/>
      <c r="O304" s="40"/>
      <c r="P304" s="23"/>
      <c r="Q304" s="23"/>
      <c r="R304" s="72"/>
      <c r="S304" s="72"/>
      <c r="T304" s="23"/>
      <c r="U304" s="40"/>
      <c r="V304" s="23"/>
      <c r="W304" s="72"/>
      <c r="X304" s="23"/>
      <c r="Y304" s="40"/>
      <c r="Z304" s="23"/>
      <c r="AA304" s="72"/>
      <c r="AB304" s="23"/>
      <c r="AC304" s="40"/>
      <c r="AD304" s="23"/>
      <c r="AE304" s="23"/>
    </row>
    <row r="305" spans="1:31">
      <c r="A305" s="23"/>
      <c r="B305" s="64"/>
      <c r="C305" s="62"/>
      <c r="D305" s="65"/>
      <c r="E305" s="65"/>
      <c r="F305" s="65"/>
      <c r="G305" s="67"/>
      <c r="H305" s="67"/>
      <c r="I305" s="71"/>
      <c r="J305" s="70"/>
      <c r="K305" s="23"/>
      <c r="L305" s="70"/>
      <c r="M305" s="70"/>
      <c r="N305" s="70"/>
      <c r="O305" s="40"/>
      <c r="P305" s="23"/>
      <c r="Q305" s="23"/>
      <c r="R305" s="72"/>
      <c r="S305" s="72"/>
      <c r="T305" s="23"/>
      <c r="U305" s="40"/>
      <c r="V305" s="23"/>
      <c r="W305" s="72"/>
      <c r="X305" s="23"/>
      <c r="Y305" s="40"/>
      <c r="Z305" s="23"/>
      <c r="AA305" s="72"/>
      <c r="AB305" s="23"/>
      <c r="AC305" s="40"/>
      <c r="AD305" s="23"/>
      <c r="AE305" s="23"/>
    </row>
    <row r="306" spans="1:31">
      <c r="A306" s="23"/>
      <c r="B306" s="64"/>
      <c r="C306" s="62"/>
      <c r="D306" s="65"/>
      <c r="E306" s="65"/>
      <c r="F306" s="65"/>
      <c r="G306" s="67"/>
      <c r="H306" s="67"/>
      <c r="I306" s="71"/>
      <c r="J306" s="70"/>
      <c r="K306" s="23"/>
      <c r="L306" s="70"/>
      <c r="M306" s="70"/>
      <c r="N306" s="70"/>
      <c r="O306" s="40"/>
      <c r="P306" s="23"/>
      <c r="Q306" s="23"/>
      <c r="R306" s="72"/>
      <c r="S306" s="72"/>
      <c r="T306" s="23"/>
      <c r="U306" s="40"/>
      <c r="V306" s="23"/>
      <c r="W306" s="72"/>
      <c r="X306" s="23"/>
      <c r="Y306" s="40"/>
      <c r="Z306" s="23"/>
      <c r="AA306" s="72"/>
      <c r="AB306" s="23"/>
      <c r="AC306" s="40"/>
      <c r="AD306" s="23"/>
      <c r="AE306" s="23"/>
    </row>
    <row r="307" spans="1:31">
      <c r="A307" s="23"/>
      <c r="B307" s="64"/>
      <c r="C307" s="62"/>
      <c r="D307" s="65"/>
      <c r="E307" s="65"/>
      <c r="F307" s="65"/>
      <c r="G307" s="67"/>
      <c r="H307" s="67"/>
      <c r="I307" s="71"/>
      <c r="J307" s="70"/>
      <c r="K307" s="23"/>
      <c r="L307" s="70"/>
      <c r="M307" s="70"/>
      <c r="N307" s="70"/>
      <c r="O307" s="40"/>
      <c r="P307" s="23"/>
      <c r="Q307" s="23"/>
      <c r="R307" s="72"/>
      <c r="S307" s="72"/>
      <c r="T307" s="23"/>
      <c r="U307" s="40"/>
      <c r="V307" s="23"/>
      <c r="W307" s="72"/>
      <c r="X307" s="23"/>
      <c r="Y307" s="40"/>
      <c r="Z307" s="23"/>
      <c r="AA307" s="72"/>
      <c r="AB307" s="23"/>
      <c r="AC307" s="40"/>
      <c r="AD307" s="23"/>
      <c r="AE307" s="23"/>
    </row>
    <row r="308" spans="1:31">
      <c r="A308" s="23"/>
      <c r="B308" s="64"/>
      <c r="C308" s="62"/>
      <c r="D308" s="65"/>
      <c r="E308" s="65"/>
      <c r="F308" s="65"/>
      <c r="G308" s="67"/>
      <c r="H308" s="67"/>
      <c r="I308" s="71"/>
      <c r="J308" s="70"/>
      <c r="K308" s="23"/>
      <c r="L308" s="70"/>
      <c r="M308" s="70"/>
      <c r="N308" s="70"/>
      <c r="O308" s="40"/>
      <c r="P308" s="23"/>
      <c r="Q308" s="23"/>
      <c r="R308" s="72" t="s">
        <v>63</v>
      </c>
      <c r="S308" s="72"/>
      <c r="T308" s="23"/>
      <c r="U308" s="40"/>
      <c r="V308" s="23"/>
      <c r="W308" s="72"/>
      <c r="X308" s="23"/>
      <c r="Y308" s="40"/>
      <c r="Z308" s="23"/>
      <c r="AA308" s="72"/>
      <c r="AB308" s="23"/>
      <c r="AC308" s="40"/>
      <c r="AD308" s="23"/>
      <c r="AE308" s="23"/>
    </row>
    <row r="309" spans="1:31">
      <c r="A309" s="23"/>
      <c r="B309" s="64"/>
      <c r="C309" s="62"/>
      <c r="D309" s="65"/>
      <c r="E309" s="65"/>
      <c r="F309" s="65"/>
      <c r="G309" s="67"/>
      <c r="H309" s="67"/>
      <c r="I309" s="71"/>
      <c r="J309" s="70"/>
      <c r="K309" s="23"/>
      <c r="L309" s="70"/>
      <c r="M309" s="70"/>
      <c r="N309" s="70"/>
      <c r="O309" s="40"/>
      <c r="P309" s="23"/>
      <c r="Q309" s="23"/>
      <c r="R309" s="72"/>
      <c r="S309" s="72"/>
      <c r="T309" s="23"/>
      <c r="U309" s="40"/>
      <c r="V309" s="23"/>
      <c r="W309" s="72"/>
      <c r="X309" s="23"/>
      <c r="Y309" s="40"/>
      <c r="Z309" s="23"/>
      <c r="AA309" s="72"/>
      <c r="AB309" s="23"/>
      <c r="AC309" s="40"/>
      <c r="AD309" s="23"/>
      <c r="AE309" s="23"/>
    </row>
    <row r="310" spans="1:31" ht="12.75">
      <c r="A310" s="23"/>
      <c r="B310" s="64"/>
      <c r="C310" s="62"/>
      <c r="D310" s="92"/>
      <c r="E310" s="65"/>
      <c r="F310" s="65"/>
      <c r="G310" s="67"/>
      <c r="H310" s="67"/>
      <c r="I310" s="71"/>
      <c r="J310" s="70"/>
      <c r="K310" s="23"/>
      <c r="L310" s="70"/>
      <c r="M310" s="70"/>
      <c r="N310" s="70"/>
      <c r="O310" s="40"/>
      <c r="P310" s="23"/>
      <c r="Q310" s="23"/>
      <c r="R310" s="72"/>
      <c r="S310" s="72"/>
      <c r="T310" s="23"/>
      <c r="U310" s="40"/>
      <c r="V310" s="23"/>
      <c r="W310" s="72"/>
      <c r="X310" s="23"/>
      <c r="Y310" s="40"/>
      <c r="Z310" s="23"/>
      <c r="AA310" s="72"/>
      <c r="AB310" s="23"/>
      <c r="AC310" s="40"/>
      <c r="AD310" s="23"/>
      <c r="AE310" s="23"/>
    </row>
    <row r="311" spans="1:31" ht="12.75">
      <c r="A311" s="23"/>
      <c r="B311" s="64"/>
      <c r="C311" s="62"/>
      <c r="D311" s="92"/>
      <c r="E311" s="65"/>
      <c r="F311" s="65"/>
      <c r="G311" s="67"/>
      <c r="H311" s="67"/>
      <c r="I311" s="71"/>
      <c r="J311" s="70"/>
      <c r="K311" s="23"/>
      <c r="L311" s="70"/>
      <c r="M311" s="70"/>
      <c r="N311" s="70"/>
      <c r="O311" s="40"/>
      <c r="P311" s="23"/>
      <c r="Q311" s="23"/>
      <c r="R311" s="72"/>
      <c r="S311" s="72"/>
      <c r="T311" s="23"/>
      <c r="U311" s="40"/>
      <c r="V311" s="23"/>
      <c r="W311" s="72"/>
      <c r="X311" s="23"/>
      <c r="Y311" s="40"/>
      <c r="Z311" s="23"/>
      <c r="AA311" s="72"/>
      <c r="AB311" s="23"/>
      <c r="AC311" s="40"/>
      <c r="AD311" s="23"/>
      <c r="AE311" s="23"/>
    </row>
    <row r="312" spans="1:31" ht="12.75">
      <c r="A312" s="23"/>
      <c r="B312" s="64"/>
      <c r="C312" s="62"/>
      <c r="D312" s="92"/>
      <c r="E312" s="65"/>
      <c r="F312" s="65"/>
      <c r="G312" s="67"/>
      <c r="H312" s="67"/>
      <c r="I312" s="71"/>
      <c r="J312" s="70"/>
      <c r="K312" s="23"/>
      <c r="L312" s="70"/>
      <c r="M312" s="70"/>
      <c r="N312" s="70"/>
      <c r="O312" s="40"/>
      <c r="P312" s="23"/>
      <c r="Q312" s="23"/>
      <c r="R312" s="72"/>
      <c r="S312" s="72"/>
      <c r="T312" s="23"/>
      <c r="U312" s="40"/>
      <c r="V312" s="23"/>
      <c r="W312" s="72"/>
      <c r="X312" s="23"/>
      <c r="Y312" s="40"/>
      <c r="Z312" s="23"/>
      <c r="AA312" s="72"/>
      <c r="AB312" s="23"/>
      <c r="AC312" s="40"/>
      <c r="AD312" s="23"/>
      <c r="AE312" s="23"/>
    </row>
    <row r="313" spans="1:31" ht="12.75">
      <c r="A313" s="23"/>
      <c r="B313" s="64"/>
      <c r="C313" s="62"/>
      <c r="D313" s="92"/>
      <c r="E313" s="65"/>
      <c r="F313" s="65"/>
      <c r="G313" s="67"/>
      <c r="H313" s="67"/>
      <c r="I313" s="71"/>
      <c r="J313" s="70"/>
      <c r="K313" s="23"/>
      <c r="L313" s="70"/>
      <c r="M313" s="70"/>
      <c r="N313" s="70"/>
      <c r="O313" s="40"/>
      <c r="P313" s="23"/>
      <c r="Q313" s="23"/>
      <c r="R313" s="72"/>
      <c r="S313" s="72"/>
      <c r="T313" s="23"/>
      <c r="U313" s="40"/>
      <c r="V313" s="23"/>
      <c r="W313" s="72"/>
      <c r="X313" s="23"/>
      <c r="Y313" s="40"/>
      <c r="Z313" s="23"/>
      <c r="AA313" s="72"/>
      <c r="AB313" s="23"/>
      <c r="AC313" s="40"/>
      <c r="AD313" s="23"/>
      <c r="AE313" s="23"/>
    </row>
    <row r="314" spans="1:31" ht="12.75">
      <c r="A314" s="23"/>
      <c r="B314" s="64"/>
      <c r="C314" s="62"/>
      <c r="D314" s="92"/>
      <c r="E314" s="65"/>
      <c r="F314" s="65"/>
      <c r="G314" s="67"/>
      <c r="H314" s="67"/>
      <c r="I314" s="71"/>
      <c r="J314" s="70"/>
      <c r="K314" s="23"/>
      <c r="L314" s="70"/>
      <c r="M314" s="70"/>
      <c r="N314" s="70"/>
      <c r="O314" s="40"/>
      <c r="P314" s="23"/>
      <c r="Q314" s="23"/>
      <c r="R314" s="72"/>
      <c r="S314" s="72"/>
      <c r="T314" s="23"/>
      <c r="U314" s="40"/>
      <c r="V314" s="23"/>
      <c r="W314" s="72"/>
      <c r="X314" s="23"/>
      <c r="Y314" s="40"/>
      <c r="Z314" s="23"/>
      <c r="AA314" s="72"/>
      <c r="AB314" s="23"/>
      <c r="AC314" s="40"/>
      <c r="AD314" s="23"/>
      <c r="AE314" s="23"/>
    </row>
    <row r="315" spans="1:31" ht="12.75">
      <c r="A315" s="23"/>
      <c r="B315" s="64"/>
      <c r="C315" s="62"/>
      <c r="D315" s="92"/>
      <c r="E315" s="65"/>
      <c r="F315" s="65"/>
      <c r="G315" s="67"/>
      <c r="H315" s="67"/>
      <c r="I315" s="71"/>
      <c r="J315" s="70"/>
      <c r="K315" s="23"/>
      <c r="L315" s="70"/>
      <c r="M315" s="70"/>
      <c r="N315" s="70"/>
      <c r="O315" s="40"/>
      <c r="P315" s="23"/>
      <c r="Q315" s="23"/>
      <c r="R315" s="72"/>
      <c r="S315" s="72"/>
      <c r="T315" s="23"/>
      <c r="U315" s="40"/>
      <c r="V315" s="23"/>
      <c r="W315" s="72"/>
      <c r="X315" s="23"/>
      <c r="Y315" s="40"/>
      <c r="Z315" s="23"/>
      <c r="AA315" s="72"/>
      <c r="AB315" s="23"/>
      <c r="AC315" s="40"/>
      <c r="AD315" s="23"/>
      <c r="AE315" s="23"/>
    </row>
    <row r="316" spans="1:31" ht="12.75">
      <c r="A316" s="23"/>
      <c r="B316" s="64"/>
      <c r="C316" s="62"/>
      <c r="D316" s="92"/>
      <c r="E316" s="65"/>
      <c r="F316" s="65"/>
      <c r="G316" s="67"/>
      <c r="H316" s="67"/>
      <c r="I316" s="71"/>
      <c r="J316" s="70"/>
      <c r="K316" s="23"/>
      <c r="L316" s="70"/>
      <c r="M316" s="70"/>
      <c r="N316" s="70"/>
      <c r="O316" s="40"/>
      <c r="P316" s="23"/>
      <c r="Q316" s="23"/>
      <c r="R316" s="72"/>
      <c r="S316" s="72"/>
      <c r="T316" s="23"/>
      <c r="U316" s="40"/>
      <c r="V316" s="23"/>
      <c r="W316" s="72"/>
      <c r="X316" s="23"/>
      <c r="Y316" s="40"/>
      <c r="Z316" s="23"/>
      <c r="AA316" s="72"/>
      <c r="AB316" s="23"/>
      <c r="AC316" s="40"/>
      <c r="AD316" s="23"/>
      <c r="AE316" s="23"/>
    </row>
    <row r="317" spans="1:31" ht="12.75">
      <c r="A317" s="23"/>
      <c r="B317" s="64"/>
      <c r="C317" s="62"/>
      <c r="D317" s="92"/>
      <c r="E317" s="65"/>
      <c r="F317" s="65"/>
      <c r="G317" s="67"/>
      <c r="H317" s="67"/>
      <c r="I317" s="71"/>
      <c r="J317" s="70"/>
      <c r="K317" s="23"/>
      <c r="L317" s="70"/>
      <c r="M317" s="70"/>
      <c r="N317" s="70"/>
      <c r="O317" s="40"/>
      <c r="P317" s="23"/>
      <c r="Q317" s="23"/>
      <c r="R317" s="72"/>
      <c r="S317" s="72"/>
      <c r="T317" s="23"/>
      <c r="U317" s="40"/>
      <c r="V317" s="23"/>
      <c r="W317" s="72"/>
      <c r="X317" s="23"/>
      <c r="Y317" s="40"/>
      <c r="Z317" s="23"/>
      <c r="AA317" s="72"/>
      <c r="AB317" s="23"/>
      <c r="AC317" s="40"/>
      <c r="AD317" s="23"/>
      <c r="AE317" s="23"/>
    </row>
    <row r="318" spans="1:31" ht="12.75">
      <c r="A318" s="23"/>
      <c r="B318" s="64"/>
      <c r="C318" s="62"/>
      <c r="D318" s="92"/>
      <c r="E318" s="65"/>
      <c r="F318" s="65"/>
      <c r="G318" s="67"/>
      <c r="H318" s="67"/>
      <c r="I318" s="71"/>
      <c r="J318" s="70"/>
      <c r="K318" s="23"/>
      <c r="L318" s="70"/>
      <c r="M318" s="70"/>
      <c r="N318" s="70"/>
      <c r="O318" s="40"/>
      <c r="P318" s="23"/>
      <c r="Q318" s="23"/>
      <c r="R318" s="72"/>
      <c r="S318" s="72"/>
      <c r="T318" s="23"/>
      <c r="U318" s="40"/>
      <c r="V318" s="23"/>
      <c r="W318" s="72"/>
      <c r="X318" s="23"/>
      <c r="Y318" s="40"/>
      <c r="Z318" s="23"/>
      <c r="AA318" s="72"/>
      <c r="AB318" s="23"/>
      <c r="AC318" s="40"/>
      <c r="AD318" s="23"/>
      <c r="AE318" s="23"/>
    </row>
    <row r="319" spans="1:31" ht="12.75">
      <c r="A319" s="23"/>
      <c r="B319" s="64"/>
      <c r="C319" s="62"/>
      <c r="D319" s="92"/>
      <c r="E319" s="65"/>
      <c r="F319" s="65"/>
      <c r="G319" s="67"/>
      <c r="H319" s="67"/>
      <c r="I319" s="71"/>
      <c r="J319" s="70"/>
      <c r="K319" s="23"/>
      <c r="L319" s="70"/>
      <c r="M319" s="70"/>
      <c r="N319" s="70"/>
      <c r="O319" s="40"/>
      <c r="P319" s="23"/>
      <c r="Q319" s="23"/>
      <c r="R319" s="72"/>
      <c r="S319" s="72"/>
      <c r="T319" s="23"/>
      <c r="U319" s="40"/>
      <c r="V319" s="23"/>
      <c r="W319" s="72"/>
      <c r="X319" s="23"/>
      <c r="Y319" s="40"/>
      <c r="Z319" s="23"/>
      <c r="AA319" s="72"/>
      <c r="AB319" s="23"/>
      <c r="AC319" s="40"/>
      <c r="AD319" s="23"/>
      <c r="AE319" s="23"/>
    </row>
    <row r="320" spans="1:31" ht="12.75">
      <c r="A320" s="23"/>
      <c r="B320" s="64"/>
      <c r="C320" s="62"/>
      <c r="D320" s="92"/>
      <c r="E320" s="65"/>
      <c r="F320" s="65"/>
      <c r="G320" s="67"/>
      <c r="H320" s="67"/>
      <c r="I320" s="71"/>
      <c r="J320" s="70"/>
      <c r="K320" s="23"/>
      <c r="L320" s="70"/>
      <c r="M320" s="70"/>
      <c r="N320" s="70"/>
      <c r="O320" s="40"/>
      <c r="P320" s="23"/>
      <c r="Q320" s="23"/>
      <c r="R320" s="72"/>
      <c r="S320" s="72"/>
      <c r="T320" s="23"/>
      <c r="U320" s="40"/>
      <c r="V320" s="23"/>
      <c r="W320" s="72"/>
      <c r="X320" s="23"/>
      <c r="Y320" s="40"/>
      <c r="Z320" s="23"/>
      <c r="AA320" s="72"/>
      <c r="AB320" s="23"/>
      <c r="AC320" s="40"/>
      <c r="AD320" s="23"/>
      <c r="AE320" s="23"/>
    </row>
    <row r="321" spans="1:31" ht="12.75">
      <c r="A321" s="23"/>
      <c r="B321" s="64"/>
      <c r="C321" s="62"/>
      <c r="D321" s="92"/>
      <c r="E321" s="65"/>
      <c r="F321" s="65"/>
      <c r="G321" s="67"/>
      <c r="H321" s="67"/>
      <c r="I321" s="71"/>
      <c r="J321" s="70"/>
      <c r="K321" s="23"/>
      <c r="L321" s="70"/>
      <c r="M321" s="70"/>
      <c r="N321" s="70"/>
      <c r="O321" s="40"/>
      <c r="P321" s="23"/>
      <c r="Q321" s="23"/>
      <c r="R321" s="72"/>
      <c r="S321" s="72"/>
      <c r="T321" s="23"/>
      <c r="U321" s="40"/>
      <c r="V321" s="23"/>
      <c r="W321" s="72"/>
      <c r="X321" s="23"/>
      <c r="Y321" s="40"/>
      <c r="Z321" s="23"/>
      <c r="AA321" s="72"/>
      <c r="AB321" s="23"/>
      <c r="AC321" s="40"/>
      <c r="AD321" s="23"/>
      <c r="AE321" s="23"/>
    </row>
    <row r="322" spans="1:31" ht="12.75">
      <c r="A322" s="23"/>
      <c r="B322" s="64"/>
      <c r="C322" s="62"/>
      <c r="D322" s="92"/>
      <c r="E322" s="65"/>
      <c r="F322" s="65"/>
      <c r="G322" s="67"/>
      <c r="H322" s="67"/>
      <c r="I322" s="71"/>
      <c r="J322" s="70"/>
      <c r="K322" s="23"/>
      <c r="L322" s="70"/>
      <c r="M322" s="70"/>
      <c r="N322" s="70"/>
      <c r="O322" s="40"/>
      <c r="P322" s="23"/>
      <c r="Q322" s="23"/>
      <c r="R322" s="72"/>
      <c r="S322" s="72"/>
      <c r="T322" s="23"/>
      <c r="U322" s="40"/>
      <c r="V322" s="23"/>
      <c r="W322" s="72"/>
      <c r="X322" s="23"/>
      <c r="Y322" s="40"/>
      <c r="Z322" s="23"/>
      <c r="AA322" s="72"/>
      <c r="AB322" s="23"/>
      <c r="AC322" s="40"/>
      <c r="AD322" s="23"/>
      <c r="AE322" s="23"/>
    </row>
    <row r="323" spans="1:31" ht="12.75">
      <c r="A323" s="23"/>
      <c r="B323" s="64"/>
      <c r="C323" s="62"/>
      <c r="D323" s="92"/>
      <c r="E323" s="65"/>
      <c r="F323" s="65"/>
      <c r="G323" s="67"/>
      <c r="H323" s="67"/>
      <c r="I323" s="71"/>
      <c r="J323" s="70"/>
      <c r="K323" s="23"/>
      <c r="L323" s="70"/>
      <c r="M323" s="70"/>
      <c r="N323" s="70"/>
      <c r="O323" s="40"/>
      <c r="P323" s="23"/>
      <c r="Q323" s="23"/>
      <c r="R323" s="72"/>
      <c r="S323" s="72"/>
      <c r="T323" s="23"/>
      <c r="U323" s="40"/>
      <c r="V323" s="23"/>
      <c r="W323" s="72"/>
      <c r="X323" s="23"/>
      <c r="Y323" s="40"/>
      <c r="Z323" s="23"/>
      <c r="AA323" s="72"/>
      <c r="AB323" s="23"/>
      <c r="AC323" s="40"/>
      <c r="AD323" s="23"/>
      <c r="AE323" s="23"/>
    </row>
    <row r="324" spans="1:31" ht="12.75">
      <c r="A324" s="23"/>
      <c r="B324" s="64"/>
      <c r="C324" s="62"/>
      <c r="D324" s="92"/>
      <c r="E324" s="65"/>
      <c r="F324" s="65"/>
      <c r="G324" s="67"/>
      <c r="H324" s="67"/>
      <c r="I324" s="71"/>
      <c r="J324" s="70"/>
      <c r="K324" s="23"/>
      <c r="L324" s="70"/>
      <c r="M324" s="70"/>
      <c r="N324" s="70"/>
      <c r="O324" s="40"/>
      <c r="P324" s="23"/>
      <c r="Q324" s="23"/>
      <c r="R324" s="72"/>
      <c r="S324" s="72"/>
      <c r="T324" s="23"/>
      <c r="U324" s="40"/>
      <c r="V324" s="23"/>
      <c r="W324" s="72"/>
      <c r="X324" s="23"/>
      <c r="Y324" s="40"/>
      <c r="Z324" s="23"/>
      <c r="AA324" s="72"/>
      <c r="AB324" s="23"/>
      <c r="AC324" s="40"/>
      <c r="AD324" s="23"/>
      <c r="AE324" s="23"/>
    </row>
    <row r="325" spans="1:31" ht="12.75">
      <c r="A325" s="23"/>
      <c r="B325" s="64"/>
      <c r="C325" s="62"/>
      <c r="D325" s="92"/>
      <c r="E325" s="65"/>
      <c r="F325" s="65"/>
      <c r="G325" s="67"/>
      <c r="H325" s="67"/>
      <c r="I325" s="71"/>
      <c r="J325" s="70"/>
      <c r="K325" s="23"/>
      <c r="L325" s="70"/>
      <c r="M325" s="70"/>
      <c r="N325" s="70"/>
      <c r="O325" s="40"/>
      <c r="P325" s="23"/>
      <c r="Q325" s="23"/>
      <c r="R325" s="72"/>
      <c r="S325" s="72"/>
      <c r="T325" s="23"/>
      <c r="U325" s="40"/>
      <c r="V325" s="23"/>
      <c r="W325" s="72"/>
      <c r="X325" s="23"/>
      <c r="Y325" s="40"/>
      <c r="Z325" s="23"/>
      <c r="AA325" s="72"/>
      <c r="AB325" s="23"/>
      <c r="AC325" s="40"/>
      <c r="AD325" s="23"/>
      <c r="AE325" s="23"/>
    </row>
    <row r="326" spans="1:31" ht="12.75">
      <c r="A326" s="23"/>
      <c r="B326" s="64"/>
      <c r="C326" s="62"/>
      <c r="D326" s="92"/>
      <c r="E326" s="65"/>
      <c r="F326" s="65"/>
      <c r="G326" s="67"/>
      <c r="H326" s="67"/>
      <c r="I326" s="71"/>
      <c r="J326" s="70"/>
      <c r="K326" s="23"/>
      <c r="L326" s="70"/>
      <c r="M326" s="70"/>
      <c r="N326" s="70"/>
      <c r="O326" s="40"/>
      <c r="P326" s="23"/>
      <c r="Q326" s="23"/>
      <c r="R326" s="72"/>
      <c r="S326" s="72"/>
      <c r="T326" s="23"/>
      <c r="U326" s="40"/>
      <c r="V326" s="23"/>
      <c r="W326" s="72"/>
      <c r="X326" s="23"/>
      <c r="Y326" s="40"/>
      <c r="Z326" s="23"/>
      <c r="AA326" s="72"/>
      <c r="AB326" s="23"/>
      <c r="AC326" s="40"/>
      <c r="AD326" s="23"/>
      <c r="AE326" s="23"/>
    </row>
    <row r="327" spans="1:31" ht="12.75">
      <c r="A327" s="23"/>
      <c r="B327" s="64"/>
      <c r="C327" s="62"/>
      <c r="D327" s="92"/>
      <c r="E327" s="65"/>
      <c r="F327" s="65"/>
      <c r="G327" s="67"/>
      <c r="H327" s="67"/>
      <c r="I327" s="71"/>
      <c r="J327" s="70"/>
      <c r="K327" s="23"/>
      <c r="L327" s="70"/>
      <c r="M327" s="70"/>
      <c r="N327" s="70"/>
      <c r="O327" s="40"/>
      <c r="P327" s="23"/>
      <c r="Q327" s="23"/>
      <c r="R327" s="72"/>
      <c r="S327" s="72"/>
      <c r="T327" s="23"/>
      <c r="U327" s="40"/>
      <c r="V327" s="23"/>
      <c r="W327" s="72"/>
      <c r="X327" s="23"/>
      <c r="Y327" s="40"/>
      <c r="Z327" s="23"/>
      <c r="AA327" s="72"/>
      <c r="AB327" s="23"/>
      <c r="AC327" s="40"/>
      <c r="AD327" s="23"/>
      <c r="AE327" s="23"/>
    </row>
    <row r="328" spans="1:31" ht="12.75">
      <c r="A328" s="23"/>
      <c r="B328" s="64"/>
      <c r="C328" s="62"/>
      <c r="D328" s="92"/>
      <c r="E328" s="65"/>
      <c r="F328" s="65"/>
      <c r="G328" s="67"/>
      <c r="H328" s="67"/>
      <c r="I328" s="71"/>
      <c r="J328" s="70"/>
      <c r="K328" s="23"/>
      <c r="L328" s="70"/>
      <c r="M328" s="70"/>
      <c r="N328" s="70"/>
      <c r="O328" s="40"/>
      <c r="P328" s="23"/>
      <c r="Q328" s="23"/>
      <c r="R328" s="72"/>
      <c r="S328" s="72"/>
      <c r="T328" s="23"/>
      <c r="U328" s="40"/>
      <c r="V328" s="23"/>
      <c r="W328" s="72"/>
      <c r="X328" s="23"/>
      <c r="Y328" s="40"/>
      <c r="Z328" s="23"/>
      <c r="AA328" s="72"/>
      <c r="AB328" s="23"/>
      <c r="AC328" s="40"/>
      <c r="AD328" s="23"/>
      <c r="AE328" s="23"/>
    </row>
    <row r="329" spans="1:31" ht="12.75">
      <c r="A329" s="23"/>
      <c r="B329" s="64"/>
      <c r="C329" s="62"/>
      <c r="D329" s="92"/>
      <c r="E329" s="65"/>
      <c r="F329" s="65"/>
      <c r="G329" s="67"/>
      <c r="H329" s="67"/>
      <c r="I329" s="71"/>
      <c r="J329" s="70"/>
      <c r="K329" s="23"/>
      <c r="L329" s="70"/>
      <c r="M329" s="70"/>
      <c r="N329" s="70"/>
      <c r="O329" s="40"/>
      <c r="P329" s="23"/>
      <c r="Q329" s="23"/>
      <c r="R329" s="72"/>
      <c r="S329" s="72"/>
      <c r="T329" s="23"/>
      <c r="U329" s="40"/>
      <c r="V329" s="23"/>
      <c r="W329" s="72"/>
      <c r="X329" s="23"/>
      <c r="Y329" s="40"/>
      <c r="Z329" s="23"/>
      <c r="AA329" s="72"/>
      <c r="AB329" s="23"/>
      <c r="AC329" s="40"/>
      <c r="AD329" s="23"/>
      <c r="AE329" s="23"/>
    </row>
    <row r="330" spans="1:31" ht="12.75">
      <c r="A330" s="23"/>
      <c r="B330" s="64"/>
      <c r="C330" s="62"/>
      <c r="D330" s="92"/>
      <c r="E330" s="65"/>
      <c r="F330" s="65"/>
      <c r="G330" s="67"/>
      <c r="H330" s="67"/>
      <c r="I330" s="71"/>
      <c r="J330" s="70"/>
      <c r="K330" s="23"/>
      <c r="L330" s="70"/>
      <c r="M330" s="70"/>
      <c r="N330" s="70"/>
      <c r="O330" s="40"/>
      <c r="P330" s="23"/>
      <c r="Q330" s="23"/>
      <c r="R330" s="72"/>
      <c r="S330" s="72"/>
      <c r="T330" s="23"/>
      <c r="U330" s="40"/>
      <c r="V330" s="23"/>
      <c r="W330" s="72"/>
      <c r="X330" s="23"/>
      <c r="Y330" s="40"/>
      <c r="Z330" s="23"/>
      <c r="AA330" s="72"/>
      <c r="AB330" s="23"/>
      <c r="AC330" s="40"/>
      <c r="AD330" s="23"/>
      <c r="AE330" s="23"/>
    </row>
    <row r="331" spans="1:31" ht="12.75">
      <c r="A331" s="23"/>
      <c r="B331" s="64"/>
      <c r="C331" s="62"/>
      <c r="D331" s="92"/>
      <c r="E331" s="65"/>
      <c r="F331" s="65"/>
      <c r="G331" s="67"/>
      <c r="H331" s="67"/>
      <c r="I331" s="71"/>
      <c r="J331" s="70"/>
      <c r="K331" s="23"/>
      <c r="L331" s="70"/>
      <c r="M331" s="70"/>
      <c r="N331" s="70"/>
      <c r="O331" s="40"/>
      <c r="P331" s="23"/>
      <c r="Q331" s="23"/>
      <c r="R331" s="72"/>
      <c r="S331" s="72"/>
      <c r="T331" s="23"/>
      <c r="U331" s="40"/>
      <c r="V331" s="23"/>
      <c r="W331" s="72"/>
      <c r="X331" s="23"/>
      <c r="Y331" s="40"/>
      <c r="Z331" s="23"/>
      <c r="AA331" s="72"/>
      <c r="AB331" s="23"/>
      <c r="AC331" s="40"/>
      <c r="AD331" s="23"/>
      <c r="AE331" s="23"/>
    </row>
    <row r="332" spans="1:31" ht="12.75">
      <c r="A332" s="23"/>
      <c r="B332" s="64"/>
      <c r="C332" s="62"/>
      <c r="D332" s="92"/>
      <c r="E332" s="65"/>
      <c r="F332" s="65"/>
      <c r="G332" s="67"/>
      <c r="H332" s="67"/>
      <c r="I332" s="71"/>
      <c r="J332" s="70"/>
      <c r="K332" s="23"/>
      <c r="L332" s="70"/>
      <c r="M332" s="70"/>
      <c r="N332" s="70"/>
      <c r="O332" s="40"/>
      <c r="P332" s="23"/>
      <c r="Q332" s="23"/>
      <c r="R332" s="72"/>
      <c r="S332" s="72"/>
      <c r="T332" s="23"/>
      <c r="U332" s="40"/>
      <c r="V332" s="23"/>
      <c r="W332" s="72"/>
      <c r="X332" s="23"/>
      <c r="Y332" s="40"/>
      <c r="Z332" s="23"/>
      <c r="AA332" s="72"/>
      <c r="AB332" s="23"/>
      <c r="AC332" s="40"/>
      <c r="AD332" s="23"/>
      <c r="AE332" s="23"/>
    </row>
    <row r="333" spans="1:31" ht="39" customHeight="1">
      <c r="A333" s="23"/>
      <c r="B333" s="64"/>
      <c r="C333" s="62"/>
      <c r="D333" s="92"/>
      <c r="E333" s="65"/>
      <c r="F333" s="65"/>
      <c r="G333" s="67"/>
      <c r="H333" s="67"/>
      <c r="I333" s="71"/>
      <c r="J333" s="70"/>
      <c r="K333" s="23"/>
      <c r="L333" s="70"/>
      <c r="M333" s="70"/>
      <c r="N333" s="70"/>
      <c r="O333" s="40"/>
      <c r="P333" s="23"/>
      <c r="Q333" s="23"/>
      <c r="R333" s="72"/>
      <c r="S333" s="72"/>
      <c r="T333" s="23"/>
      <c r="U333" s="40"/>
      <c r="V333" s="23"/>
      <c r="W333" s="72"/>
      <c r="X333" s="23"/>
      <c r="Y333" s="40"/>
      <c r="Z333" s="23"/>
      <c r="AA333" s="72"/>
      <c r="AB333" s="23"/>
      <c r="AC333" s="40"/>
      <c r="AD333" s="23"/>
      <c r="AE333" s="23"/>
    </row>
    <row r="334" spans="1:31" ht="39" customHeight="1">
      <c r="A334" s="23"/>
      <c r="B334" s="64"/>
      <c r="C334" s="62"/>
      <c r="D334" s="92"/>
      <c r="E334" s="65"/>
      <c r="F334" s="65"/>
      <c r="G334" s="67"/>
      <c r="H334" s="67"/>
      <c r="I334" s="71"/>
      <c r="J334" s="70"/>
      <c r="K334" s="23"/>
      <c r="L334" s="70"/>
      <c r="M334" s="70"/>
      <c r="N334" s="70"/>
      <c r="O334" s="40"/>
      <c r="P334" s="23"/>
      <c r="Q334" s="23"/>
      <c r="R334" s="72"/>
      <c r="S334" s="72"/>
      <c r="T334" s="23"/>
      <c r="U334" s="40"/>
      <c r="V334" s="23"/>
      <c r="W334" s="72"/>
      <c r="X334" s="23"/>
      <c r="Y334" s="40"/>
      <c r="Z334" s="23"/>
      <c r="AA334" s="72"/>
      <c r="AB334" s="23"/>
      <c r="AC334" s="40"/>
      <c r="AD334" s="23"/>
      <c r="AE334" s="23"/>
    </row>
    <row r="335" spans="1:31" ht="39" customHeight="1">
      <c r="A335" s="23"/>
      <c r="B335" s="64"/>
      <c r="C335" s="62"/>
      <c r="D335" s="92"/>
      <c r="E335" s="65"/>
      <c r="F335" s="65"/>
      <c r="G335" s="67"/>
      <c r="H335" s="67"/>
      <c r="I335" s="71"/>
      <c r="J335" s="70"/>
      <c r="K335" s="23"/>
      <c r="L335" s="70"/>
      <c r="M335" s="70"/>
      <c r="N335" s="70"/>
      <c r="O335" s="40"/>
      <c r="P335" s="23"/>
      <c r="Q335" s="23"/>
      <c r="R335" s="72"/>
      <c r="S335" s="72"/>
      <c r="T335" s="23"/>
      <c r="U335" s="40"/>
      <c r="V335" s="23"/>
      <c r="W335" s="72"/>
      <c r="X335" s="23"/>
      <c r="Y335" s="40"/>
      <c r="Z335" s="23"/>
      <c r="AA335" s="72"/>
      <c r="AB335" s="23"/>
      <c r="AC335" s="40"/>
      <c r="AD335" s="23"/>
      <c r="AE335" s="23"/>
    </row>
    <row r="336" spans="1:31" ht="12.75">
      <c r="A336" s="23"/>
      <c r="B336" s="64"/>
      <c r="C336" s="62"/>
      <c r="D336" s="92"/>
      <c r="E336" s="65"/>
      <c r="F336" s="65"/>
      <c r="G336" s="67"/>
      <c r="H336" s="67"/>
      <c r="I336" s="71"/>
      <c r="J336" s="70"/>
      <c r="K336" s="23"/>
      <c r="L336" s="70"/>
      <c r="M336" s="70"/>
      <c r="N336" s="70"/>
      <c r="O336" s="40"/>
      <c r="P336" s="23"/>
      <c r="Q336" s="23"/>
      <c r="R336" s="72"/>
      <c r="S336" s="72"/>
      <c r="T336" s="23"/>
      <c r="U336" s="40"/>
      <c r="V336" s="23"/>
      <c r="W336" s="72"/>
      <c r="X336" s="23"/>
      <c r="Y336" s="40"/>
      <c r="Z336" s="23"/>
      <c r="AA336" s="72"/>
      <c r="AB336" s="23"/>
      <c r="AC336" s="40"/>
      <c r="AD336" s="23"/>
      <c r="AE336" s="23"/>
    </row>
    <row r="337" spans="1:32" ht="12.75">
      <c r="A337" s="23"/>
      <c r="B337" s="64"/>
      <c r="C337" s="62"/>
      <c r="D337" s="92"/>
      <c r="E337" s="65"/>
      <c r="F337" s="65"/>
      <c r="G337" s="67"/>
      <c r="H337" s="67"/>
      <c r="I337" s="71"/>
      <c r="J337" s="70"/>
      <c r="K337" s="23"/>
      <c r="L337" s="70"/>
      <c r="M337" s="70"/>
      <c r="N337" s="70"/>
      <c r="O337" s="40"/>
      <c r="P337" s="23"/>
      <c r="Q337" s="23"/>
      <c r="R337" s="72"/>
      <c r="S337" s="72"/>
      <c r="T337" s="23"/>
      <c r="U337" s="40"/>
      <c r="V337" s="23"/>
      <c r="W337" s="72"/>
      <c r="X337" s="23"/>
      <c r="Y337" s="40"/>
      <c r="Z337" s="23"/>
      <c r="AA337" s="72"/>
      <c r="AB337" s="23"/>
      <c r="AC337" s="40"/>
      <c r="AD337" s="23"/>
      <c r="AE337" s="23"/>
    </row>
    <row r="338" spans="1:32" ht="12.75">
      <c r="A338" s="23"/>
      <c r="B338" s="64"/>
      <c r="C338" s="62"/>
      <c r="D338" s="92"/>
      <c r="E338" s="65"/>
      <c r="F338" s="65"/>
      <c r="G338" s="67"/>
      <c r="H338" s="67"/>
      <c r="I338" s="71"/>
      <c r="J338" s="70"/>
      <c r="K338" s="23"/>
      <c r="L338" s="70"/>
      <c r="M338" s="70"/>
      <c r="N338" s="70"/>
      <c r="O338" s="40"/>
      <c r="P338" s="23"/>
      <c r="Q338" s="23"/>
      <c r="R338" s="72"/>
      <c r="S338" s="72"/>
      <c r="T338" s="23"/>
      <c r="U338" s="40"/>
      <c r="V338" s="23"/>
      <c r="W338" s="72"/>
      <c r="X338" s="23"/>
      <c r="Y338" s="40"/>
      <c r="Z338" s="23"/>
      <c r="AA338" s="72"/>
      <c r="AB338" s="23"/>
      <c r="AC338" s="40"/>
      <c r="AD338" s="23"/>
      <c r="AE338" s="23"/>
    </row>
    <row r="339" spans="1:32" ht="12.75">
      <c r="A339" s="23"/>
      <c r="B339" s="64"/>
      <c r="C339" s="62"/>
      <c r="D339" s="92"/>
      <c r="E339" s="65"/>
      <c r="F339" s="65"/>
      <c r="G339" s="67"/>
      <c r="H339" s="67"/>
      <c r="I339" s="71"/>
      <c r="J339" s="70"/>
      <c r="K339" s="23"/>
      <c r="L339" s="70"/>
      <c r="M339" s="70"/>
      <c r="N339" s="70"/>
      <c r="O339" s="40"/>
      <c r="P339" s="23"/>
      <c r="Q339" s="23"/>
      <c r="R339" s="72"/>
      <c r="S339" s="72"/>
      <c r="T339" s="23"/>
      <c r="U339" s="40"/>
      <c r="V339" s="23"/>
      <c r="W339" s="72"/>
      <c r="X339" s="23"/>
      <c r="Y339" s="40"/>
      <c r="Z339" s="23"/>
      <c r="AA339" s="72"/>
      <c r="AB339" s="23"/>
      <c r="AC339" s="40"/>
      <c r="AD339" s="23"/>
      <c r="AE339" s="23"/>
    </row>
    <row r="340" spans="1:32" ht="12.75">
      <c r="A340" s="23"/>
      <c r="B340" s="64"/>
      <c r="C340" s="62"/>
      <c r="D340" s="92"/>
      <c r="E340" s="65"/>
      <c r="F340" s="65"/>
      <c r="G340" s="67"/>
      <c r="H340" s="67"/>
      <c r="I340" s="71"/>
      <c r="J340" s="70"/>
      <c r="K340" s="23"/>
      <c r="L340" s="70"/>
      <c r="M340" s="70"/>
      <c r="N340" s="70"/>
      <c r="O340" s="40"/>
      <c r="P340" s="23"/>
      <c r="Q340" s="23"/>
      <c r="R340" s="72"/>
      <c r="S340" s="72"/>
      <c r="T340" s="23"/>
      <c r="U340" s="40"/>
      <c r="V340" s="23"/>
      <c r="W340" s="72"/>
      <c r="X340" s="23"/>
      <c r="Y340" s="40"/>
      <c r="Z340" s="23"/>
      <c r="AA340" s="72"/>
      <c r="AB340" s="23"/>
      <c r="AC340" s="40"/>
      <c r="AD340" s="23"/>
      <c r="AE340" s="23"/>
    </row>
    <row r="341" spans="1:32" ht="12.75">
      <c r="A341" s="23"/>
      <c r="B341" s="64"/>
      <c r="C341" s="62"/>
      <c r="D341" s="92"/>
      <c r="E341" s="65"/>
      <c r="F341" s="65"/>
      <c r="G341" s="67"/>
      <c r="H341" s="67"/>
      <c r="I341" s="71"/>
      <c r="J341" s="70"/>
      <c r="K341" s="23"/>
      <c r="L341" s="70"/>
      <c r="M341" s="70"/>
      <c r="N341" s="70"/>
      <c r="O341" s="40"/>
      <c r="P341" s="23"/>
      <c r="Q341" s="23"/>
      <c r="R341" s="72"/>
      <c r="S341" s="72"/>
      <c r="T341" s="23"/>
      <c r="U341" s="40"/>
      <c r="V341" s="23"/>
      <c r="W341" s="72"/>
      <c r="X341" s="23"/>
      <c r="Y341" s="40"/>
      <c r="Z341" s="23"/>
      <c r="AA341" s="72"/>
      <c r="AB341" s="23"/>
      <c r="AC341" s="40"/>
      <c r="AD341" s="23"/>
      <c r="AE341" s="23"/>
    </row>
    <row r="342" spans="1:32" ht="12.75">
      <c r="A342" s="23"/>
      <c r="B342" s="64"/>
      <c r="C342" s="62"/>
      <c r="D342" s="92"/>
      <c r="E342" s="65"/>
      <c r="F342" s="65"/>
      <c r="G342" s="67"/>
      <c r="H342" s="67"/>
      <c r="I342" s="71"/>
      <c r="J342" s="70"/>
      <c r="K342" s="23"/>
      <c r="L342" s="70"/>
      <c r="M342" s="70"/>
      <c r="N342" s="70"/>
      <c r="O342" s="40"/>
      <c r="P342" s="23"/>
      <c r="Q342" s="23"/>
      <c r="R342" s="72"/>
      <c r="S342" s="72"/>
      <c r="T342" s="23"/>
      <c r="U342" s="40"/>
      <c r="V342" s="23"/>
      <c r="W342" s="72"/>
      <c r="X342" s="23"/>
      <c r="Y342" s="40"/>
      <c r="Z342" s="23"/>
      <c r="AA342" s="72"/>
      <c r="AB342" s="23"/>
      <c r="AC342" s="40"/>
      <c r="AD342" s="23"/>
      <c r="AE342" s="23"/>
    </row>
    <row r="343" spans="1:32" ht="12.75">
      <c r="A343" s="23"/>
      <c r="B343" s="64"/>
      <c r="C343" s="62"/>
      <c r="D343" s="92"/>
      <c r="E343" s="65"/>
      <c r="F343" s="65"/>
      <c r="G343" s="67"/>
      <c r="H343" s="67"/>
      <c r="I343" s="71"/>
      <c r="J343" s="70"/>
      <c r="K343" s="23"/>
      <c r="L343" s="70"/>
      <c r="M343" s="70"/>
      <c r="N343" s="70"/>
      <c r="O343" s="40"/>
      <c r="P343" s="23"/>
      <c r="Q343" s="23"/>
      <c r="R343" s="72"/>
      <c r="S343" s="72"/>
      <c r="T343" s="23"/>
      <c r="U343" s="40"/>
      <c r="V343" s="23"/>
      <c r="W343" s="72"/>
      <c r="X343" s="23"/>
      <c r="Y343" s="40"/>
      <c r="Z343" s="23"/>
      <c r="AA343" s="72"/>
      <c r="AB343" s="23"/>
      <c r="AC343" s="40"/>
      <c r="AD343" s="23"/>
      <c r="AE343" s="23"/>
    </row>
    <row r="344" spans="1:32" ht="12.75">
      <c r="A344" s="23"/>
      <c r="B344" s="64"/>
      <c r="C344" s="62"/>
      <c r="D344" s="92"/>
      <c r="E344" s="65"/>
      <c r="F344" s="65"/>
      <c r="G344" s="67"/>
      <c r="H344" s="67"/>
      <c r="I344" s="71"/>
      <c r="J344" s="70"/>
      <c r="K344" s="23"/>
      <c r="L344" s="70"/>
      <c r="M344" s="70"/>
      <c r="N344" s="70"/>
      <c r="O344" s="40"/>
      <c r="P344" s="23"/>
      <c r="Q344" s="23"/>
      <c r="R344" s="72"/>
      <c r="S344" s="72"/>
      <c r="T344" s="23"/>
      <c r="U344" s="40"/>
      <c r="V344" s="23"/>
      <c r="W344" s="72"/>
      <c r="X344" s="23"/>
      <c r="Y344" s="40"/>
      <c r="Z344" s="23"/>
      <c r="AA344" s="72"/>
      <c r="AB344" s="23"/>
      <c r="AC344" s="40"/>
      <c r="AD344" s="23"/>
      <c r="AE344" s="23"/>
    </row>
    <row r="345" spans="1:32" ht="12.75">
      <c r="A345" s="23"/>
      <c r="B345" s="64"/>
      <c r="C345" s="62"/>
      <c r="D345" s="92"/>
      <c r="E345" s="65"/>
      <c r="F345" s="65"/>
      <c r="G345" s="67"/>
      <c r="H345" s="67"/>
      <c r="I345" s="71"/>
      <c r="J345" s="70"/>
      <c r="K345" s="23"/>
      <c r="L345" s="70"/>
      <c r="M345" s="70"/>
      <c r="N345" s="70"/>
      <c r="O345" s="40"/>
      <c r="P345" s="23"/>
      <c r="Q345" s="23"/>
      <c r="R345" s="72"/>
      <c r="S345" s="72"/>
      <c r="T345" s="23"/>
      <c r="U345" s="40"/>
      <c r="V345" s="23"/>
      <c r="W345" s="72"/>
      <c r="X345" s="23"/>
      <c r="Y345" s="40"/>
      <c r="Z345" s="23"/>
      <c r="AA345" s="72"/>
      <c r="AB345" s="23"/>
      <c r="AC345" s="40"/>
      <c r="AD345" s="23"/>
      <c r="AE345" s="23"/>
    </row>
    <row r="346" spans="1:32" ht="12.75">
      <c r="A346" s="23"/>
      <c r="B346" s="64"/>
      <c r="C346" s="62"/>
      <c r="D346" s="92"/>
      <c r="E346" s="65"/>
      <c r="F346" s="65"/>
      <c r="G346" s="67"/>
      <c r="H346" s="67"/>
      <c r="I346" s="71"/>
      <c r="J346" s="70"/>
      <c r="K346" s="23"/>
      <c r="L346" s="70"/>
      <c r="M346" s="70"/>
      <c r="N346" s="70"/>
      <c r="O346" s="40"/>
      <c r="P346" s="23"/>
      <c r="Q346" s="23"/>
      <c r="R346" s="72"/>
      <c r="S346" s="72"/>
      <c r="T346" s="23"/>
      <c r="U346" s="40"/>
      <c r="V346" s="23"/>
      <c r="W346" s="72"/>
      <c r="X346" s="23"/>
      <c r="Y346" s="40"/>
      <c r="Z346" s="23"/>
      <c r="AA346" s="72"/>
      <c r="AB346" s="23"/>
      <c r="AC346" s="40"/>
      <c r="AD346" s="23"/>
      <c r="AE346" s="23"/>
    </row>
    <row r="347" spans="1:32" ht="12.75">
      <c r="A347" s="23"/>
      <c r="B347" s="64"/>
      <c r="C347" s="62"/>
      <c r="D347" s="92"/>
      <c r="E347" s="65"/>
      <c r="F347" s="65"/>
      <c r="G347" s="67"/>
      <c r="H347" s="67"/>
      <c r="I347" s="71"/>
      <c r="J347" s="70"/>
      <c r="K347" s="23"/>
      <c r="L347" s="70"/>
      <c r="M347" s="70"/>
      <c r="N347" s="70"/>
      <c r="O347" s="40"/>
      <c r="P347" s="23"/>
      <c r="Q347" s="23"/>
      <c r="R347" s="72"/>
      <c r="S347" s="72"/>
      <c r="T347" s="23"/>
      <c r="U347" s="40"/>
      <c r="V347" s="23"/>
      <c r="W347" s="72"/>
      <c r="X347" s="23"/>
      <c r="Y347" s="40"/>
      <c r="Z347" s="23"/>
      <c r="AA347" s="72"/>
      <c r="AB347" s="23"/>
      <c r="AC347" s="40"/>
      <c r="AD347" s="23"/>
      <c r="AE347" s="23"/>
    </row>
    <row r="348" spans="1:32" ht="12.75">
      <c r="A348" s="23"/>
      <c r="B348" s="64"/>
      <c r="C348" s="62"/>
      <c r="D348" s="92"/>
      <c r="E348" s="65"/>
      <c r="F348" s="65"/>
      <c r="G348" s="67"/>
      <c r="H348" s="67"/>
      <c r="I348" s="71"/>
      <c r="J348" s="70"/>
      <c r="K348" s="23"/>
      <c r="L348" s="70"/>
      <c r="M348" s="70"/>
      <c r="N348" s="70"/>
      <c r="O348" s="40"/>
      <c r="P348" s="23"/>
      <c r="Q348" s="23"/>
      <c r="R348" s="72"/>
      <c r="S348" s="72"/>
      <c r="T348" s="23"/>
      <c r="U348" s="40"/>
      <c r="V348" s="23"/>
      <c r="W348" s="72"/>
      <c r="X348" s="23"/>
      <c r="Y348" s="40"/>
      <c r="Z348" s="23"/>
      <c r="AA348" s="72"/>
      <c r="AB348" s="23"/>
      <c r="AC348" s="40"/>
      <c r="AD348" s="23"/>
      <c r="AE348" s="23"/>
    </row>
    <row r="349" spans="1:32" ht="12.75">
      <c r="A349" s="23"/>
      <c r="B349" s="64"/>
      <c r="C349" s="62"/>
      <c r="D349" s="92"/>
      <c r="E349" s="65"/>
      <c r="F349" s="65"/>
      <c r="G349" s="67"/>
      <c r="H349" s="67"/>
      <c r="I349" s="71"/>
      <c r="J349" s="70"/>
      <c r="K349" s="23"/>
      <c r="L349" s="70"/>
      <c r="M349" s="70"/>
      <c r="N349" s="70"/>
      <c r="O349" s="40"/>
      <c r="P349" s="23"/>
      <c r="Q349" s="23"/>
      <c r="R349" s="72"/>
      <c r="S349" s="72"/>
      <c r="T349" s="23"/>
      <c r="U349" s="40"/>
      <c r="V349" s="23"/>
      <c r="W349" s="72"/>
      <c r="X349" s="23"/>
      <c r="Y349" s="40"/>
      <c r="Z349" s="23"/>
      <c r="AA349" s="72"/>
      <c r="AB349" s="23"/>
      <c r="AC349" s="40"/>
      <c r="AD349" s="23"/>
      <c r="AE349" s="23"/>
    </row>
    <row r="350" spans="1:32" s="23" customFormat="1" ht="12.75">
      <c r="B350" s="64"/>
      <c r="C350" s="62"/>
      <c r="D350" s="92"/>
      <c r="E350" s="65"/>
      <c r="F350" s="65"/>
      <c r="G350" s="67"/>
      <c r="H350" s="67"/>
      <c r="I350" s="71"/>
      <c r="J350" s="70"/>
      <c r="L350" s="70"/>
      <c r="M350" s="70"/>
      <c r="N350" s="70"/>
      <c r="O350" s="40"/>
      <c r="R350" s="72"/>
      <c r="S350" s="72"/>
      <c r="U350" s="40"/>
      <c r="W350" s="72"/>
      <c r="Y350" s="40"/>
      <c r="AA350" s="72"/>
      <c r="AC350" s="40"/>
      <c r="AF350" s="93"/>
    </row>
    <row r="351" spans="1:32" s="23" customFormat="1" ht="12.75">
      <c r="B351" s="64"/>
      <c r="C351" s="62"/>
      <c r="D351" s="92"/>
      <c r="E351" s="65"/>
      <c r="F351" s="65"/>
      <c r="G351" s="67"/>
      <c r="H351" s="67"/>
      <c r="I351" s="71"/>
      <c r="J351" s="70"/>
      <c r="L351" s="70"/>
      <c r="M351" s="70"/>
      <c r="N351" s="70"/>
      <c r="O351" s="40"/>
      <c r="R351" s="72"/>
      <c r="S351" s="72"/>
      <c r="U351" s="40"/>
      <c r="W351" s="72"/>
      <c r="Y351" s="40"/>
      <c r="AA351" s="72"/>
      <c r="AC351" s="40"/>
      <c r="AF351" s="93"/>
    </row>
    <row r="352" spans="1:32" s="23" customFormat="1" ht="12.75">
      <c r="B352" s="64"/>
      <c r="C352" s="62"/>
      <c r="D352" s="92"/>
      <c r="E352" s="65"/>
      <c r="F352" s="65"/>
      <c r="G352" s="67"/>
      <c r="H352" s="67"/>
      <c r="I352" s="71"/>
      <c r="J352" s="70"/>
      <c r="L352" s="70"/>
      <c r="M352" s="70"/>
      <c r="O352" s="40"/>
      <c r="R352" s="72"/>
      <c r="S352" s="72"/>
      <c r="U352" s="40"/>
      <c r="W352" s="72"/>
      <c r="Y352" s="40"/>
      <c r="AA352" s="72"/>
      <c r="AC352" s="40"/>
      <c r="AF352" s="93"/>
    </row>
    <row r="353" spans="1:32" s="23" customFormat="1" ht="12.75">
      <c r="B353" s="64"/>
      <c r="C353" s="62"/>
      <c r="D353" s="92"/>
      <c r="E353" s="65"/>
      <c r="F353" s="65"/>
      <c r="G353" s="67"/>
      <c r="H353" s="67"/>
      <c r="I353" s="71"/>
      <c r="J353" s="70"/>
      <c r="L353" s="70"/>
      <c r="M353" s="70"/>
      <c r="N353" s="70"/>
      <c r="O353" s="40"/>
      <c r="R353" s="72"/>
      <c r="S353" s="72"/>
      <c r="U353" s="40"/>
      <c r="W353" s="72"/>
      <c r="Y353" s="40"/>
      <c r="AA353" s="72"/>
      <c r="AC353" s="40"/>
      <c r="AF353" s="93"/>
    </row>
    <row r="354" spans="1:32" s="23" customFormat="1" ht="12.75">
      <c r="B354" s="64"/>
      <c r="C354" s="62"/>
      <c r="D354" s="92"/>
      <c r="E354" s="65"/>
      <c r="F354" s="65"/>
      <c r="G354" s="67"/>
      <c r="H354" s="67"/>
      <c r="I354" s="71"/>
      <c r="J354" s="70"/>
      <c r="L354" s="70"/>
      <c r="M354" s="70"/>
      <c r="N354" s="70"/>
      <c r="O354" s="40"/>
      <c r="R354" s="72"/>
      <c r="S354" s="72"/>
      <c r="U354" s="40"/>
      <c r="W354" s="72"/>
      <c r="Y354" s="40"/>
      <c r="AA354" s="72"/>
      <c r="AC354" s="40"/>
      <c r="AF354" s="93"/>
    </row>
    <row r="355" spans="1:32" s="23" customFormat="1" ht="12.75">
      <c r="B355" s="64"/>
      <c r="C355" s="62"/>
      <c r="D355" s="92"/>
      <c r="E355" s="65"/>
      <c r="F355" s="65"/>
      <c r="G355" s="67"/>
      <c r="H355" s="67"/>
      <c r="I355" s="71"/>
      <c r="J355" s="70"/>
      <c r="L355" s="70"/>
      <c r="M355" s="70"/>
      <c r="N355" s="70"/>
      <c r="O355" s="40"/>
      <c r="R355" s="72"/>
      <c r="S355" s="72"/>
      <c r="U355" s="40"/>
      <c r="W355" s="72"/>
      <c r="Y355" s="40"/>
      <c r="AA355" s="72"/>
      <c r="AC355" s="40"/>
      <c r="AF355" s="93"/>
    </row>
    <row r="356" spans="1:32" s="23" customFormat="1" ht="12.75">
      <c r="B356" s="64"/>
      <c r="C356" s="62"/>
      <c r="D356" s="92"/>
      <c r="E356" s="65"/>
      <c r="F356" s="65"/>
      <c r="G356" s="67"/>
      <c r="H356" s="67"/>
      <c r="I356" s="71"/>
      <c r="J356" s="70"/>
      <c r="L356" s="70"/>
      <c r="M356" s="70"/>
      <c r="N356" s="70"/>
      <c r="O356" s="40"/>
      <c r="R356" s="72"/>
      <c r="S356" s="72"/>
      <c r="U356" s="40"/>
      <c r="W356" s="72"/>
      <c r="Y356" s="40"/>
      <c r="AA356" s="72"/>
      <c r="AC356" s="40"/>
      <c r="AF356" s="93"/>
    </row>
    <row r="357" spans="1:32" s="23" customFormat="1" ht="12.75">
      <c r="B357" s="64"/>
      <c r="C357" s="62"/>
      <c r="D357" s="92"/>
      <c r="E357" s="65"/>
      <c r="F357" s="65"/>
      <c r="G357" s="67"/>
      <c r="H357" s="67"/>
      <c r="I357" s="71"/>
      <c r="J357" s="70"/>
      <c r="L357" s="70"/>
      <c r="M357" s="70"/>
      <c r="N357" s="70"/>
      <c r="O357" s="40"/>
      <c r="R357" s="72"/>
      <c r="S357" s="72"/>
      <c r="U357" s="40"/>
      <c r="W357" s="72"/>
      <c r="Y357" s="40"/>
      <c r="AA357" s="72"/>
      <c r="AC357" s="40"/>
      <c r="AF357" s="93"/>
    </row>
    <row r="358" spans="1:32" s="23" customFormat="1" ht="12.75">
      <c r="B358" s="64"/>
      <c r="C358" s="62"/>
      <c r="D358" s="92"/>
      <c r="E358" s="65"/>
      <c r="F358" s="65"/>
      <c r="G358" s="67"/>
      <c r="H358" s="67"/>
      <c r="I358" s="71"/>
      <c r="J358" s="70"/>
      <c r="L358" s="70"/>
      <c r="M358" s="70"/>
      <c r="N358" s="70"/>
      <c r="O358" s="40"/>
      <c r="R358" s="72"/>
      <c r="S358" s="72"/>
      <c r="U358" s="40"/>
      <c r="W358" s="72"/>
      <c r="Y358" s="40"/>
      <c r="AA358" s="72"/>
      <c r="AC358" s="40"/>
      <c r="AF358" s="93"/>
    </row>
    <row r="359" spans="1:32" s="23" customFormat="1" ht="12.75">
      <c r="B359" s="64"/>
      <c r="C359" s="62"/>
      <c r="D359" s="92"/>
      <c r="E359" s="65"/>
      <c r="F359" s="65"/>
      <c r="G359" s="67"/>
      <c r="H359" s="67"/>
      <c r="I359" s="71"/>
      <c r="J359" s="70"/>
      <c r="L359" s="70"/>
      <c r="M359" s="70"/>
      <c r="N359" s="70"/>
      <c r="O359" s="40"/>
      <c r="R359" s="72"/>
      <c r="S359" s="72"/>
      <c r="U359" s="40"/>
      <c r="W359" s="72"/>
      <c r="Y359" s="40"/>
      <c r="AA359" s="72"/>
      <c r="AC359" s="40"/>
      <c r="AF359" s="93"/>
    </row>
    <row r="360" spans="1:32" s="23" customFormat="1" ht="12.75">
      <c r="B360" s="64"/>
      <c r="C360" s="62"/>
      <c r="D360" s="92"/>
      <c r="E360" s="65"/>
      <c r="F360" s="65"/>
      <c r="G360" s="67"/>
      <c r="H360" s="67"/>
      <c r="I360" s="71"/>
      <c r="J360" s="70"/>
      <c r="L360" s="70"/>
      <c r="M360" s="70"/>
      <c r="N360" s="70"/>
      <c r="O360" s="40"/>
      <c r="R360" s="72"/>
      <c r="S360" s="72"/>
      <c r="U360" s="40"/>
      <c r="W360" s="72"/>
      <c r="Y360" s="40"/>
      <c r="AA360" s="72"/>
      <c r="AC360" s="40"/>
      <c r="AF360" s="93"/>
    </row>
    <row r="361" spans="1:32" s="23" customFormat="1" ht="12.75">
      <c r="B361" s="64"/>
      <c r="C361" s="62"/>
      <c r="D361" s="92"/>
      <c r="E361" s="65"/>
      <c r="F361" s="65"/>
      <c r="G361" s="67"/>
      <c r="H361" s="67"/>
      <c r="I361" s="71"/>
      <c r="J361" s="70"/>
      <c r="L361" s="70"/>
      <c r="M361" s="70"/>
      <c r="N361" s="70"/>
      <c r="O361" s="40"/>
      <c r="R361" s="72"/>
      <c r="S361" s="72"/>
      <c r="U361" s="40"/>
      <c r="W361" s="72"/>
      <c r="Y361" s="40"/>
      <c r="AA361" s="72"/>
      <c r="AC361" s="40"/>
      <c r="AF361" s="93"/>
    </row>
    <row r="362" spans="1:32" s="23" customFormat="1" ht="12.75">
      <c r="B362" s="64"/>
      <c r="C362" s="62"/>
      <c r="D362" s="92"/>
      <c r="E362" s="65"/>
      <c r="F362" s="65"/>
      <c r="G362" s="67"/>
      <c r="H362" s="67"/>
      <c r="I362" s="71"/>
      <c r="J362" s="70"/>
      <c r="L362" s="70"/>
      <c r="M362" s="70"/>
      <c r="N362" s="70"/>
      <c r="O362" s="40"/>
      <c r="R362" s="72"/>
      <c r="S362" s="72"/>
      <c r="U362" s="40"/>
      <c r="W362" s="72"/>
      <c r="Y362" s="40"/>
      <c r="AA362" s="72"/>
      <c r="AC362" s="40"/>
      <c r="AF362" s="93"/>
    </row>
    <row r="363" spans="1:32" s="23" customFormat="1" ht="12.75">
      <c r="B363" s="64"/>
      <c r="C363" s="62"/>
      <c r="D363" s="92"/>
      <c r="E363" s="65"/>
      <c r="F363" s="65"/>
      <c r="G363" s="67"/>
      <c r="H363" s="67"/>
      <c r="I363" s="71"/>
      <c r="J363" s="70"/>
      <c r="L363" s="70"/>
      <c r="M363" s="70"/>
      <c r="N363" s="70"/>
      <c r="O363" s="40"/>
      <c r="R363" s="72"/>
      <c r="S363" s="72"/>
      <c r="U363" s="40"/>
      <c r="W363" s="72"/>
      <c r="Y363" s="40"/>
      <c r="AA363" s="72"/>
      <c r="AC363" s="40"/>
      <c r="AF363" s="93"/>
    </row>
    <row r="364" spans="1:32" s="23" customFormat="1" ht="12.75">
      <c r="B364" s="64"/>
      <c r="C364" s="62"/>
      <c r="D364" s="92"/>
      <c r="E364" s="65"/>
      <c r="F364" s="65"/>
      <c r="G364" s="67"/>
      <c r="H364" s="67"/>
      <c r="I364" s="71"/>
      <c r="J364" s="70"/>
      <c r="L364" s="70"/>
      <c r="M364" s="70"/>
      <c r="N364" s="70"/>
      <c r="O364" s="40"/>
      <c r="R364" s="72"/>
      <c r="S364" s="72"/>
      <c r="U364" s="40"/>
      <c r="W364" s="72"/>
      <c r="Y364" s="40"/>
      <c r="AA364" s="72"/>
      <c r="AC364" s="40"/>
      <c r="AF364" s="93"/>
    </row>
    <row r="365" spans="1:32" s="23" customFormat="1" ht="12.75">
      <c r="B365" s="64"/>
      <c r="C365" s="62"/>
      <c r="D365" s="92"/>
      <c r="E365" s="65"/>
      <c r="F365" s="65"/>
      <c r="G365" s="67"/>
      <c r="H365" s="67"/>
      <c r="I365" s="71"/>
      <c r="J365" s="70"/>
      <c r="L365" s="70"/>
      <c r="M365" s="70"/>
      <c r="N365" s="70"/>
      <c r="O365" s="40"/>
      <c r="R365" s="72"/>
      <c r="S365" s="72"/>
      <c r="U365" s="40"/>
      <c r="W365" s="72"/>
      <c r="Y365" s="40"/>
      <c r="AA365" s="72"/>
      <c r="AC365" s="40"/>
      <c r="AF365" s="93"/>
    </row>
    <row r="366" spans="1:32" s="23" customFormat="1" ht="12.75">
      <c r="B366" s="64"/>
      <c r="C366" s="62"/>
      <c r="D366" s="92"/>
      <c r="E366" s="65"/>
      <c r="F366" s="65"/>
      <c r="G366" s="67"/>
      <c r="H366" s="67"/>
      <c r="I366" s="71"/>
      <c r="J366" s="70"/>
      <c r="L366" s="70"/>
      <c r="M366" s="70"/>
      <c r="N366" s="70"/>
      <c r="O366" s="40"/>
      <c r="R366" s="72"/>
      <c r="S366" s="72"/>
      <c r="U366" s="40"/>
      <c r="W366" s="72"/>
      <c r="Y366" s="40"/>
      <c r="AA366" s="72"/>
      <c r="AC366" s="40"/>
      <c r="AF366" s="93"/>
    </row>
    <row r="367" spans="1:32" s="23" customFormat="1" ht="12.75">
      <c r="B367" s="64"/>
      <c r="C367" s="62"/>
      <c r="D367" s="92"/>
      <c r="E367" s="65"/>
      <c r="F367" s="65"/>
      <c r="G367" s="67"/>
      <c r="H367" s="67"/>
      <c r="I367" s="71"/>
      <c r="J367" s="70"/>
      <c r="L367" s="70"/>
      <c r="M367" s="70"/>
      <c r="N367" s="70"/>
      <c r="O367" s="40"/>
      <c r="R367" s="72"/>
      <c r="S367" s="72"/>
      <c r="U367" s="40"/>
      <c r="W367" s="72"/>
      <c r="Y367" s="40"/>
      <c r="AA367" s="72"/>
      <c r="AC367" s="40"/>
      <c r="AF367" s="93"/>
    </row>
    <row r="368" spans="1:32" ht="12.75">
      <c r="A368" s="23"/>
      <c r="B368" s="64"/>
      <c r="C368" s="62"/>
      <c r="D368" s="92"/>
      <c r="E368" s="65"/>
      <c r="F368" s="65"/>
      <c r="G368" s="67"/>
      <c r="H368" s="67"/>
      <c r="I368" s="71"/>
      <c r="J368" s="70"/>
      <c r="K368" s="23"/>
      <c r="L368" s="70"/>
      <c r="M368" s="70"/>
      <c r="N368" s="70"/>
      <c r="O368" s="40"/>
      <c r="P368" s="23"/>
      <c r="Q368" s="23"/>
      <c r="R368" s="72"/>
      <c r="S368" s="72"/>
      <c r="T368" s="23"/>
      <c r="U368" s="40"/>
      <c r="V368" s="23"/>
      <c r="W368" s="72"/>
      <c r="X368" s="23"/>
      <c r="Y368" s="40"/>
      <c r="Z368" s="23"/>
      <c r="AA368" s="72"/>
      <c r="AB368" s="23"/>
      <c r="AC368" s="40"/>
      <c r="AD368" s="23"/>
      <c r="AE368" s="23"/>
    </row>
    <row r="369" spans="1:31" ht="12.75">
      <c r="A369" s="23"/>
      <c r="B369" s="64"/>
      <c r="C369" s="62"/>
      <c r="D369" s="92"/>
      <c r="E369" s="65"/>
      <c r="F369" s="65"/>
      <c r="G369" s="67"/>
      <c r="H369" s="67"/>
      <c r="I369" s="71"/>
      <c r="J369" s="70"/>
      <c r="K369" s="23"/>
      <c r="L369" s="70"/>
      <c r="M369" s="70"/>
      <c r="N369" s="70"/>
      <c r="O369" s="40"/>
      <c r="P369" s="23"/>
      <c r="Q369" s="23"/>
      <c r="R369" s="72"/>
      <c r="S369" s="72"/>
      <c r="T369" s="23"/>
      <c r="U369" s="40"/>
      <c r="V369" s="23"/>
      <c r="W369" s="72"/>
      <c r="X369" s="23"/>
      <c r="Y369" s="40"/>
      <c r="Z369" s="23"/>
      <c r="AA369" s="72"/>
      <c r="AB369" s="23"/>
      <c r="AC369" s="40"/>
      <c r="AD369" s="23"/>
      <c r="AE369" s="23"/>
    </row>
    <row r="370" spans="1:31" ht="12.75">
      <c r="A370" s="23"/>
      <c r="B370" s="64"/>
      <c r="C370" s="62"/>
      <c r="D370" s="92"/>
      <c r="E370" s="65"/>
      <c r="F370" s="65"/>
      <c r="G370" s="67"/>
      <c r="H370" s="67"/>
      <c r="I370" s="71"/>
      <c r="J370" s="70"/>
      <c r="K370" s="23"/>
      <c r="L370" s="70"/>
      <c r="M370" s="70"/>
      <c r="N370" s="70"/>
      <c r="O370" s="40"/>
      <c r="P370" s="23"/>
      <c r="Q370" s="23"/>
      <c r="R370" s="72"/>
      <c r="S370" s="72"/>
      <c r="T370" s="23"/>
      <c r="U370" s="40"/>
      <c r="V370" s="23"/>
      <c r="W370" s="72"/>
      <c r="X370" s="23"/>
      <c r="Y370" s="40"/>
      <c r="Z370" s="23"/>
      <c r="AA370" s="72"/>
      <c r="AB370" s="23"/>
      <c r="AC370" s="40"/>
      <c r="AD370" s="23"/>
      <c r="AE370" s="23"/>
    </row>
    <row r="371" spans="1:31" ht="12.75">
      <c r="A371" s="23"/>
      <c r="B371" s="64"/>
      <c r="C371" s="62"/>
      <c r="D371" s="92"/>
      <c r="E371" s="65"/>
      <c r="F371" s="65"/>
      <c r="G371" s="67"/>
      <c r="H371" s="67"/>
      <c r="I371" s="71"/>
      <c r="J371" s="70"/>
      <c r="K371" s="23"/>
      <c r="L371" s="70"/>
      <c r="M371" s="70"/>
      <c r="N371" s="70"/>
      <c r="O371" s="40"/>
      <c r="P371" s="23"/>
      <c r="Q371" s="23"/>
      <c r="R371" s="72"/>
      <c r="S371" s="72"/>
      <c r="T371" s="23"/>
      <c r="U371" s="40"/>
      <c r="V371" s="23"/>
      <c r="W371" s="72"/>
      <c r="X371" s="23"/>
      <c r="Y371" s="40"/>
      <c r="Z371" s="23"/>
      <c r="AA371" s="72"/>
      <c r="AB371" s="23"/>
      <c r="AC371" s="40"/>
      <c r="AD371" s="23"/>
      <c r="AE371" s="23"/>
    </row>
    <row r="372" spans="1:31" ht="12.75">
      <c r="A372" s="23"/>
      <c r="B372" s="64"/>
      <c r="C372" s="62"/>
      <c r="D372" s="92"/>
      <c r="E372" s="65"/>
      <c r="F372" s="65"/>
      <c r="G372" s="67"/>
      <c r="H372" s="67"/>
      <c r="I372" s="71"/>
      <c r="J372" s="70"/>
      <c r="K372" s="23"/>
      <c r="L372" s="70"/>
      <c r="M372" s="70"/>
      <c r="N372" s="70"/>
      <c r="O372" s="40"/>
      <c r="P372" s="23"/>
      <c r="Q372" s="23"/>
      <c r="R372" s="72"/>
      <c r="S372" s="72"/>
      <c r="T372" s="23"/>
      <c r="U372" s="40"/>
      <c r="V372" s="23"/>
      <c r="W372" s="72"/>
      <c r="X372" s="23"/>
      <c r="Y372" s="40"/>
      <c r="Z372" s="23"/>
      <c r="AA372" s="72"/>
      <c r="AB372" s="23"/>
      <c r="AC372" s="40"/>
      <c r="AD372" s="23"/>
      <c r="AE372" s="23"/>
    </row>
    <row r="373" spans="1:31" ht="12.75">
      <c r="A373" s="23"/>
      <c r="B373" s="64"/>
      <c r="C373" s="62"/>
      <c r="D373" s="92"/>
      <c r="E373" s="65"/>
      <c r="F373" s="65"/>
      <c r="G373" s="67"/>
      <c r="H373" s="67"/>
      <c r="I373" s="71"/>
      <c r="J373" s="70"/>
      <c r="K373" s="23"/>
      <c r="L373" s="70"/>
      <c r="M373" s="70"/>
      <c r="N373" s="70"/>
      <c r="O373" s="40"/>
      <c r="P373" s="23"/>
      <c r="Q373" s="23"/>
      <c r="R373" s="72"/>
      <c r="S373" s="72"/>
      <c r="T373" s="23"/>
      <c r="U373" s="40"/>
      <c r="V373" s="23"/>
      <c r="W373" s="72"/>
      <c r="X373" s="23"/>
      <c r="Y373" s="40"/>
      <c r="Z373" s="23"/>
      <c r="AA373" s="72"/>
      <c r="AB373" s="23"/>
      <c r="AC373" s="40"/>
      <c r="AD373" s="23"/>
      <c r="AE373" s="23"/>
    </row>
    <row r="374" spans="1:31" ht="12.75">
      <c r="A374" s="23"/>
      <c r="B374" s="64"/>
      <c r="C374" s="62"/>
      <c r="D374" s="92"/>
      <c r="E374" s="65"/>
      <c r="F374" s="65"/>
      <c r="G374" s="67"/>
      <c r="H374" s="67"/>
      <c r="I374" s="71"/>
      <c r="J374" s="70"/>
      <c r="K374" s="23"/>
      <c r="L374" s="70"/>
      <c r="M374" s="70"/>
      <c r="N374" s="70"/>
      <c r="O374" s="40"/>
      <c r="P374" s="23"/>
      <c r="Q374" s="23"/>
      <c r="R374" s="72"/>
      <c r="S374" s="72"/>
      <c r="T374" s="23"/>
      <c r="U374" s="40"/>
      <c r="V374" s="23"/>
      <c r="W374" s="72"/>
      <c r="X374" s="23"/>
      <c r="Y374" s="40"/>
      <c r="Z374" s="23"/>
      <c r="AA374" s="72"/>
      <c r="AB374" s="23"/>
      <c r="AC374" s="40"/>
      <c r="AD374" s="23"/>
      <c r="AE374" s="23"/>
    </row>
    <row r="375" spans="1:31" ht="12.75">
      <c r="A375" s="23"/>
      <c r="B375" s="64"/>
      <c r="C375" s="62"/>
      <c r="D375" s="92"/>
      <c r="E375" s="65"/>
      <c r="F375" s="65"/>
      <c r="G375" s="67"/>
      <c r="H375" s="67"/>
      <c r="I375" s="71"/>
      <c r="J375" s="70"/>
      <c r="K375" s="23"/>
      <c r="L375" s="70"/>
      <c r="M375" s="70"/>
      <c r="N375" s="70"/>
      <c r="O375" s="40"/>
      <c r="P375" s="23"/>
      <c r="Q375" s="23"/>
      <c r="R375" s="72"/>
      <c r="S375" s="72"/>
      <c r="T375" s="23"/>
      <c r="U375" s="40"/>
      <c r="V375" s="23"/>
      <c r="W375" s="72"/>
      <c r="X375" s="23"/>
      <c r="Y375" s="40"/>
      <c r="Z375" s="23"/>
      <c r="AA375" s="72"/>
      <c r="AB375" s="23"/>
      <c r="AC375" s="40"/>
      <c r="AD375" s="23"/>
      <c r="AE375" s="23"/>
    </row>
    <row r="376" spans="1:31" ht="12.75">
      <c r="A376" s="23"/>
      <c r="B376" s="64"/>
      <c r="C376" s="62"/>
      <c r="D376" s="92"/>
      <c r="E376" s="65"/>
      <c r="F376" s="65"/>
      <c r="G376" s="67"/>
      <c r="H376" s="67"/>
      <c r="I376" s="71"/>
      <c r="J376" s="70"/>
      <c r="K376" s="23"/>
      <c r="L376" s="70"/>
      <c r="M376" s="70"/>
      <c r="N376" s="70"/>
      <c r="O376" s="40"/>
      <c r="P376" s="23"/>
      <c r="Q376" s="23"/>
      <c r="R376" s="72"/>
      <c r="S376" s="72"/>
      <c r="T376" s="23"/>
      <c r="U376" s="40"/>
      <c r="V376" s="23"/>
      <c r="W376" s="72"/>
      <c r="X376" s="23"/>
      <c r="Y376" s="40"/>
      <c r="Z376" s="23"/>
      <c r="AA376" s="72"/>
      <c r="AB376" s="23"/>
      <c r="AC376" s="40"/>
      <c r="AD376" s="23"/>
      <c r="AE376" s="23"/>
    </row>
    <row r="377" spans="1:31" ht="12.75">
      <c r="A377" s="23"/>
      <c r="B377" s="64"/>
      <c r="C377" s="62"/>
      <c r="D377" s="92"/>
      <c r="E377" s="65"/>
      <c r="F377" s="65"/>
      <c r="G377" s="67"/>
      <c r="H377" s="67"/>
      <c r="I377" s="71"/>
      <c r="J377" s="70"/>
      <c r="K377" s="23"/>
      <c r="L377" s="70"/>
      <c r="M377" s="70"/>
      <c r="N377" s="70"/>
      <c r="O377" s="40"/>
      <c r="P377" s="23"/>
      <c r="Q377" s="23"/>
      <c r="R377" s="72"/>
      <c r="S377" s="72"/>
      <c r="T377" s="23"/>
      <c r="U377" s="40"/>
      <c r="V377" s="23"/>
      <c r="W377" s="72"/>
      <c r="X377" s="23"/>
      <c r="Y377" s="40"/>
      <c r="Z377" s="23"/>
      <c r="AA377" s="72"/>
      <c r="AB377" s="23"/>
      <c r="AC377" s="40"/>
      <c r="AD377" s="23"/>
      <c r="AE377" s="23"/>
    </row>
    <row r="378" spans="1:31" ht="12.75">
      <c r="A378" s="23"/>
      <c r="B378" s="64"/>
      <c r="C378" s="62"/>
      <c r="D378" s="92"/>
      <c r="E378" s="65"/>
      <c r="F378" s="65"/>
      <c r="G378" s="67"/>
      <c r="H378" s="67"/>
      <c r="I378" s="71"/>
      <c r="J378" s="70"/>
      <c r="K378" s="23"/>
      <c r="L378" s="70"/>
      <c r="M378" s="70"/>
      <c r="N378" s="70"/>
      <c r="O378" s="40"/>
      <c r="P378" s="23"/>
      <c r="Q378" s="23"/>
      <c r="R378" s="72"/>
      <c r="S378" s="72"/>
      <c r="T378" s="23"/>
      <c r="U378" s="40"/>
      <c r="V378" s="23"/>
      <c r="W378" s="72"/>
      <c r="X378" s="23"/>
      <c r="Y378" s="40"/>
      <c r="Z378" s="23"/>
      <c r="AA378" s="72"/>
      <c r="AB378" s="23"/>
      <c r="AC378" s="40"/>
      <c r="AD378" s="23"/>
      <c r="AE378" s="23"/>
    </row>
    <row r="379" spans="1:31" ht="12.75">
      <c r="A379" s="23"/>
      <c r="B379" s="64"/>
      <c r="C379" s="62"/>
      <c r="D379" s="92"/>
      <c r="E379" s="65"/>
      <c r="F379" s="65"/>
      <c r="G379" s="67"/>
      <c r="H379" s="67"/>
      <c r="I379" s="71"/>
      <c r="J379" s="70"/>
      <c r="K379" s="23"/>
      <c r="L379" s="70"/>
      <c r="M379" s="70"/>
      <c r="N379" s="70"/>
      <c r="O379" s="40"/>
      <c r="P379" s="23"/>
      <c r="Q379" s="23"/>
      <c r="R379" s="72"/>
      <c r="S379" s="72"/>
      <c r="T379" s="23"/>
      <c r="U379" s="40"/>
      <c r="V379" s="23"/>
      <c r="W379" s="72"/>
      <c r="X379" s="23"/>
      <c r="Y379" s="40"/>
      <c r="Z379" s="23"/>
      <c r="AA379" s="72"/>
      <c r="AB379" s="23"/>
      <c r="AC379" s="40"/>
      <c r="AD379" s="23"/>
      <c r="AE379" s="23"/>
    </row>
    <row r="380" spans="1:31" ht="12.75">
      <c r="A380" s="23"/>
      <c r="B380" s="64"/>
      <c r="C380" s="62"/>
      <c r="D380" s="92"/>
      <c r="E380" s="65"/>
      <c r="F380" s="65"/>
      <c r="G380" s="67"/>
      <c r="H380" s="67"/>
      <c r="I380" s="71"/>
      <c r="J380" s="70"/>
      <c r="K380" s="23"/>
      <c r="L380" s="70"/>
      <c r="M380" s="70"/>
      <c r="N380" s="70"/>
      <c r="O380" s="40"/>
      <c r="P380" s="23"/>
      <c r="Q380" s="23"/>
      <c r="R380" s="72"/>
      <c r="S380" s="72"/>
      <c r="T380" s="23"/>
      <c r="U380" s="40"/>
      <c r="V380" s="23"/>
      <c r="W380" s="72"/>
      <c r="X380" s="23"/>
      <c r="Y380" s="40"/>
      <c r="Z380" s="23"/>
      <c r="AA380" s="72"/>
      <c r="AB380" s="23"/>
      <c r="AC380" s="40"/>
      <c r="AD380" s="23"/>
      <c r="AE380" s="23"/>
    </row>
    <row r="381" spans="1:31" ht="12.75">
      <c r="A381" s="23"/>
      <c r="B381" s="64"/>
      <c r="C381" s="62"/>
      <c r="D381" s="92"/>
      <c r="E381" s="65"/>
      <c r="F381" s="65"/>
      <c r="G381" s="67"/>
      <c r="H381" s="67"/>
      <c r="I381" s="71"/>
      <c r="J381" s="70"/>
      <c r="K381" s="23"/>
      <c r="L381" s="70"/>
      <c r="M381" s="70"/>
      <c r="N381" s="70"/>
      <c r="O381" s="40"/>
      <c r="P381" s="23"/>
      <c r="Q381" s="23"/>
      <c r="R381" s="72"/>
      <c r="S381" s="72"/>
      <c r="T381" s="23"/>
      <c r="U381" s="40"/>
      <c r="V381" s="23"/>
      <c r="W381" s="72"/>
      <c r="X381" s="23"/>
      <c r="Y381" s="40"/>
      <c r="Z381" s="23"/>
      <c r="AA381" s="72"/>
      <c r="AB381" s="23"/>
      <c r="AC381" s="40"/>
      <c r="AD381" s="23"/>
      <c r="AE381" s="23"/>
    </row>
    <row r="382" spans="1:31" ht="12.75">
      <c r="A382" s="23"/>
      <c r="B382" s="64"/>
      <c r="C382" s="62"/>
      <c r="D382" s="92"/>
      <c r="E382" s="65"/>
      <c r="F382" s="65"/>
      <c r="G382" s="67"/>
      <c r="H382" s="67"/>
      <c r="I382" s="71"/>
      <c r="J382" s="70"/>
      <c r="K382" s="23"/>
      <c r="L382" s="70"/>
      <c r="M382" s="70"/>
      <c r="N382" s="70"/>
      <c r="O382" s="40"/>
      <c r="P382" s="23"/>
      <c r="Q382" s="23"/>
      <c r="R382" s="72"/>
      <c r="S382" s="72"/>
      <c r="T382" s="23"/>
      <c r="U382" s="40"/>
      <c r="V382" s="23"/>
      <c r="W382" s="72"/>
      <c r="X382" s="23"/>
      <c r="Y382" s="40"/>
      <c r="Z382" s="23"/>
      <c r="AA382" s="72"/>
      <c r="AB382" s="23"/>
      <c r="AC382" s="40"/>
      <c r="AD382" s="23"/>
      <c r="AE382" s="23"/>
    </row>
    <row r="383" spans="1:31" ht="12.75">
      <c r="A383" s="23"/>
      <c r="B383" s="64"/>
      <c r="C383" s="62"/>
      <c r="D383" s="92"/>
      <c r="E383" s="65"/>
      <c r="F383" s="65"/>
      <c r="G383" s="67"/>
      <c r="H383" s="67"/>
      <c r="I383" s="71"/>
      <c r="J383" s="70"/>
      <c r="K383" s="23"/>
      <c r="L383" s="70"/>
      <c r="M383" s="70"/>
      <c r="N383" s="70"/>
      <c r="O383" s="40"/>
      <c r="P383" s="23"/>
      <c r="Q383" s="23"/>
      <c r="R383" s="72"/>
      <c r="S383" s="72"/>
      <c r="T383" s="23"/>
      <c r="U383" s="40"/>
      <c r="V383" s="23"/>
      <c r="W383" s="72"/>
      <c r="X383" s="23"/>
      <c r="Y383" s="40"/>
      <c r="Z383" s="23"/>
      <c r="AA383" s="72"/>
      <c r="AB383" s="23"/>
      <c r="AC383" s="40"/>
      <c r="AD383" s="23"/>
      <c r="AE383" s="23"/>
    </row>
    <row r="384" spans="1:31" ht="12.75">
      <c r="A384" s="23"/>
      <c r="B384" s="64"/>
      <c r="C384" s="62"/>
      <c r="D384" s="92"/>
      <c r="E384" s="65"/>
      <c r="F384" s="65"/>
      <c r="G384" s="67"/>
      <c r="H384" s="67"/>
      <c r="I384" s="71"/>
      <c r="J384" s="70"/>
      <c r="K384" s="23"/>
      <c r="L384" s="70"/>
      <c r="M384" s="70"/>
      <c r="N384" s="70"/>
      <c r="O384" s="40"/>
      <c r="P384" s="23"/>
      <c r="Q384" s="23"/>
      <c r="R384" s="72"/>
      <c r="S384" s="72"/>
      <c r="T384" s="23"/>
      <c r="U384" s="40"/>
      <c r="V384" s="23"/>
      <c r="W384" s="72"/>
      <c r="X384" s="23"/>
      <c r="Y384" s="40"/>
      <c r="Z384" s="23"/>
      <c r="AA384" s="72"/>
      <c r="AB384" s="23"/>
      <c r="AC384" s="40"/>
      <c r="AD384" s="23"/>
      <c r="AE384" s="23"/>
    </row>
    <row r="385" spans="1:31" ht="12.75">
      <c r="A385" s="23"/>
      <c r="B385" s="64"/>
      <c r="C385" s="62"/>
      <c r="D385" s="92"/>
      <c r="E385" s="65"/>
      <c r="F385" s="65"/>
      <c r="G385" s="67"/>
      <c r="H385" s="67"/>
      <c r="I385" s="71"/>
      <c r="J385" s="70"/>
      <c r="K385" s="23"/>
      <c r="L385" s="70"/>
      <c r="M385" s="70"/>
      <c r="N385" s="70"/>
      <c r="O385" s="40"/>
      <c r="P385" s="23"/>
      <c r="Q385" s="23"/>
      <c r="R385" s="72"/>
      <c r="S385" s="72"/>
      <c r="T385" s="23"/>
      <c r="U385" s="40"/>
      <c r="V385" s="23"/>
      <c r="W385" s="72"/>
      <c r="X385" s="23"/>
      <c r="Y385" s="40"/>
      <c r="Z385" s="23"/>
      <c r="AA385" s="72"/>
      <c r="AB385" s="23"/>
      <c r="AC385" s="40"/>
      <c r="AD385" s="23"/>
      <c r="AE385" s="23"/>
    </row>
    <row r="386" spans="1:31" ht="12.75">
      <c r="A386" s="23"/>
      <c r="B386" s="64"/>
      <c r="C386" s="62"/>
      <c r="D386" s="92"/>
      <c r="E386" s="65"/>
      <c r="F386" s="65"/>
      <c r="G386" s="67"/>
      <c r="H386" s="67"/>
      <c r="I386" s="71"/>
      <c r="J386" s="70"/>
      <c r="K386" s="23"/>
      <c r="L386" s="70"/>
      <c r="M386" s="70"/>
      <c r="N386" s="70"/>
      <c r="O386" s="40"/>
      <c r="P386" s="23"/>
      <c r="Q386" s="23"/>
      <c r="R386" s="72"/>
      <c r="S386" s="72"/>
      <c r="T386" s="23"/>
      <c r="U386" s="40"/>
      <c r="V386" s="23"/>
      <c r="W386" s="72"/>
      <c r="X386" s="23"/>
      <c r="Y386" s="40"/>
      <c r="Z386" s="23"/>
      <c r="AA386" s="72"/>
      <c r="AB386" s="23"/>
      <c r="AC386" s="40"/>
      <c r="AD386" s="23"/>
      <c r="AE386" s="23"/>
    </row>
    <row r="387" spans="1:31" ht="12.75">
      <c r="A387" s="23"/>
      <c r="B387" s="64"/>
      <c r="C387" s="62"/>
      <c r="D387" s="92"/>
      <c r="E387" s="65"/>
      <c r="F387" s="65"/>
      <c r="G387" s="67"/>
      <c r="H387" s="67"/>
      <c r="I387" s="71"/>
      <c r="J387" s="70"/>
      <c r="K387" s="23"/>
      <c r="L387" s="70"/>
      <c r="M387" s="70"/>
      <c r="N387" s="70"/>
      <c r="O387" s="40"/>
      <c r="P387" s="23"/>
      <c r="Q387" s="23"/>
      <c r="R387" s="72"/>
      <c r="S387" s="72"/>
      <c r="T387" s="23"/>
      <c r="U387" s="40"/>
      <c r="V387" s="23"/>
      <c r="W387" s="72"/>
      <c r="X387" s="23"/>
      <c r="Y387" s="40"/>
      <c r="Z387" s="23"/>
      <c r="AA387" s="72"/>
      <c r="AB387" s="23"/>
      <c r="AC387" s="40"/>
      <c r="AD387" s="23"/>
      <c r="AE387" s="23"/>
    </row>
    <row r="388" spans="1:31" ht="12.75">
      <c r="A388" s="23"/>
      <c r="B388" s="64"/>
      <c r="C388" s="62"/>
      <c r="D388" s="92"/>
      <c r="E388" s="65"/>
      <c r="F388" s="65"/>
      <c r="G388" s="67"/>
      <c r="H388" s="67"/>
      <c r="I388" s="71"/>
      <c r="J388" s="70"/>
      <c r="K388" s="23"/>
      <c r="L388" s="70"/>
      <c r="M388" s="70"/>
      <c r="N388" s="70"/>
      <c r="O388" s="40"/>
      <c r="P388" s="23"/>
      <c r="Q388" s="23"/>
      <c r="R388" s="72"/>
      <c r="S388" s="72"/>
      <c r="T388" s="23"/>
      <c r="U388" s="40"/>
      <c r="V388" s="23"/>
      <c r="W388" s="72"/>
      <c r="X388" s="23"/>
      <c r="Y388" s="40"/>
      <c r="Z388" s="23"/>
      <c r="AA388" s="72"/>
      <c r="AB388" s="23"/>
      <c r="AC388" s="40"/>
      <c r="AD388" s="23"/>
      <c r="AE388" s="23"/>
    </row>
    <row r="389" spans="1:31" ht="12.75">
      <c r="A389" s="23"/>
      <c r="B389" s="64"/>
      <c r="C389" s="62"/>
      <c r="D389" s="92"/>
      <c r="E389" s="65"/>
      <c r="F389" s="65"/>
      <c r="G389" s="67"/>
      <c r="H389" s="67"/>
      <c r="I389" s="71"/>
      <c r="J389" s="70"/>
      <c r="K389" s="23"/>
      <c r="L389" s="70"/>
      <c r="M389" s="70"/>
      <c r="N389" s="70"/>
      <c r="O389" s="40"/>
      <c r="P389" s="23"/>
      <c r="Q389" s="23"/>
      <c r="R389" s="72"/>
      <c r="S389" s="72"/>
      <c r="T389" s="23"/>
      <c r="U389" s="40"/>
      <c r="V389" s="23"/>
      <c r="W389" s="72"/>
      <c r="X389" s="23"/>
      <c r="Y389" s="40"/>
      <c r="Z389" s="23"/>
      <c r="AA389" s="72"/>
      <c r="AB389" s="23"/>
      <c r="AC389" s="40"/>
      <c r="AD389" s="23"/>
      <c r="AE389" s="23"/>
    </row>
    <row r="390" spans="1:31" ht="12.75">
      <c r="A390" s="23"/>
      <c r="B390" s="64"/>
      <c r="C390" s="62"/>
      <c r="D390" s="92"/>
      <c r="E390" s="65"/>
      <c r="F390" s="65"/>
      <c r="G390" s="67"/>
      <c r="H390" s="67"/>
      <c r="I390" s="71"/>
      <c r="J390" s="70"/>
      <c r="K390" s="23"/>
      <c r="L390" s="70"/>
      <c r="M390" s="70"/>
      <c r="N390" s="70"/>
      <c r="O390" s="40"/>
      <c r="P390" s="23"/>
      <c r="Q390" s="23"/>
      <c r="R390" s="72"/>
      <c r="S390" s="72"/>
      <c r="T390" s="23"/>
      <c r="U390" s="40"/>
      <c r="V390" s="23"/>
      <c r="W390" s="72"/>
      <c r="X390" s="23"/>
      <c r="Y390" s="40"/>
      <c r="Z390" s="23"/>
      <c r="AA390" s="72"/>
      <c r="AB390" s="23"/>
      <c r="AC390" s="40"/>
      <c r="AD390" s="23"/>
      <c r="AE390" s="23"/>
    </row>
    <row r="391" spans="1:31" ht="12.75">
      <c r="A391" s="23"/>
      <c r="B391" s="64"/>
      <c r="C391" s="62"/>
      <c r="D391" s="92"/>
      <c r="E391" s="65"/>
      <c r="F391" s="65"/>
      <c r="G391" s="67"/>
      <c r="H391" s="67"/>
      <c r="I391" s="71"/>
      <c r="J391" s="70"/>
      <c r="K391" s="23"/>
      <c r="L391" s="70"/>
      <c r="M391" s="70"/>
      <c r="N391" s="70"/>
      <c r="O391" s="40"/>
      <c r="P391" s="23"/>
      <c r="Q391" s="23"/>
      <c r="R391" s="72"/>
      <c r="S391" s="72"/>
      <c r="T391" s="23"/>
      <c r="U391" s="40"/>
      <c r="V391" s="23"/>
      <c r="W391" s="72"/>
      <c r="X391" s="23"/>
      <c r="Y391" s="40"/>
      <c r="Z391" s="23"/>
      <c r="AA391" s="72"/>
      <c r="AB391" s="23"/>
      <c r="AC391" s="40"/>
      <c r="AD391" s="23"/>
      <c r="AE391" s="23"/>
    </row>
    <row r="392" spans="1:31" ht="12.75">
      <c r="A392" s="23"/>
      <c r="B392" s="64"/>
      <c r="C392" s="62"/>
      <c r="D392" s="92"/>
      <c r="E392" s="65"/>
      <c r="F392" s="65"/>
      <c r="G392" s="67"/>
      <c r="H392" s="67"/>
      <c r="I392" s="71"/>
      <c r="J392" s="70"/>
      <c r="K392" s="23"/>
      <c r="L392" s="70"/>
      <c r="M392" s="70"/>
      <c r="N392" s="70"/>
      <c r="O392" s="40"/>
      <c r="P392" s="23"/>
      <c r="Q392" s="23"/>
      <c r="R392" s="72"/>
      <c r="S392" s="72"/>
      <c r="T392" s="23"/>
      <c r="U392" s="40"/>
      <c r="V392" s="23"/>
      <c r="W392" s="72"/>
      <c r="X392" s="23"/>
      <c r="Y392" s="40"/>
      <c r="Z392" s="23"/>
      <c r="AA392" s="72"/>
      <c r="AB392" s="23"/>
      <c r="AC392" s="40"/>
      <c r="AD392" s="23"/>
      <c r="AE392" s="23"/>
    </row>
    <row r="393" spans="1:31" ht="12.75">
      <c r="A393" s="23"/>
      <c r="B393" s="64"/>
      <c r="C393" s="62"/>
      <c r="D393" s="92"/>
      <c r="E393" s="65"/>
      <c r="F393" s="65"/>
      <c r="G393" s="67"/>
      <c r="H393" s="67"/>
      <c r="I393" s="71"/>
      <c r="J393" s="70"/>
      <c r="K393" s="23"/>
      <c r="L393" s="70"/>
      <c r="M393" s="70"/>
      <c r="N393" s="70"/>
      <c r="O393" s="40"/>
      <c r="P393" s="23"/>
      <c r="Q393" s="23"/>
      <c r="R393" s="72"/>
      <c r="S393" s="72"/>
      <c r="T393" s="23"/>
      <c r="U393" s="40"/>
      <c r="V393" s="23"/>
      <c r="W393" s="72"/>
      <c r="X393" s="23"/>
      <c r="Y393" s="40"/>
      <c r="Z393" s="23"/>
      <c r="AA393" s="72"/>
      <c r="AB393" s="23"/>
      <c r="AC393" s="40"/>
      <c r="AD393" s="23"/>
      <c r="AE393" s="23"/>
    </row>
    <row r="394" spans="1:31" ht="12.75">
      <c r="A394" s="23"/>
      <c r="B394" s="64"/>
      <c r="C394" s="62"/>
      <c r="D394" s="92"/>
      <c r="E394" s="65"/>
      <c r="F394" s="65"/>
      <c r="G394" s="67"/>
      <c r="H394" s="67"/>
      <c r="I394" s="71"/>
      <c r="J394" s="70"/>
      <c r="K394" s="23"/>
      <c r="L394" s="70"/>
      <c r="M394" s="70"/>
      <c r="N394" s="70"/>
      <c r="O394" s="40"/>
      <c r="P394" s="23"/>
      <c r="Q394" s="23"/>
      <c r="R394" s="72"/>
      <c r="S394" s="72"/>
      <c r="T394" s="23"/>
      <c r="U394" s="40"/>
      <c r="V394" s="23"/>
      <c r="W394" s="72"/>
      <c r="X394" s="23"/>
      <c r="Y394" s="40"/>
      <c r="Z394" s="23"/>
      <c r="AA394" s="72"/>
      <c r="AB394" s="23"/>
      <c r="AC394" s="40"/>
      <c r="AD394" s="23"/>
      <c r="AE394" s="23"/>
    </row>
    <row r="395" spans="1:31" ht="12.75">
      <c r="A395" s="23"/>
      <c r="B395" s="64"/>
      <c r="C395" s="62"/>
      <c r="D395" s="92"/>
      <c r="E395" s="65"/>
      <c r="F395" s="65"/>
      <c r="G395" s="67"/>
      <c r="H395" s="67"/>
      <c r="I395" s="71"/>
      <c r="J395" s="70"/>
      <c r="K395" s="23"/>
      <c r="L395" s="70"/>
      <c r="M395" s="70"/>
      <c r="N395" s="70"/>
      <c r="O395" s="40"/>
      <c r="P395" s="23"/>
      <c r="Q395" s="23"/>
      <c r="R395" s="72"/>
      <c r="S395" s="72"/>
      <c r="T395" s="23"/>
      <c r="U395" s="40"/>
      <c r="V395" s="23"/>
      <c r="W395" s="72"/>
      <c r="X395" s="23"/>
      <c r="Y395" s="40"/>
      <c r="Z395" s="23"/>
      <c r="AA395" s="72"/>
      <c r="AB395" s="23"/>
      <c r="AC395" s="40"/>
      <c r="AD395" s="23"/>
      <c r="AE395" s="23"/>
    </row>
    <row r="396" spans="1:31" ht="12.75">
      <c r="A396" s="23"/>
      <c r="B396" s="64"/>
      <c r="C396" s="62"/>
      <c r="D396" s="92"/>
      <c r="E396" s="65"/>
      <c r="F396" s="65"/>
      <c r="G396" s="67"/>
      <c r="H396" s="67"/>
      <c r="I396" s="71"/>
      <c r="J396" s="70"/>
      <c r="K396" s="23"/>
      <c r="L396" s="70"/>
      <c r="M396" s="70"/>
      <c r="N396" s="70"/>
      <c r="O396" s="40"/>
      <c r="P396" s="23"/>
      <c r="Q396" s="23"/>
      <c r="R396" s="72"/>
      <c r="S396" s="72"/>
      <c r="T396" s="23"/>
      <c r="U396" s="40"/>
      <c r="V396" s="23"/>
      <c r="W396" s="72"/>
      <c r="X396" s="23"/>
      <c r="Y396" s="40"/>
      <c r="Z396" s="23"/>
      <c r="AA396" s="72"/>
      <c r="AB396" s="23"/>
      <c r="AC396" s="40"/>
      <c r="AD396" s="23"/>
      <c r="AE396" s="23"/>
    </row>
    <row r="397" spans="1:31" ht="12.75">
      <c r="A397" s="23"/>
      <c r="B397" s="64"/>
      <c r="C397" s="62"/>
      <c r="D397" s="92"/>
      <c r="E397" s="65"/>
      <c r="F397" s="65"/>
      <c r="G397" s="67"/>
      <c r="H397" s="67"/>
      <c r="I397" s="71"/>
      <c r="J397" s="70"/>
      <c r="K397" s="23"/>
      <c r="L397" s="70"/>
      <c r="M397" s="70"/>
      <c r="N397" s="70"/>
      <c r="O397" s="40"/>
      <c r="P397" s="23"/>
      <c r="Q397" s="23"/>
      <c r="R397" s="72"/>
      <c r="S397" s="72"/>
      <c r="T397" s="23"/>
      <c r="U397" s="40"/>
      <c r="V397" s="23"/>
      <c r="W397" s="72"/>
      <c r="X397" s="23"/>
      <c r="Y397" s="40"/>
      <c r="Z397" s="23"/>
      <c r="AA397" s="72"/>
      <c r="AB397" s="23"/>
      <c r="AC397" s="40"/>
      <c r="AD397" s="23"/>
      <c r="AE397" s="23"/>
    </row>
    <row r="398" spans="1:31" ht="12.75">
      <c r="A398" s="23"/>
      <c r="B398" s="64"/>
      <c r="C398" s="62"/>
      <c r="D398" s="92"/>
      <c r="E398" s="65"/>
      <c r="F398" s="65"/>
      <c r="G398" s="67"/>
      <c r="H398" s="67"/>
      <c r="I398" s="71"/>
      <c r="J398" s="70"/>
      <c r="K398" s="23"/>
      <c r="L398" s="70"/>
      <c r="M398" s="70"/>
      <c r="N398" s="70"/>
      <c r="O398" s="40"/>
      <c r="P398" s="23"/>
      <c r="Q398" s="23"/>
      <c r="R398" s="72"/>
      <c r="S398" s="72"/>
      <c r="T398" s="23"/>
      <c r="U398" s="40"/>
      <c r="V398" s="23"/>
      <c r="W398" s="72"/>
      <c r="X398" s="23"/>
      <c r="Y398" s="40"/>
      <c r="Z398" s="23"/>
      <c r="AA398" s="72"/>
      <c r="AB398" s="23"/>
      <c r="AC398" s="40"/>
      <c r="AD398" s="23"/>
      <c r="AE398" s="23"/>
    </row>
    <row r="399" spans="1:31" ht="12.75">
      <c r="A399" s="23"/>
      <c r="B399" s="64"/>
      <c r="C399" s="62"/>
      <c r="D399" s="92"/>
      <c r="E399" s="65"/>
      <c r="F399" s="65"/>
      <c r="G399" s="67"/>
      <c r="H399" s="67"/>
      <c r="I399" s="71"/>
      <c r="J399" s="70"/>
      <c r="K399" s="23"/>
      <c r="L399" s="70"/>
      <c r="M399" s="70"/>
      <c r="N399" s="70"/>
      <c r="O399" s="40"/>
      <c r="P399" s="23"/>
      <c r="Q399" s="23"/>
      <c r="R399" s="72"/>
      <c r="S399" s="72"/>
      <c r="T399" s="23"/>
      <c r="U399" s="40"/>
      <c r="V399" s="23"/>
      <c r="W399" s="72"/>
      <c r="X399" s="23"/>
      <c r="Y399" s="40"/>
      <c r="Z399" s="23"/>
      <c r="AA399" s="72"/>
      <c r="AB399" s="23"/>
      <c r="AC399" s="40"/>
      <c r="AD399" s="23"/>
      <c r="AE399" s="23"/>
    </row>
    <row r="400" spans="1:31" ht="12.75">
      <c r="A400" s="23"/>
      <c r="B400" s="64"/>
      <c r="C400" s="62"/>
      <c r="D400" s="92"/>
      <c r="E400" s="65"/>
      <c r="F400" s="65"/>
      <c r="G400" s="67"/>
      <c r="H400" s="67"/>
      <c r="I400" s="71"/>
      <c r="J400" s="70"/>
      <c r="K400" s="23"/>
      <c r="L400" s="70"/>
      <c r="M400" s="70"/>
      <c r="N400" s="70"/>
      <c r="O400" s="40"/>
      <c r="P400" s="23"/>
      <c r="Q400" s="23"/>
      <c r="R400" s="72"/>
      <c r="S400" s="72"/>
      <c r="T400" s="23"/>
      <c r="U400" s="40"/>
      <c r="V400" s="23"/>
      <c r="W400" s="72"/>
      <c r="X400" s="23"/>
      <c r="Y400" s="40"/>
      <c r="Z400" s="23"/>
      <c r="AA400" s="72"/>
      <c r="AB400" s="23"/>
      <c r="AC400" s="40"/>
      <c r="AD400" s="23"/>
      <c r="AE400" s="23"/>
    </row>
    <row r="401" spans="1:31" ht="12.75">
      <c r="A401" s="23"/>
      <c r="B401" s="64"/>
      <c r="C401" s="62"/>
      <c r="D401" s="92"/>
      <c r="E401" s="65"/>
      <c r="F401" s="65"/>
      <c r="G401" s="67"/>
      <c r="H401" s="67"/>
      <c r="I401" s="71"/>
      <c r="J401" s="70"/>
      <c r="K401" s="23"/>
      <c r="L401" s="70"/>
      <c r="M401" s="70"/>
      <c r="N401" s="70"/>
      <c r="O401" s="40"/>
      <c r="P401" s="23"/>
      <c r="Q401" s="23"/>
      <c r="R401" s="72"/>
      <c r="S401" s="72"/>
      <c r="T401" s="23"/>
      <c r="U401" s="40"/>
      <c r="V401" s="23"/>
      <c r="W401" s="72"/>
      <c r="X401" s="23"/>
      <c r="Y401" s="40"/>
      <c r="Z401" s="23"/>
      <c r="AA401" s="72"/>
      <c r="AB401" s="23"/>
      <c r="AC401" s="40"/>
      <c r="AD401" s="23"/>
      <c r="AE401" s="23"/>
    </row>
    <row r="402" spans="1:31" ht="12.75">
      <c r="A402" s="23"/>
      <c r="B402" s="64"/>
      <c r="C402" s="62"/>
      <c r="D402" s="92"/>
      <c r="E402" s="65"/>
      <c r="F402" s="65"/>
      <c r="G402" s="67"/>
      <c r="H402" s="67"/>
      <c r="I402" s="71"/>
      <c r="J402" s="70"/>
      <c r="K402" s="23"/>
      <c r="L402" s="70"/>
      <c r="M402" s="70"/>
      <c r="N402" s="70"/>
      <c r="O402" s="40"/>
      <c r="P402" s="23"/>
      <c r="Q402" s="23"/>
      <c r="R402" s="72"/>
      <c r="S402" s="72"/>
      <c r="T402" s="23"/>
      <c r="U402" s="40"/>
      <c r="V402" s="23"/>
      <c r="W402" s="72"/>
      <c r="X402" s="23"/>
      <c r="Y402" s="40"/>
      <c r="Z402" s="23"/>
      <c r="AA402" s="72"/>
      <c r="AB402" s="23"/>
      <c r="AC402" s="40"/>
      <c r="AD402" s="23"/>
      <c r="AE402" s="23"/>
    </row>
    <row r="403" spans="1:31" ht="12.75">
      <c r="A403" s="23"/>
      <c r="B403" s="64"/>
      <c r="C403" s="62"/>
      <c r="D403" s="92"/>
      <c r="E403" s="65"/>
      <c r="F403" s="65"/>
      <c r="G403" s="67"/>
      <c r="H403" s="67"/>
      <c r="I403" s="71"/>
      <c r="J403" s="70"/>
      <c r="K403" s="23"/>
      <c r="L403" s="70"/>
      <c r="M403" s="70"/>
      <c r="N403" s="70"/>
      <c r="O403" s="40"/>
      <c r="P403" s="23"/>
      <c r="Q403" s="23"/>
      <c r="R403" s="72"/>
      <c r="S403" s="72"/>
      <c r="T403" s="23"/>
      <c r="U403" s="40"/>
      <c r="V403" s="23"/>
      <c r="W403" s="72"/>
      <c r="X403" s="23"/>
      <c r="Y403" s="40"/>
      <c r="Z403" s="23"/>
      <c r="AA403" s="72"/>
      <c r="AB403" s="23"/>
      <c r="AC403" s="40"/>
      <c r="AD403" s="23"/>
      <c r="AE403" s="23"/>
    </row>
    <row r="404" spans="1:31" ht="12.75">
      <c r="A404" s="23"/>
      <c r="B404" s="64"/>
      <c r="C404" s="62"/>
      <c r="D404" s="92"/>
      <c r="E404" s="65"/>
      <c r="F404" s="65"/>
      <c r="G404" s="67"/>
      <c r="H404" s="67"/>
      <c r="I404" s="71"/>
      <c r="J404" s="70"/>
      <c r="K404" s="23"/>
      <c r="L404" s="70"/>
      <c r="M404" s="70"/>
      <c r="N404" s="70"/>
      <c r="O404" s="40"/>
      <c r="P404" s="23"/>
      <c r="Q404" s="23"/>
      <c r="R404" s="72"/>
      <c r="S404" s="72"/>
      <c r="T404" s="23"/>
      <c r="U404" s="40"/>
      <c r="V404" s="23"/>
      <c r="W404" s="72"/>
      <c r="X404" s="23"/>
      <c r="Y404" s="40"/>
      <c r="Z404" s="23"/>
      <c r="AA404" s="72"/>
      <c r="AB404" s="23"/>
      <c r="AC404" s="40"/>
      <c r="AD404" s="23"/>
      <c r="AE404" s="23"/>
    </row>
    <row r="405" spans="1:31" ht="12.75">
      <c r="A405" s="23"/>
      <c r="B405" s="64"/>
      <c r="C405" s="62"/>
      <c r="D405" s="92"/>
      <c r="E405" s="65"/>
      <c r="F405" s="65"/>
      <c r="G405" s="67"/>
      <c r="H405" s="67"/>
      <c r="I405" s="71"/>
      <c r="J405" s="70"/>
      <c r="K405" s="23"/>
      <c r="L405" s="70"/>
      <c r="M405" s="70"/>
      <c r="N405" s="70"/>
      <c r="O405" s="40"/>
      <c r="P405" s="23"/>
      <c r="Q405" s="23"/>
      <c r="R405" s="72"/>
      <c r="S405" s="72"/>
      <c r="T405" s="23"/>
      <c r="U405" s="40"/>
      <c r="V405" s="23"/>
      <c r="W405" s="72"/>
      <c r="X405" s="23"/>
      <c r="Y405" s="40"/>
      <c r="Z405" s="23"/>
      <c r="AA405" s="72"/>
      <c r="AB405" s="23"/>
      <c r="AC405" s="40"/>
      <c r="AD405" s="23"/>
      <c r="AE405" s="23"/>
    </row>
    <row r="406" spans="1:31" ht="12.75">
      <c r="A406" s="23"/>
      <c r="B406" s="64"/>
      <c r="C406" s="62"/>
      <c r="D406" s="92"/>
      <c r="E406" s="65"/>
      <c r="F406" s="65"/>
      <c r="G406" s="67"/>
      <c r="H406" s="67"/>
      <c r="I406" s="71"/>
      <c r="J406" s="70"/>
      <c r="K406" s="23"/>
      <c r="L406" s="70"/>
      <c r="M406" s="70"/>
      <c r="N406" s="70"/>
      <c r="O406" s="40"/>
      <c r="P406" s="23"/>
      <c r="Q406" s="23"/>
      <c r="R406" s="72"/>
      <c r="S406" s="72"/>
      <c r="T406" s="23"/>
      <c r="U406" s="40"/>
      <c r="V406" s="23"/>
      <c r="W406" s="72"/>
      <c r="X406" s="23"/>
      <c r="Y406" s="40"/>
      <c r="Z406" s="23"/>
      <c r="AA406" s="72"/>
      <c r="AB406" s="23"/>
      <c r="AC406" s="40"/>
      <c r="AD406" s="23"/>
      <c r="AE406" s="23"/>
    </row>
    <row r="407" spans="1:31" ht="12.75">
      <c r="A407" s="23"/>
      <c r="B407" s="64"/>
      <c r="C407" s="62"/>
      <c r="D407" s="92"/>
      <c r="E407" s="65"/>
      <c r="F407" s="65"/>
      <c r="G407" s="67"/>
      <c r="H407" s="67"/>
      <c r="I407" s="71"/>
      <c r="J407" s="70"/>
      <c r="K407" s="23"/>
      <c r="L407" s="70"/>
      <c r="M407" s="70"/>
      <c r="N407" s="70"/>
      <c r="O407" s="40"/>
      <c r="P407" s="23"/>
      <c r="Q407" s="23"/>
      <c r="R407" s="72"/>
      <c r="S407" s="72"/>
      <c r="T407" s="23"/>
      <c r="U407" s="40"/>
      <c r="V407" s="23"/>
      <c r="W407" s="72"/>
      <c r="X407" s="23"/>
      <c r="Y407" s="40"/>
      <c r="Z407" s="23"/>
      <c r="AA407" s="72"/>
      <c r="AB407" s="23"/>
      <c r="AC407" s="40"/>
      <c r="AD407" s="23"/>
      <c r="AE407" s="23"/>
    </row>
    <row r="408" spans="1:31" ht="12.75">
      <c r="A408" s="23"/>
      <c r="B408" s="64"/>
      <c r="C408" s="62"/>
      <c r="D408" s="92"/>
      <c r="E408" s="65"/>
      <c r="F408" s="65"/>
      <c r="G408" s="67"/>
      <c r="H408" s="67"/>
      <c r="I408" s="71"/>
      <c r="J408" s="70"/>
      <c r="K408" s="23"/>
      <c r="L408" s="70"/>
      <c r="M408" s="70"/>
      <c r="N408" s="70"/>
      <c r="O408" s="40"/>
      <c r="P408" s="23"/>
      <c r="Q408" s="23"/>
      <c r="R408" s="72"/>
      <c r="S408" s="72"/>
      <c r="T408" s="23"/>
      <c r="U408" s="40"/>
      <c r="V408" s="23"/>
      <c r="W408" s="72"/>
      <c r="X408" s="23"/>
      <c r="Y408" s="40"/>
      <c r="Z408" s="23"/>
      <c r="AA408" s="72"/>
      <c r="AB408" s="23"/>
      <c r="AC408" s="40"/>
      <c r="AD408" s="23"/>
      <c r="AE408" s="23"/>
    </row>
    <row r="409" spans="1:31" ht="12.75">
      <c r="A409" s="23"/>
      <c r="B409" s="64"/>
      <c r="C409" s="62"/>
      <c r="D409" s="92"/>
      <c r="E409" s="65"/>
      <c r="F409" s="65"/>
      <c r="G409" s="67"/>
      <c r="H409" s="67"/>
      <c r="I409" s="71"/>
      <c r="J409" s="70"/>
      <c r="K409" s="23"/>
      <c r="L409" s="70"/>
      <c r="M409" s="70"/>
      <c r="N409" s="70"/>
      <c r="O409" s="40"/>
      <c r="P409" s="23"/>
      <c r="Q409" s="23"/>
      <c r="R409" s="72"/>
      <c r="S409" s="72"/>
      <c r="T409" s="23"/>
      <c r="U409" s="40"/>
      <c r="V409" s="23"/>
      <c r="W409" s="72"/>
      <c r="X409" s="23"/>
      <c r="Y409" s="40"/>
      <c r="Z409" s="23"/>
      <c r="AA409" s="72"/>
      <c r="AB409" s="23"/>
      <c r="AC409" s="40"/>
      <c r="AD409" s="23"/>
      <c r="AE409" s="23"/>
    </row>
    <row r="410" spans="1:31" ht="12.75">
      <c r="A410" s="23"/>
      <c r="B410" s="64"/>
      <c r="C410" s="62"/>
      <c r="D410" s="92"/>
      <c r="E410" s="65"/>
      <c r="F410" s="65"/>
      <c r="G410" s="67"/>
      <c r="H410" s="67"/>
      <c r="I410" s="71"/>
      <c r="J410" s="70"/>
      <c r="K410" s="23"/>
      <c r="L410" s="70"/>
      <c r="M410" s="70"/>
      <c r="N410" s="70"/>
      <c r="O410" s="40"/>
      <c r="P410" s="23"/>
      <c r="Q410" s="23"/>
      <c r="R410" s="72"/>
      <c r="S410" s="72"/>
      <c r="T410" s="23"/>
      <c r="U410" s="40"/>
      <c r="V410" s="23"/>
      <c r="W410" s="72"/>
      <c r="X410" s="23"/>
      <c r="Y410" s="40"/>
      <c r="Z410" s="23"/>
      <c r="AA410" s="72"/>
      <c r="AB410" s="23"/>
      <c r="AC410" s="40"/>
      <c r="AD410" s="23"/>
      <c r="AE410" s="23"/>
    </row>
    <row r="411" spans="1:31" ht="12.75">
      <c r="A411" s="23"/>
      <c r="B411" s="64"/>
      <c r="C411" s="62"/>
      <c r="D411" s="92"/>
      <c r="E411" s="65"/>
      <c r="F411" s="65"/>
      <c r="G411" s="67"/>
      <c r="H411" s="67"/>
      <c r="I411" s="71"/>
      <c r="J411" s="70"/>
      <c r="K411" s="23"/>
      <c r="L411" s="70"/>
      <c r="M411" s="70"/>
      <c r="N411" s="70"/>
      <c r="O411" s="40"/>
      <c r="P411" s="23"/>
      <c r="Q411" s="23"/>
      <c r="R411" s="72"/>
      <c r="S411" s="72"/>
      <c r="T411" s="23"/>
      <c r="U411" s="40"/>
      <c r="V411" s="23"/>
      <c r="W411" s="72"/>
      <c r="X411" s="23"/>
      <c r="Y411" s="40"/>
      <c r="Z411" s="23"/>
      <c r="AA411" s="72"/>
      <c r="AB411" s="23"/>
      <c r="AC411" s="40"/>
      <c r="AD411" s="23"/>
      <c r="AE411" s="23"/>
    </row>
    <row r="412" spans="1:31" ht="12.75">
      <c r="A412" s="23"/>
      <c r="B412" s="64"/>
      <c r="C412" s="62"/>
      <c r="D412" s="92"/>
      <c r="E412" s="65"/>
      <c r="F412" s="65"/>
      <c r="G412" s="67"/>
      <c r="H412" s="67"/>
      <c r="I412" s="71"/>
      <c r="J412" s="70"/>
      <c r="K412" s="23"/>
      <c r="L412" s="70"/>
      <c r="M412" s="70"/>
      <c r="N412" s="70"/>
      <c r="O412" s="40"/>
      <c r="P412" s="23"/>
      <c r="Q412" s="23"/>
      <c r="R412" s="72"/>
      <c r="S412" s="72"/>
      <c r="T412" s="23"/>
      <c r="U412" s="40"/>
      <c r="V412" s="23"/>
      <c r="W412" s="72"/>
      <c r="X412" s="23"/>
      <c r="Y412" s="40"/>
      <c r="Z412" s="23"/>
      <c r="AA412" s="72"/>
      <c r="AB412" s="23"/>
      <c r="AC412" s="40"/>
      <c r="AD412" s="23"/>
      <c r="AE412" s="23"/>
    </row>
    <row r="413" spans="1:31" ht="12.75">
      <c r="A413" s="23"/>
      <c r="B413" s="64"/>
      <c r="C413" s="62"/>
      <c r="D413" s="92"/>
      <c r="E413" s="65"/>
      <c r="F413" s="65"/>
      <c r="G413" s="67"/>
      <c r="H413" s="67"/>
      <c r="I413" s="71"/>
      <c r="J413" s="70"/>
      <c r="K413" s="23"/>
      <c r="L413" s="70"/>
      <c r="M413" s="70"/>
      <c r="N413" s="70"/>
      <c r="O413" s="40"/>
      <c r="P413" s="23"/>
      <c r="Q413" s="23"/>
      <c r="R413" s="72"/>
      <c r="S413" s="72"/>
      <c r="T413" s="23"/>
      <c r="U413" s="40"/>
      <c r="V413" s="23"/>
      <c r="W413" s="72"/>
      <c r="X413" s="23"/>
      <c r="Y413" s="40"/>
      <c r="Z413" s="23"/>
      <c r="AA413" s="72"/>
      <c r="AB413" s="23"/>
      <c r="AC413" s="40"/>
      <c r="AD413" s="23"/>
      <c r="AE413" s="23"/>
    </row>
    <row r="414" spans="1:31" ht="12.75">
      <c r="A414" s="23"/>
      <c r="B414" s="64"/>
      <c r="C414" s="62"/>
      <c r="D414" s="92"/>
      <c r="E414" s="65"/>
      <c r="F414" s="65"/>
      <c r="G414" s="67"/>
      <c r="H414" s="67"/>
      <c r="I414" s="71"/>
      <c r="J414" s="70"/>
      <c r="K414" s="23"/>
      <c r="L414" s="70"/>
      <c r="M414" s="70"/>
      <c r="N414" s="70"/>
      <c r="O414" s="40"/>
      <c r="P414" s="23"/>
      <c r="Q414" s="23"/>
      <c r="R414" s="72"/>
      <c r="S414" s="72"/>
      <c r="T414" s="23"/>
      <c r="U414" s="40"/>
      <c r="V414" s="23"/>
      <c r="W414" s="72"/>
      <c r="X414" s="23"/>
      <c r="Y414" s="40"/>
      <c r="Z414" s="23"/>
      <c r="AA414" s="72"/>
      <c r="AB414" s="23"/>
      <c r="AC414" s="40"/>
      <c r="AD414" s="23"/>
      <c r="AE414" s="23"/>
    </row>
    <row r="415" spans="1:31" ht="12.75">
      <c r="A415" s="23"/>
      <c r="B415" s="64"/>
      <c r="C415" s="62"/>
      <c r="D415" s="92"/>
      <c r="E415" s="65"/>
      <c r="F415" s="65"/>
      <c r="G415" s="67"/>
      <c r="H415" s="67"/>
      <c r="I415" s="71"/>
      <c r="J415" s="70"/>
      <c r="K415" s="23"/>
      <c r="L415" s="70"/>
      <c r="M415" s="70"/>
      <c r="N415" s="70"/>
      <c r="O415" s="40"/>
      <c r="P415" s="23"/>
      <c r="Q415" s="23"/>
      <c r="R415" s="72"/>
      <c r="S415" s="72"/>
      <c r="T415" s="23"/>
      <c r="U415" s="40"/>
      <c r="V415" s="23"/>
      <c r="W415" s="72"/>
      <c r="X415" s="23"/>
      <c r="Y415" s="40"/>
      <c r="Z415" s="23"/>
      <c r="AA415" s="72"/>
      <c r="AB415" s="23"/>
      <c r="AC415" s="40"/>
      <c r="AD415" s="23"/>
      <c r="AE415" s="23"/>
    </row>
    <row r="416" spans="1:31" ht="12.75">
      <c r="A416" s="23"/>
      <c r="B416" s="64"/>
      <c r="C416" s="62"/>
      <c r="D416" s="92"/>
      <c r="E416" s="65"/>
      <c r="F416" s="65"/>
      <c r="G416" s="67"/>
      <c r="H416" s="67"/>
      <c r="I416" s="71"/>
      <c r="J416" s="70"/>
      <c r="K416" s="23"/>
      <c r="L416" s="70"/>
      <c r="M416" s="70"/>
      <c r="N416" s="70"/>
      <c r="O416" s="40"/>
      <c r="P416" s="23"/>
      <c r="Q416" s="23"/>
      <c r="R416" s="72"/>
      <c r="S416" s="72"/>
      <c r="T416" s="23"/>
      <c r="U416" s="40"/>
      <c r="V416" s="23"/>
      <c r="W416" s="72"/>
      <c r="X416" s="23"/>
      <c r="Y416" s="40"/>
      <c r="Z416" s="23"/>
      <c r="AA416" s="72"/>
      <c r="AB416" s="23"/>
      <c r="AC416" s="40"/>
      <c r="AD416" s="23"/>
      <c r="AE416" s="23"/>
    </row>
    <row r="417" spans="1:31" ht="12.75">
      <c r="A417" s="23"/>
      <c r="B417" s="64"/>
      <c r="C417" s="62"/>
      <c r="D417" s="92"/>
      <c r="E417" s="65"/>
      <c r="F417" s="65"/>
      <c r="G417" s="67"/>
      <c r="H417" s="67"/>
      <c r="I417" s="71"/>
      <c r="J417" s="70"/>
      <c r="K417" s="23"/>
      <c r="L417" s="70"/>
      <c r="M417" s="70"/>
      <c r="N417" s="70"/>
      <c r="O417" s="40"/>
      <c r="P417" s="23"/>
      <c r="Q417" s="23"/>
      <c r="R417" s="72"/>
      <c r="S417" s="72"/>
      <c r="T417" s="23"/>
      <c r="U417" s="40"/>
      <c r="V417" s="23"/>
      <c r="W417" s="72"/>
      <c r="X417" s="23"/>
      <c r="Y417" s="40"/>
      <c r="Z417" s="23"/>
      <c r="AA417" s="72"/>
      <c r="AB417" s="23"/>
      <c r="AC417" s="40"/>
      <c r="AD417" s="23"/>
      <c r="AE417" s="23"/>
    </row>
    <row r="418" spans="1:31" ht="12.75">
      <c r="A418" s="23"/>
      <c r="B418" s="64"/>
      <c r="C418" s="62"/>
      <c r="D418" s="92"/>
      <c r="E418" s="65"/>
      <c r="F418" s="65"/>
      <c r="G418" s="67"/>
      <c r="H418" s="67"/>
      <c r="I418" s="71"/>
      <c r="J418" s="70"/>
      <c r="K418" s="23"/>
      <c r="L418" s="70"/>
      <c r="M418" s="70"/>
      <c r="N418" s="70"/>
      <c r="O418" s="40"/>
      <c r="P418" s="23"/>
      <c r="Q418" s="23"/>
      <c r="R418" s="72"/>
      <c r="S418" s="72"/>
      <c r="T418" s="23"/>
      <c r="U418" s="40"/>
      <c r="V418" s="23"/>
      <c r="W418" s="72"/>
      <c r="X418" s="23"/>
      <c r="Y418" s="40"/>
      <c r="Z418" s="23"/>
      <c r="AA418" s="72"/>
      <c r="AB418" s="23"/>
      <c r="AC418" s="40"/>
      <c r="AD418" s="23"/>
      <c r="AE418" s="23"/>
    </row>
    <row r="419" spans="1:31" ht="12.75">
      <c r="A419" s="23"/>
      <c r="B419" s="64"/>
      <c r="C419" s="62"/>
      <c r="D419" s="92"/>
      <c r="E419" s="65"/>
      <c r="F419" s="65"/>
      <c r="G419" s="67"/>
      <c r="H419" s="67"/>
      <c r="I419" s="71"/>
      <c r="J419" s="70"/>
      <c r="K419" s="23"/>
      <c r="L419" s="70"/>
      <c r="M419" s="70"/>
      <c r="N419" s="70"/>
      <c r="O419" s="40"/>
      <c r="P419" s="23"/>
      <c r="Q419" s="23"/>
      <c r="R419" s="72"/>
      <c r="S419" s="72"/>
      <c r="T419" s="23"/>
      <c r="U419" s="40"/>
      <c r="V419" s="23"/>
      <c r="W419" s="72"/>
      <c r="X419" s="23"/>
      <c r="Y419" s="40"/>
      <c r="Z419" s="23"/>
      <c r="AA419" s="72"/>
      <c r="AB419" s="23"/>
      <c r="AC419" s="40"/>
      <c r="AD419" s="23"/>
      <c r="AE419" s="23"/>
    </row>
    <row r="420" spans="1:31" ht="12.75">
      <c r="A420" s="23"/>
      <c r="B420" s="64"/>
      <c r="C420" s="62"/>
      <c r="D420" s="92"/>
      <c r="E420" s="65"/>
      <c r="F420" s="65"/>
      <c r="G420" s="67"/>
      <c r="H420" s="67"/>
      <c r="I420" s="71"/>
      <c r="J420" s="70"/>
      <c r="K420" s="23"/>
      <c r="L420" s="70"/>
      <c r="M420" s="70"/>
      <c r="N420" s="70"/>
      <c r="O420" s="40"/>
      <c r="P420" s="23"/>
      <c r="Q420" s="23"/>
      <c r="R420" s="72"/>
      <c r="S420" s="72"/>
      <c r="T420" s="23"/>
      <c r="U420" s="40"/>
      <c r="V420" s="23"/>
      <c r="W420" s="72"/>
      <c r="X420" s="23"/>
      <c r="Y420" s="40"/>
      <c r="Z420" s="23"/>
      <c r="AA420" s="72"/>
      <c r="AB420" s="23"/>
      <c r="AC420" s="40"/>
      <c r="AD420" s="23"/>
      <c r="AE420" s="23"/>
    </row>
    <row r="421" spans="1:31" ht="12.75">
      <c r="A421" s="23"/>
      <c r="B421" s="64"/>
      <c r="C421" s="62"/>
      <c r="D421" s="92"/>
      <c r="E421" s="65"/>
      <c r="F421" s="65"/>
      <c r="G421" s="67"/>
      <c r="H421" s="67"/>
      <c r="I421" s="71"/>
      <c r="J421" s="70"/>
      <c r="K421" s="23"/>
      <c r="L421" s="70"/>
      <c r="M421" s="70"/>
      <c r="N421" s="70"/>
      <c r="O421" s="40"/>
      <c r="P421" s="23"/>
      <c r="Q421" s="23"/>
      <c r="R421" s="72"/>
      <c r="S421" s="72"/>
      <c r="T421" s="23"/>
      <c r="U421" s="40"/>
      <c r="V421" s="23"/>
      <c r="W421" s="72"/>
      <c r="X421" s="23"/>
      <c r="Y421" s="40"/>
      <c r="Z421" s="23"/>
      <c r="AA421" s="72"/>
      <c r="AB421" s="23"/>
      <c r="AC421" s="40"/>
      <c r="AD421" s="23"/>
      <c r="AE421" s="23"/>
    </row>
    <row r="422" spans="1:31" ht="12.75">
      <c r="A422" s="23"/>
      <c r="B422" s="64"/>
      <c r="C422" s="62"/>
      <c r="D422" s="92"/>
      <c r="E422" s="65"/>
      <c r="F422" s="65"/>
      <c r="G422" s="67"/>
      <c r="H422" s="67"/>
      <c r="I422" s="71"/>
      <c r="J422" s="70"/>
      <c r="K422" s="23"/>
      <c r="L422" s="70"/>
      <c r="M422" s="70"/>
      <c r="N422" s="70"/>
      <c r="O422" s="40"/>
      <c r="P422" s="23"/>
      <c r="Q422" s="23"/>
      <c r="R422" s="72"/>
      <c r="S422" s="72"/>
      <c r="T422" s="23"/>
      <c r="U422" s="40"/>
      <c r="V422" s="23"/>
      <c r="W422" s="72"/>
      <c r="X422" s="23"/>
      <c r="Y422" s="40"/>
      <c r="Z422" s="23"/>
      <c r="AA422" s="72"/>
      <c r="AB422" s="23"/>
      <c r="AC422" s="40"/>
      <c r="AD422" s="23"/>
      <c r="AE422" s="23"/>
    </row>
    <row r="423" spans="1:31" ht="12.75">
      <c r="A423" s="23"/>
      <c r="B423" s="40"/>
      <c r="C423" s="40"/>
      <c r="D423" s="92"/>
      <c r="E423" s="65"/>
      <c r="F423" s="65"/>
      <c r="G423" s="67"/>
      <c r="H423" s="67"/>
      <c r="I423" s="71"/>
      <c r="J423" s="70"/>
      <c r="K423" s="23"/>
      <c r="L423" s="70"/>
      <c r="M423" s="70"/>
      <c r="N423" s="70"/>
      <c r="O423" s="23"/>
      <c r="P423" s="23"/>
      <c r="Q423" s="23"/>
      <c r="R423" s="72"/>
      <c r="S423" s="23"/>
      <c r="T423" s="23"/>
      <c r="U423" s="23"/>
      <c r="V423" s="23"/>
      <c r="W423" s="23"/>
      <c r="X423" s="23"/>
      <c r="Y423" s="23"/>
      <c r="Z423" s="23"/>
      <c r="AA423" s="23"/>
      <c r="AB423" s="23"/>
      <c r="AC423" s="23"/>
      <c r="AD423" s="23"/>
      <c r="AE423" s="23"/>
    </row>
    <row r="424" spans="1:31" ht="12.75">
      <c r="A424" s="23"/>
      <c r="B424" s="40"/>
      <c r="C424" s="40"/>
      <c r="D424" s="92"/>
      <c r="E424" s="65"/>
      <c r="F424" s="65"/>
      <c r="G424" s="67"/>
      <c r="H424" s="67"/>
      <c r="I424" s="71"/>
      <c r="J424" s="70"/>
      <c r="K424" s="23"/>
      <c r="L424" s="70"/>
      <c r="M424" s="70"/>
      <c r="N424" s="70"/>
      <c r="O424" s="23"/>
      <c r="P424" s="23"/>
      <c r="Q424" s="23"/>
      <c r="R424" s="72"/>
      <c r="S424" s="23"/>
      <c r="T424" s="23"/>
      <c r="U424" s="23"/>
      <c r="V424" s="23"/>
      <c r="W424" s="23"/>
      <c r="X424" s="23"/>
      <c r="Y424" s="23"/>
      <c r="Z424" s="23"/>
      <c r="AA424" s="23"/>
      <c r="AB424" s="23"/>
      <c r="AC424" s="23"/>
      <c r="AD424" s="23"/>
      <c r="AE424" s="23"/>
    </row>
    <row r="425" spans="1:31" ht="12" customHeight="1">
      <c r="A425" s="23"/>
      <c r="B425" s="40"/>
      <c r="C425" s="40"/>
      <c r="D425" s="92"/>
      <c r="E425" s="65"/>
      <c r="F425" s="65"/>
      <c r="G425" s="67"/>
      <c r="H425" s="67"/>
      <c r="I425" s="71"/>
      <c r="J425" s="70"/>
      <c r="K425" s="23"/>
      <c r="L425" s="70"/>
      <c r="M425" s="70"/>
      <c r="N425" s="70"/>
      <c r="O425" s="23"/>
      <c r="P425" s="23"/>
      <c r="Q425" s="23"/>
      <c r="R425" s="72"/>
      <c r="S425" s="23"/>
      <c r="T425" s="23"/>
      <c r="U425" s="23"/>
      <c r="V425" s="23"/>
      <c r="W425" s="23"/>
      <c r="X425" s="23"/>
      <c r="Y425" s="23"/>
      <c r="Z425" s="23"/>
      <c r="AA425" s="23"/>
      <c r="AB425" s="23"/>
      <c r="AC425" s="23"/>
      <c r="AD425" s="23"/>
      <c r="AE425" s="23"/>
    </row>
    <row r="426" spans="1:31" ht="12" customHeight="1">
      <c r="A426" s="23"/>
      <c r="B426" s="40"/>
      <c r="C426" s="40"/>
      <c r="D426" s="92"/>
      <c r="E426" s="65"/>
      <c r="F426" s="65"/>
      <c r="G426" s="67"/>
      <c r="H426" s="67"/>
      <c r="I426" s="71"/>
      <c r="J426" s="70"/>
      <c r="K426" s="23"/>
      <c r="L426" s="70"/>
      <c r="M426" s="70"/>
      <c r="N426" s="70"/>
      <c r="O426" s="23"/>
      <c r="P426" s="23"/>
      <c r="Q426" s="23"/>
      <c r="R426" s="72"/>
      <c r="S426" s="23"/>
      <c r="T426" s="23"/>
      <c r="U426" s="23"/>
      <c r="V426" s="23"/>
      <c r="W426" s="23"/>
      <c r="X426" s="23"/>
      <c r="Y426" s="23"/>
      <c r="Z426" s="23"/>
      <c r="AA426" s="23"/>
      <c r="AB426" s="23"/>
      <c r="AC426" s="23"/>
      <c r="AD426" s="23"/>
      <c r="AE426" s="23"/>
    </row>
    <row r="427" spans="1:31" ht="12" customHeight="1">
      <c r="A427" s="23"/>
      <c r="B427" s="40"/>
      <c r="C427" s="40"/>
      <c r="D427" s="92"/>
      <c r="E427" s="65"/>
      <c r="F427" s="65"/>
      <c r="G427" s="67"/>
      <c r="H427" s="67"/>
      <c r="I427" s="71"/>
      <c r="J427" s="70"/>
      <c r="K427" s="23"/>
      <c r="L427" s="70"/>
      <c r="M427" s="70"/>
      <c r="N427" s="70"/>
      <c r="O427" s="23"/>
      <c r="P427" s="23"/>
      <c r="Q427" s="23"/>
      <c r="R427" s="72"/>
      <c r="S427" s="23"/>
      <c r="T427" s="23"/>
      <c r="U427" s="23"/>
      <c r="V427" s="23"/>
      <c r="W427" s="23"/>
      <c r="X427" s="23"/>
      <c r="Y427" s="23"/>
      <c r="Z427" s="23"/>
      <c r="AA427" s="23"/>
      <c r="AB427" s="23"/>
      <c r="AC427" s="23"/>
      <c r="AD427" s="23"/>
      <c r="AE427" s="23"/>
    </row>
    <row r="428" spans="1:31" ht="12" customHeight="1">
      <c r="A428" s="23"/>
      <c r="B428" s="40"/>
      <c r="C428" s="40"/>
      <c r="D428" s="92"/>
      <c r="E428" s="65"/>
      <c r="F428" s="65"/>
      <c r="G428" s="67"/>
      <c r="H428" s="67"/>
      <c r="I428" s="71"/>
      <c r="J428" s="70"/>
      <c r="K428" s="23"/>
      <c r="L428" s="70"/>
      <c r="M428" s="70"/>
      <c r="N428" s="70"/>
      <c r="O428" s="23"/>
      <c r="P428" s="23"/>
      <c r="Q428" s="23"/>
      <c r="R428" s="72"/>
      <c r="S428" s="23"/>
      <c r="T428" s="23"/>
      <c r="U428" s="23"/>
      <c r="V428" s="23"/>
      <c r="W428" s="23"/>
      <c r="X428" s="23"/>
      <c r="Y428" s="23"/>
      <c r="Z428" s="23"/>
      <c r="AA428" s="23"/>
      <c r="AB428" s="23"/>
      <c r="AC428" s="23"/>
      <c r="AD428" s="23"/>
      <c r="AE428" s="23"/>
    </row>
    <row r="429" spans="1:31" ht="12.75">
      <c r="A429" s="23"/>
      <c r="B429" s="64"/>
      <c r="C429" s="62"/>
      <c r="D429" s="92"/>
      <c r="E429" s="65"/>
      <c r="F429" s="65"/>
      <c r="G429" s="67"/>
      <c r="H429" s="67"/>
      <c r="I429" s="71"/>
      <c r="J429" s="70"/>
      <c r="K429" s="23"/>
      <c r="L429" s="70"/>
      <c r="M429" s="70"/>
      <c r="N429" s="70"/>
      <c r="O429" s="40"/>
      <c r="P429" s="23"/>
      <c r="Q429" s="23"/>
      <c r="R429" s="72"/>
      <c r="S429" s="72"/>
      <c r="T429" s="23"/>
      <c r="U429" s="40"/>
      <c r="V429" s="23"/>
      <c r="W429" s="72"/>
      <c r="X429" s="23"/>
      <c r="Y429" s="40"/>
      <c r="Z429" s="23"/>
      <c r="AA429" s="72"/>
      <c r="AB429" s="23"/>
      <c r="AC429" s="40"/>
      <c r="AD429" s="23"/>
      <c r="AE429" s="23"/>
    </row>
    <row r="430" spans="1:31" ht="12.75">
      <c r="A430" s="23"/>
      <c r="B430" s="64"/>
      <c r="C430" s="62"/>
      <c r="D430" s="92"/>
      <c r="E430" s="65"/>
      <c r="F430" s="65"/>
      <c r="G430" s="67"/>
      <c r="H430" s="67"/>
      <c r="I430" s="71"/>
      <c r="J430" s="70"/>
      <c r="K430" s="23"/>
      <c r="L430" s="70"/>
      <c r="M430" s="70"/>
      <c r="N430" s="70"/>
      <c r="O430" s="40"/>
      <c r="P430" s="23"/>
      <c r="Q430" s="23"/>
      <c r="R430" s="72"/>
      <c r="S430" s="72"/>
      <c r="T430" s="23"/>
      <c r="U430" s="40"/>
      <c r="V430" s="23"/>
      <c r="W430" s="72"/>
      <c r="X430" s="23"/>
      <c r="Y430" s="40"/>
      <c r="Z430" s="23"/>
      <c r="AA430" s="72"/>
      <c r="AB430" s="23"/>
      <c r="AC430" s="40"/>
      <c r="AD430" s="23"/>
      <c r="AE430" s="23"/>
    </row>
    <row r="431" spans="1:31" ht="12.75">
      <c r="A431" s="23"/>
      <c r="B431" s="64"/>
      <c r="C431" s="62"/>
      <c r="D431" s="92"/>
      <c r="E431" s="65"/>
      <c r="F431" s="65"/>
      <c r="G431" s="67"/>
      <c r="H431" s="67"/>
      <c r="I431" s="71"/>
      <c r="J431" s="70"/>
      <c r="K431" s="23"/>
      <c r="L431" s="70"/>
      <c r="M431" s="70"/>
      <c r="N431" s="70"/>
      <c r="O431" s="40"/>
      <c r="P431" s="23"/>
      <c r="Q431" s="23"/>
      <c r="R431" s="72"/>
      <c r="S431" s="72"/>
      <c r="T431" s="23"/>
      <c r="U431" s="40"/>
      <c r="V431" s="23"/>
      <c r="W431" s="72"/>
      <c r="X431" s="23"/>
      <c r="Y431" s="40"/>
      <c r="Z431" s="23"/>
      <c r="AA431" s="72"/>
      <c r="AB431" s="23"/>
      <c r="AC431" s="40"/>
      <c r="AD431" s="23"/>
      <c r="AE431" s="23"/>
    </row>
    <row r="432" spans="1:31" ht="12.75">
      <c r="A432" s="23"/>
      <c r="B432" s="64"/>
      <c r="C432" s="62"/>
      <c r="D432" s="92"/>
      <c r="E432" s="65"/>
      <c r="F432" s="65"/>
      <c r="G432" s="67"/>
      <c r="H432" s="67"/>
      <c r="I432" s="71"/>
      <c r="J432" s="70"/>
      <c r="K432" s="23"/>
      <c r="L432" s="70"/>
      <c r="M432" s="70"/>
      <c r="N432" s="70"/>
      <c r="O432" s="40"/>
      <c r="P432" s="23"/>
      <c r="Q432" s="23"/>
      <c r="R432" s="72"/>
      <c r="S432" s="72"/>
      <c r="T432" s="23"/>
      <c r="U432" s="40"/>
      <c r="V432" s="23"/>
      <c r="W432" s="72"/>
      <c r="X432" s="23"/>
      <c r="Y432" s="40"/>
      <c r="Z432" s="23"/>
      <c r="AA432" s="72"/>
      <c r="AB432" s="23"/>
      <c r="AC432" s="40"/>
      <c r="AD432" s="23"/>
      <c r="AE432" s="23"/>
    </row>
    <row r="433" spans="1:31" ht="12.75">
      <c r="A433" s="23"/>
      <c r="B433" s="64"/>
      <c r="C433" s="62"/>
      <c r="D433" s="92"/>
      <c r="E433" s="65"/>
      <c r="F433" s="65"/>
      <c r="G433" s="67"/>
      <c r="H433" s="67"/>
      <c r="I433" s="71"/>
      <c r="J433" s="70"/>
      <c r="K433" s="23"/>
      <c r="L433" s="70"/>
      <c r="M433" s="70"/>
      <c r="N433" s="70"/>
      <c r="O433" s="40"/>
      <c r="P433" s="23"/>
      <c r="Q433" s="23"/>
      <c r="R433" s="72"/>
      <c r="S433" s="72"/>
      <c r="T433" s="23"/>
      <c r="U433" s="40"/>
      <c r="V433" s="23"/>
      <c r="W433" s="72"/>
      <c r="X433" s="23"/>
      <c r="Y433" s="40"/>
      <c r="Z433" s="23"/>
      <c r="AA433" s="72"/>
      <c r="AB433" s="23"/>
      <c r="AC433" s="40"/>
      <c r="AD433" s="23"/>
      <c r="AE433" s="23"/>
    </row>
    <row r="434" spans="1:31" ht="12.75">
      <c r="A434" s="23"/>
      <c r="B434" s="64"/>
      <c r="C434" s="62"/>
      <c r="D434" s="92"/>
      <c r="E434" s="65"/>
      <c r="F434" s="65"/>
      <c r="G434" s="67"/>
      <c r="H434" s="67"/>
      <c r="I434" s="71"/>
      <c r="J434" s="70"/>
      <c r="K434" s="23"/>
      <c r="L434" s="70"/>
      <c r="M434" s="70"/>
      <c r="N434" s="70"/>
      <c r="O434" s="40"/>
      <c r="P434" s="23"/>
      <c r="Q434" s="23"/>
      <c r="R434" s="72"/>
      <c r="S434" s="72"/>
      <c r="T434" s="23"/>
      <c r="U434" s="40"/>
      <c r="V434" s="23"/>
      <c r="W434" s="72"/>
      <c r="X434" s="23"/>
      <c r="Y434" s="40"/>
      <c r="Z434" s="23"/>
      <c r="AA434" s="72"/>
      <c r="AB434" s="23"/>
      <c r="AC434" s="40"/>
      <c r="AD434" s="23"/>
      <c r="AE434" s="23"/>
    </row>
    <row r="435" spans="1:31" ht="12.75">
      <c r="A435" s="23"/>
      <c r="B435" s="64"/>
      <c r="C435" s="62"/>
      <c r="D435" s="92"/>
      <c r="E435" s="65"/>
      <c r="F435" s="65"/>
      <c r="G435" s="67"/>
      <c r="H435" s="67"/>
      <c r="I435" s="71"/>
      <c r="J435" s="70"/>
      <c r="K435" s="23"/>
      <c r="L435" s="70"/>
      <c r="M435" s="70"/>
      <c r="N435" s="70"/>
      <c r="O435" s="40"/>
      <c r="P435" s="23"/>
      <c r="Q435" s="23"/>
      <c r="R435" s="72"/>
      <c r="S435" s="72"/>
      <c r="T435" s="23"/>
      <c r="U435" s="40"/>
      <c r="V435" s="23"/>
      <c r="W435" s="72"/>
      <c r="X435" s="23"/>
      <c r="Y435" s="40"/>
      <c r="Z435" s="23"/>
      <c r="AA435" s="72"/>
      <c r="AB435" s="23"/>
      <c r="AC435" s="40"/>
      <c r="AD435" s="23"/>
      <c r="AE435" s="23"/>
    </row>
    <row r="436" spans="1:31" ht="12.75">
      <c r="A436" s="23"/>
      <c r="B436" s="64"/>
      <c r="C436" s="62"/>
      <c r="D436" s="92"/>
      <c r="E436" s="65"/>
      <c r="F436" s="65"/>
      <c r="G436" s="67"/>
      <c r="H436" s="67"/>
      <c r="I436" s="71"/>
      <c r="J436" s="70"/>
      <c r="K436" s="23"/>
      <c r="L436" s="70"/>
      <c r="M436" s="70"/>
      <c r="N436" s="70"/>
      <c r="O436" s="40"/>
      <c r="P436" s="23"/>
      <c r="Q436" s="23"/>
      <c r="R436" s="72"/>
      <c r="S436" s="72"/>
      <c r="T436" s="23"/>
      <c r="U436" s="40"/>
      <c r="V436" s="23"/>
      <c r="W436" s="72"/>
      <c r="X436" s="23"/>
      <c r="Y436" s="40"/>
      <c r="Z436" s="23"/>
      <c r="AA436" s="72"/>
      <c r="AB436" s="23"/>
      <c r="AC436" s="40"/>
      <c r="AD436" s="23"/>
      <c r="AE436" s="23"/>
    </row>
    <row r="437" spans="1:31" ht="12.75">
      <c r="A437" s="23"/>
      <c r="B437" s="64"/>
      <c r="C437" s="62"/>
      <c r="D437" s="92"/>
      <c r="E437" s="65"/>
      <c r="F437" s="65"/>
      <c r="G437" s="67"/>
      <c r="H437" s="67"/>
      <c r="I437" s="71"/>
      <c r="J437" s="70"/>
      <c r="K437" s="23"/>
      <c r="L437" s="70"/>
      <c r="M437" s="70"/>
      <c r="N437" s="70"/>
      <c r="O437" s="40"/>
      <c r="P437" s="23"/>
      <c r="Q437" s="23"/>
      <c r="R437" s="72"/>
      <c r="S437" s="72"/>
      <c r="T437" s="23"/>
      <c r="U437" s="40"/>
      <c r="V437" s="23"/>
      <c r="W437" s="72"/>
      <c r="X437" s="23"/>
      <c r="Y437" s="40"/>
      <c r="Z437" s="23"/>
      <c r="AA437" s="72"/>
      <c r="AB437" s="23"/>
      <c r="AC437" s="40"/>
      <c r="AD437" s="23"/>
      <c r="AE437" s="23"/>
    </row>
    <row r="438" spans="1:31" ht="12.75">
      <c r="A438" s="23"/>
      <c r="B438" s="64"/>
      <c r="C438" s="62"/>
      <c r="D438" s="92"/>
      <c r="E438" s="65"/>
      <c r="F438" s="65"/>
      <c r="G438" s="67"/>
      <c r="H438" s="67"/>
      <c r="I438" s="71"/>
      <c r="J438" s="70"/>
      <c r="K438" s="23"/>
      <c r="L438" s="70"/>
      <c r="M438" s="70"/>
      <c r="N438" s="70"/>
      <c r="O438" s="40"/>
      <c r="P438" s="23"/>
      <c r="Q438" s="23"/>
      <c r="R438" s="72"/>
      <c r="S438" s="72"/>
      <c r="T438" s="23"/>
      <c r="U438" s="40"/>
      <c r="V438" s="23"/>
      <c r="W438" s="72"/>
      <c r="X438" s="23"/>
      <c r="Y438" s="40"/>
      <c r="Z438" s="23"/>
      <c r="AA438" s="72"/>
      <c r="AB438" s="23"/>
      <c r="AC438" s="40"/>
      <c r="AD438" s="23"/>
      <c r="AE438" s="23"/>
    </row>
    <row r="439" spans="1:31" ht="12.75">
      <c r="A439" s="23"/>
      <c r="B439" s="64"/>
      <c r="C439" s="62"/>
      <c r="D439" s="92"/>
      <c r="E439" s="65"/>
      <c r="F439" s="65"/>
      <c r="G439" s="67"/>
      <c r="H439" s="67"/>
      <c r="I439" s="71"/>
      <c r="J439" s="70"/>
      <c r="K439" s="23"/>
      <c r="L439" s="70"/>
      <c r="M439" s="70"/>
      <c r="N439" s="70"/>
      <c r="O439" s="40"/>
      <c r="P439" s="23"/>
      <c r="Q439" s="23"/>
      <c r="R439" s="72"/>
      <c r="S439" s="72"/>
      <c r="T439" s="23"/>
      <c r="U439" s="40"/>
      <c r="V439" s="23"/>
      <c r="W439" s="72"/>
      <c r="X439" s="23"/>
      <c r="Y439" s="40"/>
      <c r="Z439" s="23"/>
      <c r="AA439" s="72"/>
      <c r="AB439" s="23"/>
      <c r="AC439" s="40"/>
      <c r="AD439" s="23"/>
      <c r="AE439" s="23"/>
    </row>
    <row r="440" spans="1:31" ht="12.75">
      <c r="A440" s="23"/>
      <c r="B440" s="64"/>
      <c r="C440" s="62"/>
      <c r="D440" s="92"/>
      <c r="E440" s="65"/>
      <c r="F440" s="65"/>
      <c r="G440" s="67"/>
      <c r="H440" s="67"/>
      <c r="I440" s="71"/>
      <c r="J440" s="70"/>
      <c r="K440" s="23"/>
      <c r="L440" s="70"/>
      <c r="M440" s="70"/>
      <c r="N440" s="70"/>
      <c r="O440" s="40"/>
      <c r="P440" s="23"/>
      <c r="Q440" s="23"/>
      <c r="R440" s="72"/>
      <c r="S440" s="72"/>
      <c r="T440" s="23"/>
      <c r="U440" s="40"/>
      <c r="V440" s="23"/>
      <c r="W440" s="72"/>
      <c r="X440" s="23"/>
      <c r="Y440" s="40"/>
      <c r="Z440" s="23"/>
      <c r="AA440" s="72"/>
      <c r="AB440" s="23"/>
      <c r="AC440" s="40"/>
      <c r="AD440" s="23"/>
      <c r="AE440" s="23"/>
    </row>
    <row r="441" spans="1:31" ht="12.75">
      <c r="A441" s="23"/>
      <c r="B441" s="64"/>
      <c r="C441" s="62"/>
      <c r="D441" s="92"/>
      <c r="E441" s="65"/>
      <c r="F441" s="65"/>
      <c r="G441" s="67"/>
      <c r="H441" s="67"/>
      <c r="I441" s="71"/>
      <c r="J441" s="70"/>
      <c r="K441" s="23"/>
      <c r="L441" s="70"/>
      <c r="M441" s="70"/>
      <c r="N441" s="70"/>
      <c r="O441" s="40"/>
      <c r="P441" s="23"/>
      <c r="Q441" s="23"/>
      <c r="R441" s="72"/>
      <c r="S441" s="72"/>
      <c r="T441" s="23"/>
      <c r="U441" s="40"/>
      <c r="V441" s="23"/>
      <c r="W441" s="72"/>
      <c r="X441" s="23"/>
      <c r="Y441" s="40"/>
      <c r="Z441" s="23"/>
      <c r="AA441" s="72"/>
      <c r="AB441" s="23"/>
      <c r="AC441" s="40"/>
      <c r="AD441" s="23"/>
      <c r="AE441" s="23"/>
    </row>
    <row r="442" spans="1:31" ht="12" customHeight="1">
      <c r="A442" s="23"/>
      <c r="B442" s="40"/>
      <c r="C442" s="40"/>
      <c r="D442" s="92"/>
      <c r="E442" s="65"/>
      <c r="F442" s="65"/>
      <c r="G442" s="67"/>
      <c r="H442" s="67"/>
      <c r="I442" s="71"/>
      <c r="J442" s="70"/>
      <c r="K442" s="23"/>
      <c r="L442" s="70"/>
      <c r="M442" s="70"/>
      <c r="N442" s="70"/>
      <c r="O442" s="23"/>
      <c r="P442" s="23"/>
      <c r="Q442" s="23"/>
      <c r="R442" s="72"/>
      <c r="S442" s="23"/>
      <c r="T442" s="23"/>
      <c r="U442" s="23"/>
      <c r="V442" s="23"/>
      <c r="W442" s="23"/>
      <c r="X442" s="23"/>
      <c r="Y442" s="23"/>
      <c r="Z442" s="23"/>
      <c r="AA442" s="23"/>
      <c r="AB442" s="23"/>
      <c r="AC442" s="23"/>
      <c r="AD442" s="23"/>
      <c r="AE442" s="23"/>
    </row>
    <row r="443" spans="1:31" ht="12" customHeight="1">
      <c r="A443" s="23"/>
      <c r="B443" s="40"/>
      <c r="C443" s="40"/>
      <c r="D443" s="92"/>
      <c r="E443" s="65"/>
      <c r="F443" s="65"/>
      <c r="G443" s="67"/>
      <c r="H443" s="67"/>
      <c r="I443" s="71"/>
      <c r="J443" s="70"/>
      <c r="K443" s="23"/>
      <c r="L443" s="70"/>
      <c r="M443" s="70"/>
      <c r="N443" s="70"/>
      <c r="O443" s="23"/>
      <c r="P443" s="23"/>
      <c r="Q443" s="23"/>
      <c r="R443" s="72"/>
      <c r="S443" s="23"/>
      <c r="T443" s="23"/>
      <c r="U443" s="23"/>
      <c r="V443" s="23"/>
      <c r="W443" s="23"/>
      <c r="X443" s="23"/>
      <c r="Y443" s="23"/>
      <c r="Z443" s="23"/>
      <c r="AA443" s="23"/>
      <c r="AB443" s="23"/>
      <c r="AC443" s="23"/>
      <c r="AD443" s="23"/>
      <c r="AE443" s="23"/>
    </row>
    <row r="444" spans="1:31" ht="12" customHeight="1">
      <c r="A444" s="23"/>
      <c r="B444" s="40"/>
      <c r="C444" s="40"/>
      <c r="D444" s="92"/>
      <c r="E444" s="65"/>
      <c r="F444" s="65"/>
      <c r="G444" s="67"/>
      <c r="H444" s="67"/>
      <c r="I444" s="71"/>
      <c r="J444" s="70"/>
      <c r="K444" s="23"/>
      <c r="L444" s="70"/>
      <c r="M444" s="70"/>
      <c r="N444" s="70"/>
      <c r="O444" s="23"/>
      <c r="P444" s="23"/>
      <c r="Q444" s="23"/>
      <c r="R444" s="72"/>
      <c r="S444" s="23"/>
      <c r="T444" s="23"/>
      <c r="U444" s="23"/>
      <c r="V444" s="23"/>
      <c r="W444" s="23"/>
      <c r="X444" s="23"/>
      <c r="Y444" s="23"/>
      <c r="Z444" s="23"/>
      <c r="AA444" s="23"/>
      <c r="AB444" s="23"/>
      <c r="AC444" s="23"/>
      <c r="AD444" s="23"/>
      <c r="AE444" s="23"/>
    </row>
    <row r="445" spans="1:31" ht="12" customHeight="1">
      <c r="A445" s="23"/>
      <c r="B445" s="40"/>
      <c r="C445" s="40"/>
      <c r="D445" s="92"/>
      <c r="E445" s="65"/>
      <c r="F445" s="65"/>
      <c r="G445" s="67"/>
      <c r="H445" s="67"/>
      <c r="I445" s="71"/>
      <c r="J445" s="70"/>
      <c r="K445" s="23"/>
      <c r="L445" s="70"/>
      <c r="M445" s="70"/>
      <c r="N445" s="70"/>
      <c r="O445" s="23"/>
      <c r="P445" s="23"/>
      <c r="Q445" s="23"/>
      <c r="R445" s="72"/>
      <c r="S445" s="23"/>
      <c r="T445" s="23"/>
      <c r="U445" s="23"/>
      <c r="V445" s="23"/>
      <c r="W445" s="23"/>
      <c r="X445" s="23"/>
      <c r="Y445" s="23"/>
      <c r="Z445" s="23"/>
      <c r="AA445" s="23"/>
      <c r="AB445" s="23"/>
      <c r="AC445" s="23"/>
      <c r="AD445" s="23"/>
      <c r="AE445" s="23"/>
    </row>
    <row r="446" spans="1:31" ht="12" customHeight="1">
      <c r="A446" s="23"/>
      <c r="B446" s="40"/>
      <c r="C446" s="40"/>
      <c r="D446" s="92"/>
      <c r="E446" s="65"/>
      <c r="F446" s="65"/>
      <c r="G446" s="67"/>
      <c r="H446" s="67"/>
      <c r="I446" s="71"/>
      <c r="J446" s="70"/>
      <c r="K446" s="23"/>
      <c r="L446" s="70"/>
      <c r="M446" s="70"/>
      <c r="N446" s="70"/>
      <c r="O446" s="23"/>
      <c r="P446" s="23"/>
      <c r="Q446" s="23"/>
      <c r="R446" s="72"/>
      <c r="S446" s="23"/>
      <c r="T446" s="23"/>
      <c r="U446" s="23"/>
      <c r="V446" s="23"/>
      <c r="W446" s="23"/>
      <c r="X446" s="23"/>
      <c r="Y446" s="23"/>
      <c r="Z446" s="23"/>
      <c r="AA446" s="23"/>
      <c r="AB446" s="23"/>
      <c r="AC446" s="23"/>
      <c r="AD446" s="23"/>
      <c r="AE446" s="23"/>
    </row>
    <row r="447" spans="1:31" ht="12" customHeight="1">
      <c r="A447" s="23"/>
      <c r="B447" s="40"/>
      <c r="C447" s="40"/>
      <c r="D447" s="92"/>
      <c r="E447" s="65"/>
      <c r="F447" s="65"/>
      <c r="G447" s="67"/>
      <c r="H447" s="67"/>
      <c r="I447" s="71"/>
      <c r="J447" s="70"/>
      <c r="K447" s="23"/>
      <c r="L447" s="70"/>
      <c r="M447" s="70"/>
      <c r="N447" s="70"/>
      <c r="O447" s="23"/>
      <c r="P447" s="23"/>
      <c r="Q447" s="23"/>
      <c r="R447" s="72"/>
      <c r="S447" s="23"/>
      <c r="T447" s="23"/>
      <c r="U447" s="23"/>
      <c r="V447" s="23"/>
      <c r="W447" s="23"/>
      <c r="X447" s="23"/>
      <c r="Y447" s="23"/>
      <c r="Z447" s="23"/>
      <c r="AA447" s="23"/>
      <c r="AB447" s="23"/>
      <c r="AC447" s="23"/>
      <c r="AD447" s="23"/>
      <c r="AE447" s="23"/>
    </row>
    <row r="448" spans="1:31" ht="12" customHeight="1">
      <c r="A448" s="23"/>
      <c r="B448" s="40"/>
      <c r="C448" s="40"/>
      <c r="D448" s="92"/>
      <c r="E448" s="65"/>
      <c r="F448" s="65"/>
      <c r="G448" s="67"/>
      <c r="H448" s="67"/>
      <c r="I448" s="71"/>
      <c r="J448" s="70"/>
      <c r="K448" s="23"/>
      <c r="L448" s="70"/>
      <c r="M448" s="70"/>
      <c r="N448" s="70"/>
      <c r="O448" s="23"/>
      <c r="P448" s="23"/>
      <c r="Q448" s="23"/>
      <c r="R448" s="72"/>
      <c r="S448" s="23"/>
      <c r="T448" s="23"/>
      <c r="U448" s="23"/>
      <c r="V448" s="23"/>
      <c r="W448" s="23"/>
      <c r="X448" s="23"/>
      <c r="Y448" s="23"/>
      <c r="Z448" s="23"/>
      <c r="AA448" s="23"/>
      <c r="AB448" s="23"/>
      <c r="AC448" s="23"/>
      <c r="AD448" s="23"/>
      <c r="AE448" s="23"/>
    </row>
    <row r="449" spans="1:31" ht="12" customHeight="1">
      <c r="A449" s="23"/>
      <c r="B449" s="40"/>
      <c r="C449" s="40"/>
      <c r="D449" s="92"/>
      <c r="E449" s="65"/>
      <c r="F449" s="65"/>
      <c r="G449" s="67"/>
      <c r="H449" s="67"/>
      <c r="I449" s="71"/>
      <c r="J449" s="70"/>
      <c r="K449" s="23"/>
      <c r="L449" s="70"/>
      <c r="M449" s="70"/>
      <c r="N449" s="70"/>
      <c r="O449" s="23"/>
      <c r="P449" s="23"/>
      <c r="Q449" s="23"/>
      <c r="R449" s="72"/>
      <c r="S449" s="23"/>
      <c r="T449" s="23"/>
      <c r="U449" s="23"/>
      <c r="V449" s="23"/>
      <c r="W449" s="23"/>
      <c r="X449" s="23"/>
      <c r="Y449" s="23"/>
      <c r="Z449" s="23"/>
      <c r="AA449" s="23"/>
      <c r="AB449" s="23"/>
      <c r="AC449" s="23"/>
      <c r="AD449" s="23"/>
      <c r="AE449" s="23"/>
    </row>
    <row r="450" spans="1:31" ht="12" customHeight="1">
      <c r="A450" s="23"/>
      <c r="B450" s="40"/>
      <c r="C450" s="40"/>
      <c r="D450" s="92"/>
      <c r="E450" s="65"/>
      <c r="F450" s="65"/>
      <c r="G450" s="67"/>
      <c r="H450" s="67"/>
      <c r="I450" s="71"/>
      <c r="J450" s="70"/>
      <c r="K450" s="23"/>
      <c r="L450" s="70"/>
      <c r="M450" s="70"/>
      <c r="N450" s="70"/>
      <c r="O450" s="23"/>
      <c r="P450" s="23"/>
      <c r="Q450" s="23"/>
      <c r="R450" s="72"/>
      <c r="S450" s="23"/>
      <c r="T450" s="23"/>
      <c r="U450" s="23"/>
      <c r="V450" s="23"/>
      <c r="W450" s="23"/>
      <c r="X450" s="23"/>
      <c r="Y450" s="23"/>
      <c r="Z450" s="23"/>
      <c r="AA450" s="23"/>
      <c r="AB450" s="23"/>
      <c r="AC450" s="23"/>
      <c r="AD450" s="23"/>
      <c r="AE450" s="23"/>
    </row>
    <row r="451" spans="1:31" ht="12" customHeight="1">
      <c r="A451" s="23"/>
      <c r="B451" s="40"/>
      <c r="C451" s="40"/>
      <c r="D451" s="92"/>
      <c r="E451" s="65"/>
      <c r="F451" s="65"/>
      <c r="G451" s="67"/>
      <c r="H451" s="67"/>
      <c r="I451" s="71"/>
      <c r="J451" s="70"/>
      <c r="K451" s="23"/>
      <c r="L451" s="70"/>
      <c r="M451" s="70"/>
      <c r="N451" s="70"/>
      <c r="O451" s="23"/>
      <c r="P451" s="23"/>
      <c r="Q451" s="23"/>
      <c r="R451" s="72"/>
      <c r="S451" s="23"/>
      <c r="T451" s="23"/>
      <c r="U451" s="23"/>
      <c r="V451" s="23"/>
      <c r="W451" s="23"/>
      <c r="X451" s="23"/>
      <c r="Y451" s="23"/>
      <c r="Z451" s="23"/>
      <c r="AA451" s="23"/>
      <c r="AB451" s="23"/>
      <c r="AC451" s="23"/>
      <c r="AD451" s="23"/>
      <c r="AE451" s="23"/>
    </row>
    <row r="452" spans="1:31" ht="12" customHeight="1">
      <c r="A452" s="23"/>
      <c r="B452" s="40"/>
      <c r="C452" s="40"/>
      <c r="D452" s="92"/>
      <c r="E452" s="65"/>
      <c r="F452" s="65"/>
      <c r="G452" s="67"/>
      <c r="H452" s="67"/>
      <c r="I452" s="71"/>
      <c r="J452" s="70"/>
      <c r="K452" s="23"/>
      <c r="L452" s="70"/>
      <c r="M452" s="70"/>
      <c r="N452" s="70"/>
      <c r="O452" s="23"/>
      <c r="P452" s="23"/>
      <c r="Q452" s="23"/>
      <c r="R452" s="72"/>
      <c r="S452" s="23"/>
      <c r="T452" s="23"/>
      <c r="U452" s="23"/>
      <c r="V452" s="23"/>
      <c r="W452" s="23"/>
      <c r="X452" s="23"/>
      <c r="Y452" s="23"/>
      <c r="Z452" s="23"/>
      <c r="AA452" s="23"/>
      <c r="AB452" s="23"/>
      <c r="AC452" s="23"/>
      <c r="AD452" s="23"/>
      <c r="AE452" s="23"/>
    </row>
    <row r="453" spans="1:31" ht="12" customHeight="1">
      <c r="A453" s="23"/>
      <c r="B453" s="40"/>
      <c r="C453" s="40"/>
      <c r="D453" s="92"/>
      <c r="E453" s="65"/>
      <c r="F453" s="65"/>
      <c r="G453" s="67"/>
      <c r="H453" s="67"/>
      <c r="I453" s="71"/>
      <c r="J453" s="70"/>
      <c r="K453" s="23"/>
      <c r="L453" s="70"/>
      <c r="M453" s="70"/>
      <c r="N453" s="70"/>
      <c r="O453" s="23"/>
      <c r="P453" s="23"/>
      <c r="Q453" s="23"/>
      <c r="R453" s="72"/>
      <c r="S453" s="23"/>
      <c r="T453" s="23"/>
      <c r="U453" s="23"/>
      <c r="V453" s="23"/>
      <c r="W453" s="23"/>
      <c r="X453" s="23"/>
      <c r="Y453" s="23"/>
      <c r="Z453" s="23"/>
      <c r="AA453" s="23"/>
      <c r="AB453" s="23"/>
      <c r="AC453" s="23"/>
      <c r="AD453" s="23"/>
      <c r="AE453" s="23"/>
    </row>
    <row r="454" spans="1:31" ht="12" customHeight="1">
      <c r="A454" s="23"/>
      <c r="B454" s="40"/>
      <c r="C454" s="40"/>
      <c r="D454" s="92"/>
      <c r="E454" s="65"/>
      <c r="F454" s="65"/>
      <c r="G454" s="67"/>
      <c r="H454" s="67"/>
      <c r="I454" s="71"/>
      <c r="J454" s="70"/>
      <c r="K454" s="23"/>
      <c r="L454" s="70"/>
      <c r="M454" s="70"/>
      <c r="N454" s="70"/>
      <c r="O454" s="23"/>
      <c r="P454" s="23"/>
      <c r="Q454" s="23"/>
      <c r="R454" s="72"/>
      <c r="S454" s="23"/>
      <c r="T454" s="23"/>
      <c r="U454" s="23"/>
      <c r="V454" s="23"/>
      <c r="W454" s="23"/>
      <c r="X454" s="23"/>
      <c r="Y454" s="23"/>
      <c r="Z454" s="23"/>
      <c r="AA454" s="23"/>
      <c r="AB454" s="23"/>
      <c r="AC454" s="23"/>
      <c r="AD454" s="23"/>
      <c r="AE454" s="23"/>
    </row>
    <row r="455" spans="1:31" ht="12" customHeight="1">
      <c r="A455" s="23"/>
      <c r="B455" s="40"/>
      <c r="C455" s="40"/>
      <c r="D455" s="92"/>
      <c r="E455" s="65"/>
      <c r="F455" s="65"/>
      <c r="G455" s="67"/>
      <c r="H455" s="67"/>
      <c r="I455" s="71"/>
      <c r="J455" s="70"/>
      <c r="K455" s="23"/>
      <c r="L455" s="70"/>
      <c r="M455" s="70"/>
      <c r="N455" s="70"/>
      <c r="O455" s="23"/>
      <c r="P455" s="23"/>
      <c r="Q455" s="23"/>
      <c r="R455" s="72"/>
      <c r="S455" s="23"/>
      <c r="T455" s="23"/>
      <c r="U455" s="23"/>
      <c r="V455" s="23"/>
      <c r="W455" s="23"/>
      <c r="X455" s="23"/>
      <c r="Y455" s="23"/>
      <c r="Z455" s="23"/>
      <c r="AA455" s="23"/>
      <c r="AB455" s="23"/>
      <c r="AC455" s="23"/>
      <c r="AD455" s="23"/>
      <c r="AE455" s="23"/>
    </row>
    <row r="456" spans="1:31" ht="12.75">
      <c r="A456" s="23"/>
      <c r="B456" s="40"/>
      <c r="C456" s="40"/>
      <c r="D456" s="92"/>
      <c r="E456" s="65"/>
      <c r="F456" s="65"/>
      <c r="G456" s="67"/>
      <c r="H456" s="67"/>
      <c r="I456" s="40"/>
      <c r="J456" s="70"/>
      <c r="K456" s="23"/>
      <c r="L456" s="70"/>
      <c r="M456" s="70"/>
      <c r="N456" s="23"/>
      <c r="O456" s="23"/>
      <c r="P456" s="23"/>
      <c r="Q456" s="23"/>
      <c r="R456" s="72"/>
      <c r="S456" s="23"/>
      <c r="T456" s="23"/>
      <c r="U456" s="23"/>
      <c r="V456" s="23"/>
      <c r="W456" s="23"/>
      <c r="X456" s="23"/>
      <c r="Y456" s="23"/>
      <c r="Z456" s="23"/>
      <c r="AA456" s="23"/>
      <c r="AB456" s="23"/>
      <c r="AC456" s="23"/>
      <c r="AD456" s="23"/>
      <c r="AE456" s="23"/>
    </row>
    <row r="457" spans="1:31" ht="12.75">
      <c r="A457" s="23"/>
      <c r="B457" s="40"/>
      <c r="C457" s="40"/>
      <c r="D457" s="92"/>
      <c r="E457" s="65"/>
      <c r="F457" s="65"/>
      <c r="G457" s="67"/>
      <c r="H457" s="67"/>
      <c r="I457" s="40"/>
      <c r="J457" s="70"/>
      <c r="K457" s="23"/>
      <c r="L457" s="70"/>
      <c r="M457" s="70"/>
      <c r="N457" s="23"/>
      <c r="O457" s="23"/>
      <c r="P457" s="23"/>
      <c r="Q457" s="23"/>
      <c r="R457" s="72"/>
      <c r="S457" s="23"/>
      <c r="T457" s="23"/>
      <c r="U457" s="23"/>
      <c r="V457" s="23"/>
      <c r="W457" s="23"/>
      <c r="X457" s="23"/>
      <c r="Y457" s="23"/>
      <c r="Z457" s="23"/>
      <c r="AA457" s="23"/>
      <c r="AB457" s="23"/>
      <c r="AC457" s="23"/>
      <c r="AD457" s="23"/>
      <c r="AE457" s="23"/>
    </row>
    <row r="458" spans="1:31" ht="12.75">
      <c r="A458" s="23"/>
      <c r="B458" s="40"/>
      <c r="C458" s="40"/>
      <c r="D458" s="92"/>
      <c r="E458" s="65"/>
      <c r="F458" s="65"/>
      <c r="G458" s="67"/>
      <c r="H458" s="67"/>
      <c r="I458" s="40"/>
      <c r="J458" s="70"/>
      <c r="K458" s="23"/>
      <c r="L458" s="70"/>
      <c r="M458" s="70"/>
      <c r="N458" s="23"/>
      <c r="O458" s="23"/>
      <c r="P458" s="23"/>
      <c r="Q458" s="23"/>
      <c r="R458" s="72"/>
      <c r="S458" s="23"/>
      <c r="T458" s="23"/>
      <c r="U458" s="23"/>
      <c r="V458" s="23"/>
      <c r="W458" s="23"/>
      <c r="X458" s="23"/>
      <c r="Y458" s="23"/>
      <c r="Z458" s="23"/>
      <c r="AA458" s="23"/>
      <c r="AB458" s="23"/>
      <c r="AC458" s="23"/>
      <c r="AD458" s="23"/>
      <c r="AE458" s="23"/>
    </row>
    <row r="459" spans="1:31" ht="12.75">
      <c r="A459" s="23"/>
      <c r="B459" s="40"/>
      <c r="C459" s="40"/>
      <c r="D459" s="92"/>
      <c r="E459" s="65"/>
      <c r="F459" s="65"/>
      <c r="G459" s="67"/>
      <c r="H459" s="67"/>
      <c r="I459" s="40"/>
      <c r="J459" s="70"/>
      <c r="K459" s="23"/>
      <c r="L459" s="70"/>
      <c r="M459" s="70"/>
      <c r="N459" s="23"/>
      <c r="O459" s="23"/>
      <c r="P459" s="23"/>
      <c r="Q459" s="23"/>
      <c r="R459" s="72"/>
      <c r="S459" s="23"/>
      <c r="T459" s="23"/>
      <c r="U459" s="23"/>
      <c r="V459" s="23"/>
      <c r="W459" s="23"/>
      <c r="X459" s="23"/>
      <c r="Y459" s="23"/>
      <c r="Z459" s="23"/>
      <c r="AA459" s="23"/>
      <c r="AB459" s="23"/>
      <c r="AC459" s="23"/>
      <c r="AD459" s="23"/>
      <c r="AE459" s="23"/>
    </row>
    <row r="460" spans="1:31" ht="12.75">
      <c r="A460" s="23"/>
      <c r="B460" s="40"/>
      <c r="C460" s="40"/>
      <c r="D460" s="92"/>
      <c r="E460" s="65"/>
      <c r="F460" s="65"/>
      <c r="G460" s="67"/>
      <c r="H460" s="67"/>
      <c r="I460" s="40"/>
      <c r="J460" s="70"/>
      <c r="K460" s="23"/>
      <c r="L460" s="70"/>
      <c r="M460" s="70"/>
      <c r="N460" s="23"/>
      <c r="O460" s="23"/>
      <c r="P460" s="23"/>
      <c r="Q460" s="23"/>
      <c r="R460" s="72"/>
      <c r="S460" s="23"/>
      <c r="T460" s="23"/>
      <c r="U460" s="23"/>
      <c r="V460" s="23"/>
      <c r="W460" s="23"/>
      <c r="X460" s="23"/>
      <c r="Y460" s="23"/>
      <c r="Z460" s="23"/>
      <c r="AA460" s="23"/>
      <c r="AB460" s="23"/>
      <c r="AC460" s="23"/>
      <c r="AD460" s="23"/>
      <c r="AE460" s="23"/>
    </row>
    <row r="461" spans="1:31" ht="12.75">
      <c r="A461" s="23"/>
      <c r="B461" s="40"/>
      <c r="C461" s="40"/>
      <c r="D461" s="92"/>
      <c r="E461" s="65"/>
      <c r="F461" s="65"/>
      <c r="G461" s="67"/>
      <c r="H461" s="67"/>
      <c r="I461" s="40"/>
      <c r="J461" s="70"/>
      <c r="K461" s="23"/>
      <c r="L461" s="70"/>
      <c r="M461" s="70"/>
      <c r="N461" s="23"/>
      <c r="O461" s="23"/>
      <c r="P461" s="23"/>
      <c r="Q461" s="23"/>
      <c r="R461" s="72"/>
      <c r="S461" s="23"/>
      <c r="T461" s="23"/>
      <c r="U461" s="23"/>
      <c r="V461" s="23"/>
      <c r="W461" s="23"/>
      <c r="X461" s="23"/>
      <c r="Y461" s="23"/>
      <c r="Z461" s="23"/>
      <c r="AA461" s="23"/>
      <c r="AB461" s="23"/>
      <c r="AC461" s="23"/>
      <c r="AD461" s="23"/>
      <c r="AE461" s="23"/>
    </row>
    <row r="462" spans="1:31" s="56" customFormat="1" ht="12.75">
      <c r="A462" s="73"/>
      <c r="B462" s="85"/>
      <c r="C462" s="85"/>
      <c r="D462" s="100"/>
      <c r="E462" s="100"/>
      <c r="F462" s="76"/>
      <c r="G462" s="99"/>
      <c r="H462" s="73"/>
      <c r="I462" s="85"/>
      <c r="J462" s="86"/>
      <c r="K462" s="73"/>
      <c r="L462" s="86"/>
      <c r="M462" s="86"/>
      <c r="N462" s="73"/>
      <c r="O462" s="73"/>
      <c r="P462" s="73"/>
      <c r="Q462" s="73"/>
      <c r="R462" s="90"/>
      <c r="S462" s="73"/>
      <c r="T462" s="73"/>
      <c r="U462" s="73"/>
      <c r="V462" s="73"/>
      <c r="W462" s="73"/>
      <c r="X462" s="73"/>
      <c r="Y462" s="73"/>
      <c r="Z462" s="73"/>
      <c r="AA462" s="73"/>
      <c r="AB462" s="73"/>
      <c r="AC462" s="73"/>
      <c r="AD462" s="73"/>
      <c r="AE462" s="73"/>
    </row>
    <row r="463" spans="1:31" ht="48.95" customHeight="1">
      <c r="A463" s="23"/>
      <c r="B463" s="64"/>
      <c r="C463" s="62"/>
      <c r="D463" s="65"/>
      <c r="E463" s="65"/>
      <c r="F463" s="65"/>
      <c r="G463" s="67"/>
      <c r="H463" s="67"/>
      <c r="I463" s="71"/>
      <c r="J463" s="70"/>
      <c r="K463" s="23"/>
      <c r="L463" s="70"/>
      <c r="M463" s="70"/>
      <c r="N463" s="70"/>
      <c r="O463" s="40"/>
      <c r="P463" s="23"/>
      <c r="Q463" s="23"/>
      <c r="R463" s="72"/>
      <c r="S463" s="72"/>
      <c r="T463" s="23"/>
      <c r="U463" s="40"/>
      <c r="V463" s="23"/>
      <c r="W463" s="72"/>
      <c r="X463" s="23"/>
      <c r="Y463" s="40"/>
      <c r="Z463" s="23"/>
      <c r="AA463" s="72"/>
      <c r="AB463" s="23"/>
      <c r="AC463" s="40"/>
      <c r="AD463" s="23"/>
      <c r="AE463" s="23"/>
    </row>
    <row r="464" spans="1:31">
      <c r="A464" s="23"/>
      <c r="B464" s="64"/>
      <c r="C464" s="62"/>
      <c r="D464" s="65"/>
      <c r="E464" s="65"/>
      <c r="F464" s="65"/>
      <c r="G464" s="67"/>
      <c r="H464" s="67"/>
      <c r="I464" s="71"/>
      <c r="J464" s="70"/>
      <c r="K464" s="23"/>
      <c r="L464" s="70"/>
      <c r="M464" s="70"/>
      <c r="N464" s="70"/>
      <c r="O464" s="40"/>
      <c r="P464" s="23"/>
      <c r="Q464" s="23"/>
      <c r="R464" s="72"/>
      <c r="S464" s="72"/>
      <c r="T464" s="23"/>
      <c r="U464" s="40"/>
      <c r="V464" s="23"/>
      <c r="W464" s="72"/>
      <c r="X464" s="23"/>
      <c r="Y464" s="40"/>
      <c r="Z464" s="23"/>
      <c r="AA464" s="72"/>
      <c r="AB464" s="23"/>
      <c r="AC464" s="40"/>
      <c r="AD464" s="23"/>
      <c r="AE464" s="23"/>
    </row>
    <row r="465" spans="1:31">
      <c r="A465" s="23"/>
      <c r="B465" s="64"/>
      <c r="C465" s="62"/>
      <c r="D465" s="65"/>
      <c r="E465" s="65"/>
      <c r="F465" s="65"/>
      <c r="G465" s="67"/>
      <c r="H465" s="67"/>
      <c r="I465" s="71"/>
      <c r="J465" s="70"/>
      <c r="K465" s="23"/>
      <c r="L465" s="70"/>
      <c r="M465" s="70"/>
      <c r="N465" s="70"/>
      <c r="O465" s="40"/>
      <c r="P465" s="23"/>
      <c r="Q465" s="23"/>
      <c r="R465" s="72"/>
      <c r="S465" s="72"/>
      <c r="T465" s="23"/>
      <c r="U465" s="40"/>
      <c r="V465" s="23"/>
      <c r="W465" s="72"/>
      <c r="X465" s="23"/>
      <c r="Y465" s="40"/>
      <c r="Z465" s="23"/>
      <c r="AA465" s="72"/>
      <c r="AB465" s="23"/>
      <c r="AC465" s="40"/>
      <c r="AD465" s="23"/>
      <c r="AE465" s="23"/>
    </row>
    <row r="466" spans="1:31" ht="30" customHeight="1">
      <c r="A466" s="23"/>
      <c r="B466" s="64"/>
      <c r="C466" s="62"/>
      <c r="D466" s="65"/>
      <c r="E466" s="65"/>
      <c r="F466" s="65"/>
      <c r="G466" s="67"/>
      <c r="H466" s="67"/>
      <c r="I466" s="71"/>
      <c r="J466" s="70"/>
      <c r="K466" s="23"/>
      <c r="L466" s="70"/>
      <c r="M466" s="70"/>
      <c r="N466" s="70"/>
      <c r="O466" s="40"/>
      <c r="P466" s="23"/>
      <c r="Q466" s="23"/>
      <c r="R466" s="72"/>
      <c r="S466" s="72"/>
      <c r="T466" s="23"/>
      <c r="U466" s="40"/>
      <c r="V466" s="23"/>
      <c r="W466" s="72"/>
      <c r="X466" s="23"/>
      <c r="Y466" s="40"/>
      <c r="Z466" s="23"/>
      <c r="AA466" s="72"/>
      <c r="AB466" s="23"/>
      <c r="AC466" s="40"/>
      <c r="AD466" s="23"/>
      <c r="AE466" s="23"/>
    </row>
    <row r="467" spans="1:31" ht="45.95" customHeight="1">
      <c r="A467" s="23"/>
      <c r="B467" s="64"/>
      <c r="C467" s="62"/>
      <c r="D467" s="65"/>
      <c r="E467" s="65"/>
      <c r="F467" s="65"/>
      <c r="G467" s="67"/>
      <c r="H467" s="67"/>
      <c r="I467" s="71"/>
      <c r="J467" s="70"/>
      <c r="K467" s="23"/>
      <c r="L467" s="70"/>
      <c r="M467" s="70"/>
      <c r="N467" s="70"/>
      <c r="O467" s="40"/>
      <c r="P467" s="23"/>
      <c r="Q467" s="23"/>
      <c r="R467" s="72"/>
      <c r="S467" s="72"/>
      <c r="T467" s="23"/>
      <c r="U467" s="40"/>
      <c r="V467" s="23"/>
      <c r="W467" s="72"/>
      <c r="X467" s="23"/>
      <c r="Y467" s="40"/>
      <c r="Z467" s="23"/>
      <c r="AA467" s="72"/>
      <c r="AB467" s="23"/>
      <c r="AC467" s="40"/>
      <c r="AD467" s="23"/>
      <c r="AE467" s="23"/>
    </row>
    <row r="468" spans="1:31">
      <c r="A468" s="23"/>
      <c r="B468" s="64"/>
      <c r="C468" s="62"/>
      <c r="D468" s="65"/>
      <c r="E468" s="65"/>
      <c r="F468" s="65"/>
      <c r="G468" s="67"/>
      <c r="H468" s="67"/>
      <c r="I468" s="71"/>
      <c r="J468" s="70"/>
      <c r="K468" s="23"/>
      <c r="L468" s="70"/>
      <c r="M468" s="70"/>
      <c r="N468" s="70"/>
      <c r="O468" s="40"/>
      <c r="P468" s="23"/>
      <c r="Q468" s="23"/>
      <c r="R468" s="72"/>
      <c r="S468" s="72"/>
      <c r="T468" s="23"/>
      <c r="U468" s="40"/>
      <c r="V468" s="23"/>
      <c r="W468" s="72"/>
      <c r="X468" s="23"/>
      <c r="Y468" s="40"/>
      <c r="Z468" s="23"/>
      <c r="AA468" s="72"/>
      <c r="AB468" s="23"/>
      <c r="AC468" s="40"/>
      <c r="AD468" s="23"/>
      <c r="AE468" s="23"/>
    </row>
    <row r="469" spans="1:31">
      <c r="A469" s="23"/>
      <c r="B469" s="64"/>
      <c r="C469" s="62"/>
      <c r="D469" s="65"/>
      <c r="E469" s="65"/>
      <c r="F469" s="65"/>
      <c r="G469" s="67"/>
      <c r="H469" s="67"/>
      <c r="I469" s="71"/>
      <c r="J469" s="70"/>
      <c r="K469" s="23"/>
      <c r="L469" s="70"/>
      <c r="M469" s="70"/>
      <c r="N469" s="70"/>
      <c r="O469" s="40"/>
      <c r="P469" s="23"/>
      <c r="Q469" s="23"/>
      <c r="R469" s="72"/>
      <c r="S469" s="72"/>
      <c r="T469" s="23"/>
      <c r="U469" s="40"/>
      <c r="V469" s="23"/>
      <c r="W469" s="72"/>
      <c r="X469" s="23"/>
      <c r="Y469" s="40"/>
      <c r="Z469" s="23"/>
      <c r="AA469" s="72"/>
      <c r="AB469" s="23"/>
      <c r="AC469" s="40"/>
      <c r="AD469" s="23"/>
      <c r="AE469" s="23"/>
    </row>
    <row r="470" spans="1:31">
      <c r="A470" s="23"/>
      <c r="B470" s="64"/>
      <c r="C470" s="62"/>
      <c r="D470" s="65"/>
      <c r="E470" s="65"/>
      <c r="F470" s="65"/>
      <c r="G470" s="67"/>
      <c r="H470" s="67"/>
      <c r="I470" s="71"/>
      <c r="J470" s="70"/>
      <c r="K470" s="23"/>
      <c r="L470" s="70"/>
      <c r="M470" s="70"/>
      <c r="N470" s="70"/>
      <c r="O470" s="40"/>
      <c r="P470" s="23"/>
      <c r="Q470" s="23"/>
      <c r="R470" s="72"/>
      <c r="S470" s="72"/>
      <c r="T470" s="23"/>
      <c r="U470" s="40"/>
      <c r="V470" s="23"/>
      <c r="W470" s="72"/>
      <c r="X470" s="23"/>
      <c r="Y470" s="40"/>
      <c r="Z470" s="23"/>
      <c r="AA470" s="72"/>
      <c r="AB470" s="23"/>
      <c r="AC470" s="40"/>
      <c r="AD470" s="23"/>
      <c r="AE470" s="23"/>
    </row>
    <row r="471" spans="1:31">
      <c r="A471" s="23"/>
      <c r="B471" s="64"/>
      <c r="C471" s="62"/>
      <c r="D471" s="65"/>
      <c r="E471" s="65"/>
      <c r="F471" s="65"/>
      <c r="G471" s="67"/>
      <c r="H471" s="67"/>
      <c r="I471" s="71"/>
      <c r="J471" s="70"/>
      <c r="K471" s="23"/>
      <c r="L471" s="70"/>
      <c r="M471" s="70"/>
      <c r="N471" s="70"/>
      <c r="O471" s="40"/>
      <c r="P471" s="23"/>
      <c r="Q471" s="23"/>
      <c r="R471" s="72"/>
      <c r="S471" s="72"/>
      <c r="T471" s="23"/>
      <c r="U471" s="40"/>
      <c r="V471" s="23"/>
      <c r="W471" s="72"/>
      <c r="X471" s="23"/>
      <c r="Y471" s="40"/>
      <c r="Z471" s="23"/>
      <c r="AA471" s="72"/>
      <c r="AB471" s="23"/>
      <c r="AC471" s="40"/>
      <c r="AD471" s="23"/>
      <c r="AE471" s="23"/>
    </row>
    <row r="472" spans="1:31">
      <c r="A472" s="23"/>
      <c r="B472" s="64"/>
      <c r="C472" s="62"/>
      <c r="D472" s="65"/>
      <c r="E472" s="65"/>
      <c r="F472" s="65"/>
      <c r="G472" s="67"/>
      <c r="H472" s="67"/>
      <c r="I472" s="71"/>
      <c r="J472" s="70"/>
      <c r="K472" s="23"/>
      <c r="L472" s="70"/>
      <c r="M472" s="70"/>
      <c r="N472" s="70"/>
      <c r="O472" s="40"/>
      <c r="P472" s="23"/>
      <c r="Q472" s="23"/>
      <c r="R472" s="72"/>
      <c r="S472" s="72"/>
      <c r="T472" s="23"/>
      <c r="U472" s="40"/>
      <c r="V472" s="23"/>
      <c r="W472" s="72"/>
      <c r="X472" s="23"/>
      <c r="Y472" s="40"/>
      <c r="Z472" s="23"/>
      <c r="AA472" s="72"/>
      <c r="AB472" s="23"/>
      <c r="AC472" s="40"/>
      <c r="AD472" s="23"/>
      <c r="AE472" s="23"/>
    </row>
    <row r="473" spans="1:31">
      <c r="A473" s="23"/>
      <c r="B473" s="64"/>
      <c r="C473" s="62"/>
      <c r="D473" s="65"/>
      <c r="E473" s="65"/>
      <c r="F473" s="65"/>
      <c r="G473" s="67"/>
      <c r="H473" s="67"/>
      <c r="I473" s="71"/>
      <c r="J473" s="70"/>
      <c r="K473" s="23"/>
      <c r="L473" s="70"/>
      <c r="M473" s="70"/>
      <c r="N473" s="70"/>
      <c r="O473" s="40"/>
      <c r="P473" s="23"/>
      <c r="Q473" s="23"/>
      <c r="R473" s="72"/>
      <c r="S473" s="72"/>
      <c r="T473" s="23"/>
      <c r="U473" s="40"/>
      <c r="V473" s="23"/>
      <c r="W473" s="72"/>
      <c r="X473" s="23"/>
      <c r="Y473" s="40"/>
      <c r="Z473" s="23"/>
      <c r="AA473" s="72"/>
      <c r="AB473" s="23"/>
      <c r="AC473" s="40"/>
      <c r="AD473" s="23"/>
      <c r="AE473" s="23"/>
    </row>
    <row r="474" spans="1:31">
      <c r="A474" s="23"/>
      <c r="B474" s="64"/>
      <c r="C474" s="62"/>
      <c r="D474" s="65"/>
      <c r="E474" s="65"/>
      <c r="F474" s="65"/>
      <c r="G474" s="67"/>
      <c r="H474" s="67"/>
      <c r="I474" s="71"/>
      <c r="J474" s="70"/>
      <c r="K474" s="23"/>
      <c r="L474" s="70"/>
      <c r="M474" s="70"/>
      <c r="N474" s="70"/>
      <c r="O474" s="40"/>
      <c r="P474" s="23"/>
      <c r="Q474" s="23"/>
      <c r="R474" s="72"/>
      <c r="S474" s="72"/>
      <c r="T474" s="23"/>
      <c r="U474" s="40"/>
      <c r="V474" s="23"/>
      <c r="W474" s="72"/>
      <c r="X474" s="23"/>
      <c r="Y474" s="40"/>
      <c r="Z474" s="23"/>
      <c r="AA474" s="72"/>
      <c r="AB474" s="23"/>
      <c r="AC474" s="40"/>
      <c r="AD474" s="23"/>
      <c r="AE474" s="23"/>
    </row>
    <row r="475" spans="1:31">
      <c r="A475" s="23"/>
      <c r="B475" s="64"/>
      <c r="C475" s="62"/>
      <c r="D475" s="65"/>
      <c r="E475" s="65"/>
      <c r="F475" s="65"/>
      <c r="G475" s="67"/>
      <c r="H475" s="67"/>
      <c r="I475" s="71"/>
      <c r="J475" s="70"/>
      <c r="K475" s="23"/>
      <c r="L475" s="70"/>
      <c r="M475" s="70"/>
      <c r="N475" s="70"/>
      <c r="O475" s="40"/>
      <c r="P475" s="23"/>
      <c r="Q475" s="23"/>
      <c r="R475" s="72"/>
      <c r="S475" s="72"/>
      <c r="T475" s="23"/>
      <c r="U475" s="40"/>
      <c r="V475" s="23"/>
      <c r="W475" s="72"/>
      <c r="X475" s="23"/>
      <c r="Y475" s="40"/>
      <c r="Z475" s="23"/>
      <c r="AA475" s="72"/>
      <c r="AB475" s="23"/>
      <c r="AC475" s="40"/>
      <c r="AD475" s="23"/>
      <c r="AE475" s="23"/>
    </row>
    <row r="476" spans="1:31">
      <c r="A476" s="23"/>
      <c r="B476" s="64"/>
      <c r="C476" s="62"/>
      <c r="D476" s="65"/>
      <c r="E476" s="65"/>
      <c r="F476" s="65"/>
      <c r="G476" s="67"/>
      <c r="H476" s="67"/>
      <c r="I476" s="71"/>
      <c r="J476" s="70"/>
      <c r="K476" s="23"/>
      <c r="L476" s="70"/>
      <c r="M476" s="70"/>
      <c r="N476" s="70"/>
      <c r="O476" s="40"/>
      <c r="P476" s="23"/>
      <c r="Q476" s="23"/>
      <c r="R476" s="72"/>
      <c r="S476" s="72"/>
      <c r="T476" s="23"/>
      <c r="U476" s="40"/>
      <c r="V476" s="23"/>
      <c r="W476" s="72"/>
      <c r="X476" s="23"/>
      <c r="Y476" s="40"/>
      <c r="Z476" s="23"/>
      <c r="AA476" s="72"/>
      <c r="AB476" s="23"/>
      <c r="AC476" s="40"/>
      <c r="AD476" s="23"/>
      <c r="AE476" s="23"/>
    </row>
    <row r="477" spans="1:31">
      <c r="A477" s="23"/>
      <c r="B477" s="64"/>
      <c r="C477" s="62"/>
      <c r="D477" s="65"/>
      <c r="E477" s="65"/>
      <c r="F477" s="65"/>
      <c r="G477" s="67"/>
      <c r="H477" s="67"/>
      <c r="I477" s="71"/>
      <c r="J477" s="70"/>
      <c r="K477" s="23"/>
      <c r="L477" s="70"/>
      <c r="M477" s="70"/>
      <c r="N477" s="70"/>
      <c r="O477" s="40"/>
      <c r="P477" s="23"/>
      <c r="Q477" s="23"/>
      <c r="R477" s="72"/>
      <c r="S477" s="72"/>
      <c r="T477" s="23"/>
      <c r="U477" s="40"/>
      <c r="V477" s="23"/>
      <c r="W477" s="72"/>
      <c r="X477" s="23"/>
      <c r="Y477" s="40"/>
      <c r="Z477" s="23"/>
      <c r="AA477" s="72"/>
      <c r="AB477" s="23"/>
      <c r="AC477" s="40"/>
      <c r="AD477" s="23"/>
      <c r="AE477" s="23"/>
    </row>
    <row r="478" spans="1:31">
      <c r="A478" s="23"/>
      <c r="B478" s="64"/>
      <c r="C478" s="62"/>
      <c r="D478" s="65"/>
      <c r="E478" s="65"/>
      <c r="F478" s="65"/>
      <c r="G478" s="67"/>
      <c r="H478" s="67"/>
      <c r="I478" s="71"/>
      <c r="J478" s="70"/>
      <c r="K478" s="23"/>
      <c r="L478" s="70"/>
      <c r="M478" s="70"/>
      <c r="N478" s="70"/>
      <c r="O478" s="40"/>
      <c r="P478" s="23"/>
      <c r="Q478" s="23"/>
      <c r="R478" s="72"/>
      <c r="S478" s="72"/>
      <c r="T478" s="23"/>
      <c r="U478" s="40"/>
      <c r="V478" s="23"/>
      <c r="W478" s="72"/>
      <c r="X478" s="23"/>
      <c r="Y478" s="40"/>
      <c r="Z478" s="23"/>
      <c r="AA478" s="72"/>
      <c r="AB478" s="23"/>
      <c r="AC478" s="40"/>
      <c r="AD478" s="23"/>
      <c r="AE478" s="23"/>
    </row>
    <row r="479" spans="1:31">
      <c r="A479" s="23"/>
      <c r="B479" s="64"/>
      <c r="C479" s="62"/>
      <c r="D479" s="65"/>
      <c r="E479" s="65"/>
      <c r="F479" s="65"/>
      <c r="G479" s="67"/>
      <c r="H479" s="67"/>
      <c r="I479" s="71"/>
      <c r="J479" s="70"/>
      <c r="K479" s="23"/>
      <c r="L479" s="70"/>
      <c r="M479" s="70"/>
      <c r="N479" s="70"/>
      <c r="O479" s="40"/>
      <c r="P479" s="23"/>
      <c r="Q479" s="23"/>
      <c r="R479" s="72"/>
      <c r="S479" s="72"/>
      <c r="T479" s="23"/>
      <c r="U479" s="40"/>
      <c r="V479" s="23"/>
      <c r="W479" s="72"/>
      <c r="X479" s="23"/>
      <c r="Y479" s="40"/>
      <c r="Z479" s="23"/>
      <c r="AA479" s="72"/>
      <c r="AB479" s="23"/>
      <c r="AC479" s="40"/>
      <c r="AD479" s="23"/>
      <c r="AE479" s="23"/>
    </row>
    <row r="480" spans="1:31">
      <c r="A480" s="23"/>
      <c r="B480" s="64"/>
      <c r="C480" s="62"/>
      <c r="D480" s="65"/>
      <c r="E480" s="65"/>
      <c r="F480" s="65"/>
      <c r="G480" s="67"/>
      <c r="H480" s="67"/>
      <c r="I480" s="71"/>
      <c r="J480" s="70"/>
      <c r="K480" s="23"/>
      <c r="L480" s="70"/>
      <c r="M480" s="70"/>
      <c r="N480" s="70"/>
      <c r="O480" s="40"/>
      <c r="P480" s="23"/>
      <c r="Q480" s="23"/>
      <c r="R480" s="72"/>
      <c r="S480" s="72"/>
      <c r="T480" s="23"/>
      <c r="U480" s="40"/>
      <c r="V480" s="23"/>
      <c r="W480" s="72"/>
      <c r="X480" s="23"/>
      <c r="Y480" s="40"/>
      <c r="Z480" s="23"/>
      <c r="AA480" s="72"/>
      <c r="AB480" s="23"/>
      <c r="AC480" s="40"/>
      <c r="AD480" s="23"/>
      <c r="AE480" s="23"/>
    </row>
    <row r="481" spans="1:31">
      <c r="A481" s="23"/>
      <c r="B481" s="64"/>
      <c r="C481" s="62"/>
      <c r="D481" s="65"/>
      <c r="E481" s="65"/>
      <c r="F481" s="65"/>
      <c r="G481" s="67"/>
      <c r="H481" s="67"/>
      <c r="I481" s="71"/>
      <c r="J481" s="70"/>
      <c r="K481" s="23"/>
      <c r="L481" s="70"/>
      <c r="M481" s="70"/>
      <c r="N481" s="70"/>
      <c r="O481" s="40"/>
      <c r="P481" s="23"/>
      <c r="Q481" s="23"/>
      <c r="R481" s="72"/>
      <c r="S481" s="72"/>
      <c r="T481" s="23"/>
      <c r="U481" s="40"/>
      <c r="V481" s="23"/>
      <c r="W481" s="72"/>
      <c r="X481" s="23"/>
      <c r="Y481" s="40"/>
      <c r="Z481" s="23"/>
      <c r="AA481" s="72"/>
      <c r="AB481" s="23"/>
      <c r="AC481" s="40"/>
      <c r="AD481" s="23"/>
      <c r="AE481" s="23"/>
    </row>
    <row r="482" spans="1:31">
      <c r="A482" s="23"/>
      <c r="B482" s="64"/>
      <c r="C482" s="62"/>
      <c r="D482" s="65"/>
      <c r="E482" s="65"/>
      <c r="F482" s="65"/>
      <c r="G482" s="67"/>
      <c r="H482" s="67"/>
      <c r="I482" s="71"/>
      <c r="J482" s="70"/>
      <c r="K482" s="23"/>
      <c r="L482" s="70"/>
      <c r="M482" s="70"/>
      <c r="N482" s="70"/>
      <c r="O482" s="40"/>
      <c r="P482" s="23"/>
      <c r="Q482" s="23"/>
      <c r="R482" s="72"/>
      <c r="S482" s="72"/>
      <c r="T482" s="23"/>
      <c r="U482" s="40"/>
      <c r="V482" s="23"/>
      <c r="W482" s="72"/>
      <c r="X482" s="23"/>
      <c r="Y482" s="40"/>
      <c r="Z482" s="23"/>
      <c r="AA482" s="72"/>
      <c r="AB482" s="23"/>
      <c r="AC482" s="40"/>
      <c r="AD482" s="23"/>
      <c r="AE482" s="23"/>
    </row>
    <row r="483" spans="1:31">
      <c r="A483" s="23"/>
      <c r="B483" s="64"/>
      <c r="C483" s="62"/>
      <c r="D483" s="65"/>
      <c r="E483" s="65"/>
      <c r="F483" s="65"/>
      <c r="G483" s="67"/>
      <c r="H483" s="67"/>
      <c r="I483" s="71"/>
      <c r="J483" s="70"/>
      <c r="K483" s="23"/>
      <c r="L483" s="70"/>
      <c r="M483" s="70"/>
      <c r="N483" s="70"/>
      <c r="O483" s="40"/>
      <c r="P483" s="23"/>
      <c r="Q483" s="23"/>
      <c r="R483" s="72"/>
      <c r="S483" s="72"/>
      <c r="T483" s="23"/>
      <c r="U483" s="40"/>
      <c r="V483" s="23"/>
      <c r="W483" s="72"/>
      <c r="X483" s="23"/>
      <c r="Y483" s="40"/>
      <c r="Z483" s="23"/>
      <c r="AA483" s="72"/>
      <c r="AB483" s="23"/>
      <c r="AC483" s="40"/>
      <c r="AD483" s="23"/>
      <c r="AE483" s="23"/>
    </row>
    <row r="484" spans="1:31">
      <c r="A484" s="23"/>
      <c r="B484" s="64"/>
      <c r="C484" s="62"/>
      <c r="D484" s="65"/>
      <c r="E484" s="65"/>
      <c r="F484" s="65"/>
      <c r="G484" s="67"/>
      <c r="H484" s="67"/>
      <c r="I484" s="71"/>
      <c r="J484" s="70"/>
      <c r="K484" s="23"/>
      <c r="L484" s="70"/>
      <c r="M484" s="70"/>
      <c r="N484" s="70"/>
      <c r="O484" s="40"/>
      <c r="P484" s="23"/>
      <c r="Q484" s="23"/>
      <c r="R484" s="72"/>
      <c r="S484" s="72"/>
      <c r="T484" s="23"/>
      <c r="U484" s="40"/>
      <c r="V484" s="23"/>
      <c r="W484" s="72"/>
      <c r="X484" s="23"/>
      <c r="Y484" s="40"/>
      <c r="Z484" s="23"/>
      <c r="AA484" s="72"/>
      <c r="AB484" s="23"/>
      <c r="AC484" s="40"/>
      <c r="AD484" s="23"/>
      <c r="AE484" s="23"/>
    </row>
    <row r="485" spans="1:31">
      <c r="A485" s="23"/>
      <c r="B485" s="64"/>
      <c r="C485" s="62"/>
      <c r="D485" s="65"/>
      <c r="E485" s="65"/>
      <c r="F485" s="65"/>
      <c r="G485" s="67"/>
      <c r="H485" s="67"/>
      <c r="I485" s="71"/>
      <c r="J485" s="70"/>
      <c r="K485" s="23"/>
      <c r="L485" s="70"/>
      <c r="M485" s="70"/>
      <c r="N485" s="70"/>
      <c r="O485" s="40"/>
      <c r="P485" s="23"/>
      <c r="Q485" s="23"/>
      <c r="R485" s="72"/>
      <c r="S485" s="72"/>
      <c r="T485" s="23"/>
      <c r="U485" s="40"/>
      <c r="V485" s="23"/>
      <c r="W485" s="72"/>
      <c r="X485" s="23"/>
      <c r="Y485" s="40"/>
      <c r="Z485" s="23"/>
      <c r="AA485" s="72"/>
      <c r="AB485" s="23"/>
      <c r="AC485" s="40"/>
      <c r="AD485" s="23"/>
      <c r="AE485" s="23"/>
    </row>
    <row r="486" spans="1:31">
      <c r="A486" s="23"/>
      <c r="B486" s="64"/>
      <c r="C486" s="62"/>
      <c r="D486" s="65"/>
      <c r="E486" s="65"/>
      <c r="F486" s="65"/>
      <c r="G486" s="67"/>
      <c r="H486" s="67"/>
      <c r="I486" s="71"/>
      <c r="J486" s="70"/>
      <c r="K486" s="23"/>
      <c r="L486" s="70"/>
      <c r="M486" s="70"/>
      <c r="N486" s="70"/>
      <c r="O486" s="40"/>
      <c r="P486" s="23"/>
      <c r="Q486" s="23"/>
      <c r="R486" s="72"/>
      <c r="S486" s="72"/>
      <c r="T486" s="23"/>
      <c r="U486" s="40"/>
      <c r="V486" s="23"/>
      <c r="W486" s="72"/>
      <c r="X486" s="23"/>
      <c r="Y486" s="40"/>
      <c r="Z486" s="23"/>
      <c r="AA486" s="72"/>
      <c r="AB486" s="23"/>
      <c r="AC486" s="40"/>
      <c r="AD486" s="23"/>
      <c r="AE486" s="23"/>
    </row>
    <row r="487" spans="1:31">
      <c r="A487" s="23"/>
      <c r="B487" s="64"/>
      <c r="C487" s="62"/>
      <c r="D487" s="65"/>
      <c r="E487" s="65"/>
      <c r="F487" s="65"/>
      <c r="G487" s="67"/>
      <c r="H487" s="67"/>
      <c r="I487" s="71"/>
      <c r="J487" s="70"/>
      <c r="K487" s="23"/>
      <c r="L487" s="70"/>
      <c r="M487" s="70"/>
      <c r="N487" s="70"/>
      <c r="O487" s="40"/>
      <c r="P487" s="23"/>
      <c r="Q487" s="23"/>
      <c r="R487" s="72"/>
      <c r="S487" s="72"/>
      <c r="T487" s="23"/>
      <c r="U487" s="40"/>
      <c r="V487" s="23"/>
      <c r="W487" s="72"/>
      <c r="X487" s="23"/>
      <c r="Y487" s="40"/>
      <c r="Z487" s="23"/>
      <c r="AA487" s="72"/>
      <c r="AB487" s="23"/>
      <c r="AC487" s="40"/>
      <c r="AD487" s="23"/>
      <c r="AE487" s="23"/>
    </row>
    <row r="488" spans="1:31">
      <c r="A488" s="23"/>
      <c r="B488" s="64"/>
      <c r="C488" s="62"/>
      <c r="D488" s="65"/>
      <c r="E488" s="65"/>
      <c r="F488" s="65"/>
      <c r="G488" s="67"/>
      <c r="H488" s="67"/>
      <c r="I488" s="71"/>
      <c r="J488" s="70"/>
      <c r="K488" s="23"/>
      <c r="L488" s="70"/>
      <c r="M488" s="70"/>
      <c r="N488" s="70"/>
      <c r="O488" s="40"/>
      <c r="P488" s="23"/>
      <c r="Q488" s="23"/>
      <c r="R488" s="72"/>
      <c r="S488" s="72"/>
      <c r="T488" s="23"/>
      <c r="U488" s="40"/>
      <c r="V488" s="23"/>
      <c r="W488" s="72"/>
      <c r="X488" s="23"/>
      <c r="Y488" s="40"/>
      <c r="Z488" s="23"/>
      <c r="AA488" s="72"/>
      <c r="AB488" s="23"/>
      <c r="AC488" s="40"/>
      <c r="AD488" s="23"/>
      <c r="AE488" s="23"/>
    </row>
    <row r="489" spans="1:31">
      <c r="A489" s="23"/>
      <c r="B489" s="64"/>
      <c r="C489" s="62"/>
      <c r="D489" s="65"/>
      <c r="E489" s="65"/>
      <c r="F489" s="65"/>
      <c r="G489" s="67"/>
      <c r="H489" s="67"/>
      <c r="I489" s="71"/>
      <c r="J489" s="70"/>
      <c r="K489" s="23"/>
      <c r="L489" s="70"/>
      <c r="M489" s="70"/>
      <c r="N489" s="70"/>
      <c r="O489" s="40"/>
      <c r="P489" s="23"/>
      <c r="Q489" s="23"/>
      <c r="R489" s="72"/>
      <c r="S489" s="72"/>
      <c r="T489" s="23"/>
      <c r="U489" s="40"/>
      <c r="V489" s="23"/>
      <c r="W489" s="72"/>
      <c r="X489" s="23"/>
      <c r="Y489" s="40"/>
      <c r="Z489" s="23"/>
      <c r="AA489" s="72"/>
      <c r="AB489" s="23"/>
      <c r="AC489" s="40"/>
      <c r="AD489" s="23"/>
      <c r="AE489" s="23"/>
    </row>
    <row r="490" spans="1:31">
      <c r="A490" s="23"/>
      <c r="B490" s="64"/>
      <c r="C490" s="62"/>
      <c r="D490" s="65"/>
      <c r="E490" s="65"/>
      <c r="F490" s="65"/>
      <c r="G490" s="67"/>
      <c r="H490" s="67"/>
      <c r="I490" s="71"/>
      <c r="J490" s="70"/>
      <c r="K490" s="23"/>
      <c r="L490" s="70"/>
      <c r="M490" s="70"/>
      <c r="N490" s="70"/>
      <c r="O490" s="40"/>
      <c r="P490" s="23"/>
      <c r="Q490" s="23"/>
      <c r="R490" s="72"/>
      <c r="S490" s="72"/>
      <c r="T490" s="23"/>
      <c r="U490" s="40"/>
      <c r="V490" s="23"/>
      <c r="W490" s="72"/>
      <c r="X490" s="23"/>
      <c r="Y490" s="40"/>
      <c r="Z490" s="23"/>
      <c r="AA490" s="72"/>
      <c r="AB490" s="23"/>
      <c r="AC490" s="40"/>
      <c r="AD490" s="23"/>
      <c r="AE490" s="23"/>
    </row>
    <row r="491" spans="1:31">
      <c r="A491" s="23"/>
      <c r="B491" s="64"/>
      <c r="C491" s="62"/>
      <c r="D491" s="65"/>
      <c r="E491" s="65"/>
      <c r="F491" s="65"/>
      <c r="G491" s="67"/>
      <c r="H491" s="67"/>
      <c r="I491" s="71"/>
      <c r="J491" s="70"/>
      <c r="K491" s="23"/>
      <c r="L491" s="70"/>
      <c r="M491" s="70"/>
      <c r="N491" s="70"/>
      <c r="O491" s="40"/>
      <c r="P491" s="23"/>
      <c r="Q491" s="23"/>
      <c r="R491" s="72"/>
      <c r="S491" s="72"/>
      <c r="T491" s="23"/>
      <c r="U491" s="40"/>
      <c r="V491" s="23"/>
      <c r="W491" s="72"/>
      <c r="X491" s="23"/>
      <c r="Y491" s="40"/>
      <c r="Z491" s="23"/>
      <c r="AA491" s="72"/>
      <c r="AB491" s="23"/>
      <c r="AC491" s="40"/>
      <c r="AD491" s="23"/>
      <c r="AE491" s="23"/>
    </row>
    <row r="492" spans="1:31">
      <c r="A492" s="23"/>
      <c r="B492" s="64"/>
      <c r="C492" s="62"/>
      <c r="D492" s="65"/>
      <c r="E492" s="65"/>
      <c r="F492" s="65"/>
      <c r="G492" s="67"/>
      <c r="H492" s="67"/>
      <c r="I492" s="71"/>
      <c r="J492" s="70"/>
      <c r="K492" s="23"/>
      <c r="L492" s="70"/>
      <c r="M492" s="70"/>
      <c r="N492" s="70"/>
      <c r="O492" s="40"/>
      <c r="P492" s="23"/>
      <c r="Q492" s="23"/>
      <c r="R492" s="72"/>
      <c r="S492" s="72"/>
      <c r="T492" s="23"/>
      <c r="U492" s="40"/>
      <c r="V492" s="23"/>
      <c r="W492" s="72"/>
      <c r="X492" s="23"/>
      <c r="Y492" s="40"/>
      <c r="Z492" s="23"/>
      <c r="AA492" s="72"/>
      <c r="AB492" s="23"/>
      <c r="AC492" s="40"/>
      <c r="AD492" s="23"/>
      <c r="AE492" s="23"/>
    </row>
    <row r="493" spans="1:31">
      <c r="A493" s="23"/>
      <c r="B493" s="64"/>
      <c r="C493" s="62"/>
      <c r="D493" s="65"/>
      <c r="E493" s="65"/>
      <c r="F493" s="65"/>
      <c r="G493" s="67"/>
      <c r="H493" s="67"/>
      <c r="I493" s="71"/>
      <c r="J493" s="70"/>
      <c r="K493" s="23"/>
      <c r="L493" s="70"/>
      <c r="M493" s="70"/>
      <c r="N493" s="70"/>
      <c r="O493" s="40"/>
      <c r="P493" s="23"/>
      <c r="Q493" s="23"/>
      <c r="R493" s="72"/>
      <c r="S493" s="72"/>
      <c r="T493" s="23"/>
      <c r="U493" s="40"/>
      <c r="V493" s="23"/>
      <c r="W493" s="72"/>
      <c r="X493" s="23"/>
      <c r="Y493" s="40"/>
      <c r="Z493" s="23"/>
      <c r="AA493" s="72"/>
      <c r="AB493" s="23"/>
      <c r="AC493" s="40"/>
      <c r="AD493" s="23"/>
      <c r="AE493" s="23"/>
    </row>
    <row r="494" spans="1:31">
      <c r="A494" s="23"/>
      <c r="B494" s="64"/>
      <c r="C494" s="62"/>
      <c r="D494" s="65"/>
      <c r="E494" s="65"/>
      <c r="F494" s="65"/>
      <c r="G494" s="67"/>
      <c r="H494" s="67"/>
      <c r="I494" s="71"/>
      <c r="J494" s="70"/>
      <c r="K494" s="23"/>
      <c r="L494" s="70"/>
      <c r="M494" s="70"/>
      <c r="N494" s="70"/>
      <c r="O494" s="40"/>
      <c r="P494" s="23"/>
      <c r="Q494" s="23"/>
      <c r="R494" s="72"/>
      <c r="S494" s="72"/>
      <c r="T494" s="23"/>
      <c r="U494" s="40"/>
      <c r="V494" s="23"/>
      <c r="W494" s="72"/>
      <c r="X494" s="23"/>
      <c r="Y494" s="40"/>
      <c r="Z494" s="23"/>
      <c r="AA494" s="72"/>
      <c r="AB494" s="23"/>
      <c r="AC494" s="40"/>
      <c r="AD494" s="23"/>
      <c r="AE494" s="23"/>
    </row>
    <row r="495" spans="1:31">
      <c r="A495" s="23"/>
      <c r="B495" s="64"/>
      <c r="C495" s="62"/>
      <c r="D495" s="65"/>
      <c r="E495" s="65"/>
      <c r="F495" s="65"/>
      <c r="G495" s="67"/>
      <c r="H495" s="67"/>
      <c r="I495" s="71"/>
      <c r="J495" s="70"/>
      <c r="K495" s="23"/>
      <c r="L495" s="70"/>
      <c r="M495" s="70"/>
      <c r="N495" s="70"/>
      <c r="O495" s="40"/>
      <c r="P495" s="23"/>
      <c r="Q495" s="23"/>
      <c r="R495" s="72"/>
      <c r="S495" s="72"/>
      <c r="T495" s="23"/>
      <c r="U495" s="40"/>
      <c r="V495" s="23"/>
      <c r="W495" s="72"/>
      <c r="X495" s="23"/>
      <c r="Y495" s="40"/>
      <c r="Z495" s="23"/>
      <c r="AA495" s="72"/>
      <c r="AB495" s="23"/>
      <c r="AC495" s="40"/>
      <c r="AD495" s="23"/>
      <c r="AE495" s="23"/>
    </row>
    <row r="496" spans="1:31">
      <c r="A496" s="23"/>
      <c r="B496" s="64"/>
      <c r="C496" s="62"/>
      <c r="D496" s="65"/>
      <c r="E496" s="65"/>
      <c r="F496" s="65"/>
      <c r="G496" s="67"/>
      <c r="H496" s="67"/>
      <c r="I496" s="71"/>
      <c r="J496" s="70"/>
      <c r="K496" s="23"/>
      <c r="L496" s="70"/>
      <c r="M496" s="70"/>
      <c r="N496" s="70"/>
      <c r="O496" s="40"/>
      <c r="P496" s="23"/>
      <c r="Q496" s="23"/>
      <c r="R496" s="72"/>
      <c r="S496" s="72"/>
      <c r="T496" s="23"/>
      <c r="U496" s="40"/>
      <c r="V496" s="23"/>
      <c r="W496" s="72"/>
      <c r="X496" s="23"/>
      <c r="Y496" s="40"/>
      <c r="Z496" s="23"/>
      <c r="AA496" s="72"/>
      <c r="AB496" s="23"/>
      <c r="AC496" s="40"/>
      <c r="AD496" s="23"/>
      <c r="AE496" s="23"/>
    </row>
    <row r="497" spans="1:31">
      <c r="A497" s="23"/>
      <c r="B497" s="64"/>
      <c r="C497" s="62"/>
      <c r="D497" s="65"/>
      <c r="E497" s="65"/>
      <c r="F497" s="65"/>
      <c r="G497" s="67"/>
      <c r="H497" s="67"/>
      <c r="I497" s="71"/>
      <c r="J497" s="70"/>
      <c r="K497" s="23"/>
      <c r="L497" s="70"/>
      <c r="M497" s="70"/>
      <c r="N497" s="70"/>
      <c r="O497" s="40"/>
      <c r="P497" s="23"/>
      <c r="Q497" s="23"/>
      <c r="R497" s="72"/>
      <c r="S497" s="72"/>
      <c r="T497" s="23"/>
      <c r="U497" s="40"/>
      <c r="V497" s="23"/>
      <c r="W497" s="72"/>
      <c r="X497" s="23"/>
      <c r="Y497" s="40"/>
      <c r="Z497" s="23"/>
      <c r="AA497" s="72"/>
      <c r="AB497" s="23"/>
      <c r="AC497" s="40"/>
      <c r="AD497" s="23"/>
      <c r="AE497" s="23"/>
    </row>
    <row r="498" spans="1:31">
      <c r="A498" s="23"/>
      <c r="B498" s="64"/>
      <c r="C498" s="62"/>
      <c r="D498" s="65"/>
      <c r="E498" s="65"/>
      <c r="F498" s="65"/>
      <c r="G498" s="67"/>
      <c r="H498" s="67"/>
      <c r="I498" s="71"/>
      <c r="J498" s="70"/>
      <c r="K498" s="23"/>
      <c r="L498" s="70"/>
      <c r="M498" s="70"/>
      <c r="N498" s="70"/>
      <c r="O498" s="40"/>
      <c r="P498" s="23"/>
      <c r="Q498" s="23"/>
      <c r="R498" s="72"/>
      <c r="S498" s="72"/>
      <c r="T498" s="23"/>
      <c r="U498" s="40"/>
      <c r="V498" s="23"/>
      <c r="W498" s="72"/>
      <c r="X498" s="23"/>
      <c r="Y498" s="40"/>
      <c r="Z498" s="23"/>
      <c r="AA498" s="72"/>
      <c r="AB498" s="23"/>
      <c r="AC498" s="40"/>
      <c r="AD498" s="23"/>
      <c r="AE498" s="23"/>
    </row>
    <row r="499" spans="1:31">
      <c r="A499" s="23"/>
      <c r="B499" s="64"/>
      <c r="C499" s="62"/>
      <c r="D499" s="65"/>
      <c r="E499" s="65"/>
      <c r="F499" s="65"/>
      <c r="G499" s="67"/>
      <c r="H499" s="67"/>
      <c r="I499" s="71"/>
      <c r="J499" s="70"/>
      <c r="K499" s="23"/>
      <c r="L499" s="70"/>
      <c r="M499" s="70"/>
      <c r="N499" s="70"/>
      <c r="O499" s="40"/>
      <c r="P499" s="23"/>
      <c r="Q499" s="23"/>
      <c r="R499" s="72"/>
      <c r="S499" s="72"/>
      <c r="T499" s="23"/>
      <c r="U499" s="40"/>
      <c r="V499" s="23"/>
      <c r="W499" s="72"/>
      <c r="X499" s="23"/>
      <c r="Y499" s="40"/>
      <c r="Z499" s="23"/>
      <c r="AA499" s="72"/>
      <c r="AB499" s="23"/>
      <c r="AC499" s="40"/>
      <c r="AD499" s="23"/>
      <c r="AE499" s="23"/>
    </row>
    <row r="500" spans="1:31">
      <c r="A500" s="23"/>
      <c r="B500" s="64"/>
      <c r="C500" s="62"/>
      <c r="D500" s="65"/>
      <c r="E500" s="65"/>
      <c r="F500" s="65"/>
      <c r="G500" s="67"/>
      <c r="H500" s="67"/>
      <c r="I500" s="71"/>
      <c r="J500" s="70"/>
      <c r="K500" s="23"/>
      <c r="L500" s="70"/>
      <c r="M500" s="70"/>
      <c r="N500" s="70"/>
      <c r="O500" s="40"/>
      <c r="P500" s="23"/>
      <c r="Q500" s="23"/>
      <c r="R500" s="72"/>
      <c r="S500" s="72"/>
      <c r="T500" s="23"/>
      <c r="U500" s="40"/>
      <c r="V500" s="23"/>
      <c r="W500" s="72"/>
      <c r="X500" s="23"/>
      <c r="Y500" s="40"/>
      <c r="Z500" s="23"/>
      <c r="AA500" s="72"/>
      <c r="AB500" s="23"/>
      <c r="AC500" s="40"/>
      <c r="AD500" s="23"/>
      <c r="AE500" s="23"/>
    </row>
    <row r="501" spans="1:31">
      <c r="A501" s="23"/>
      <c r="B501" s="64"/>
      <c r="C501" s="62"/>
      <c r="D501" s="65"/>
      <c r="E501" s="65"/>
      <c r="F501" s="65"/>
      <c r="G501" s="67"/>
      <c r="H501" s="67"/>
      <c r="I501" s="71"/>
      <c r="J501" s="70"/>
      <c r="K501" s="23"/>
      <c r="L501" s="70"/>
      <c r="M501" s="70"/>
      <c r="N501" s="70"/>
      <c r="O501" s="40"/>
      <c r="P501" s="23"/>
      <c r="Q501" s="23"/>
      <c r="R501" s="72"/>
      <c r="S501" s="72"/>
      <c r="T501" s="23"/>
      <c r="U501" s="40"/>
      <c r="V501" s="23"/>
      <c r="W501" s="72"/>
      <c r="X501" s="23"/>
      <c r="Y501" s="40"/>
      <c r="Z501" s="23"/>
      <c r="AA501" s="72"/>
      <c r="AB501" s="23"/>
      <c r="AC501" s="40"/>
      <c r="AD501" s="23"/>
      <c r="AE501" s="23"/>
    </row>
    <row r="502" spans="1:31">
      <c r="A502" s="23"/>
      <c r="B502" s="64"/>
      <c r="C502" s="62"/>
      <c r="D502" s="65"/>
      <c r="E502" s="65"/>
      <c r="F502" s="65"/>
      <c r="G502" s="67"/>
      <c r="H502" s="67"/>
      <c r="I502" s="71"/>
      <c r="J502" s="70"/>
      <c r="K502" s="23"/>
      <c r="L502" s="70"/>
      <c r="M502" s="70"/>
      <c r="N502" s="70"/>
      <c r="O502" s="40"/>
      <c r="P502" s="23"/>
      <c r="Q502" s="23"/>
      <c r="R502" s="72"/>
      <c r="S502" s="72"/>
      <c r="T502" s="23"/>
      <c r="U502" s="40"/>
      <c r="V502" s="23"/>
      <c r="W502" s="72"/>
      <c r="X502" s="23"/>
      <c r="Y502" s="40"/>
      <c r="Z502" s="23"/>
      <c r="AA502" s="72"/>
      <c r="AB502" s="23"/>
      <c r="AC502" s="40"/>
      <c r="AD502" s="23"/>
      <c r="AE502" s="23"/>
    </row>
    <row r="503" spans="1:31">
      <c r="A503" s="23"/>
      <c r="B503" s="64"/>
      <c r="C503" s="62"/>
      <c r="D503" s="65"/>
      <c r="E503" s="65"/>
      <c r="F503" s="65"/>
      <c r="G503" s="67"/>
      <c r="H503" s="67"/>
      <c r="I503" s="71"/>
      <c r="J503" s="70"/>
      <c r="K503" s="23"/>
      <c r="L503" s="70"/>
      <c r="M503" s="70"/>
      <c r="N503" s="70"/>
      <c r="O503" s="40"/>
      <c r="P503" s="23"/>
      <c r="Q503" s="23"/>
      <c r="R503" s="72"/>
      <c r="S503" s="72"/>
      <c r="T503" s="23"/>
      <c r="U503" s="40"/>
      <c r="V503" s="23"/>
      <c r="W503" s="72"/>
      <c r="X503" s="23"/>
      <c r="Y503" s="40"/>
      <c r="Z503" s="23"/>
      <c r="AA503" s="72"/>
      <c r="AB503" s="23"/>
      <c r="AC503" s="40"/>
      <c r="AD503" s="23"/>
      <c r="AE503" s="23"/>
    </row>
    <row r="504" spans="1:31">
      <c r="A504" s="23"/>
      <c r="B504" s="64"/>
      <c r="C504" s="62"/>
      <c r="D504" s="65"/>
      <c r="E504" s="65"/>
      <c r="F504" s="65"/>
      <c r="G504" s="67"/>
      <c r="H504" s="67"/>
      <c r="I504" s="71"/>
      <c r="J504" s="70"/>
      <c r="K504" s="23"/>
      <c r="L504" s="70"/>
      <c r="M504" s="70"/>
      <c r="N504" s="70"/>
      <c r="O504" s="40"/>
      <c r="P504" s="23"/>
      <c r="Q504" s="23"/>
      <c r="R504" s="72"/>
      <c r="S504" s="72"/>
      <c r="T504" s="23"/>
      <c r="U504" s="40"/>
      <c r="V504" s="23"/>
      <c r="W504" s="72"/>
      <c r="X504" s="23"/>
      <c r="Y504" s="40"/>
      <c r="Z504" s="23"/>
      <c r="AA504" s="72"/>
      <c r="AB504" s="23"/>
      <c r="AC504" s="40"/>
      <c r="AD504" s="23"/>
      <c r="AE504" s="23"/>
    </row>
    <row r="505" spans="1:31">
      <c r="A505" s="23"/>
      <c r="B505" s="64"/>
      <c r="C505" s="62"/>
      <c r="D505" s="65"/>
      <c r="E505" s="65"/>
      <c r="F505" s="65"/>
      <c r="G505" s="67"/>
      <c r="H505" s="67"/>
      <c r="I505" s="71"/>
      <c r="J505" s="70"/>
      <c r="K505" s="23"/>
      <c r="L505" s="70"/>
      <c r="M505" s="70"/>
      <c r="N505" s="70"/>
      <c r="O505" s="40"/>
      <c r="P505" s="23"/>
      <c r="Q505" s="23"/>
      <c r="R505" s="72"/>
      <c r="S505" s="72"/>
      <c r="T505" s="23"/>
      <c r="U505" s="40"/>
      <c r="V505" s="23"/>
      <c r="W505" s="72"/>
      <c r="X505" s="23"/>
      <c r="Y505" s="40"/>
      <c r="Z505" s="23"/>
      <c r="AA505" s="72"/>
      <c r="AB505" s="23"/>
      <c r="AC505" s="40"/>
      <c r="AD505" s="23"/>
      <c r="AE505" s="23"/>
    </row>
    <row r="506" spans="1:31">
      <c r="A506" s="23"/>
      <c r="B506" s="64"/>
      <c r="C506" s="62"/>
      <c r="D506" s="65"/>
      <c r="E506" s="65"/>
      <c r="F506" s="65"/>
      <c r="G506" s="67"/>
      <c r="H506" s="67"/>
      <c r="I506" s="71"/>
      <c r="J506" s="70"/>
      <c r="K506" s="23"/>
      <c r="L506" s="70"/>
      <c r="M506" s="70"/>
      <c r="N506" s="70"/>
      <c r="O506" s="40"/>
      <c r="P506" s="23"/>
      <c r="Q506" s="23"/>
      <c r="R506" s="72"/>
      <c r="S506" s="72"/>
      <c r="T506" s="23"/>
      <c r="U506" s="40"/>
      <c r="V506" s="23"/>
      <c r="W506" s="72"/>
      <c r="X506" s="23"/>
      <c r="Y506" s="40"/>
      <c r="Z506" s="23"/>
      <c r="AA506" s="72"/>
      <c r="AB506" s="23"/>
      <c r="AC506" s="40"/>
      <c r="AD506" s="23"/>
      <c r="AE506" s="23"/>
    </row>
    <row r="507" spans="1:31">
      <c r="A507" s="23"/>
      <c r="B507" s="64"/>
      <c r="C507" s="62"/>
      <c r="D507" s="65"/>
      <c r="E507" s="65"/>
      <c r="F507" s="65"/>
      <c r="G507" s="67"/>
      <c r="H507" s="67"/>
      <c r="I507" s="71"/>
      <c r="J507" s="70"/>
      <c r="K507" s="23"/>
      <c r="L507" s="70"/>
      <c r="M507" s="70"/>
      <c r="N507" s="70"/>
      <c r="O507" s="40"/>
      <c r="P507" s="23"/>
      <c r="Q507" s="23"/>
      <c r="R507" s="72"/>
      <c r="S507" s="72"/>
      <c r="T507" s="23"/>
      <c r="U507" s="40"/>
      <c r="V507" s="23"/>
      <c r="W507" s="72"/>
      <c r="X507" s="23"/>
      <c r="Y507" s="40"/>
      <c r="Z507" s="23"/>
      <c r="AA507" s="72"/>
      <c r="AB507" s="23"/>
      <c r="AC507" s="40"/>
      <c r="AD507" s="23"/>
      <c r="AE507" s="23"/>
    </row>
    <row r="508" spans="1:31">
      <c r="A508" s="23"/>
      <c r="B508" s="64"/>
      <c r="C508" s="62"/>
      <c r="D508" s="65"/>
      <c r="E508" s="65"/>
      <c r="F508" s="65"/>
      <c r="G508" s="67"/>
      <c r="H508" s="67"/>
      <c r="I508" s="71"/>
      <c r="J508" s="70"/>
      <c r="K508" s="23"/>
      <c r="L508" s="70"/>
      <c r="M508" s="70"/>
      <c r="N508" s="70"/>
      <c r="O508" s="40"/>
      <c r="P508" s="23"/>
      <c r="Q508" s="23"/>
      <c r="R508" s="72"/>
      <c r="S508" s="72"/>
      <c r="T508" s="23"/>
      <c r="U508" s="40"/>
      <c r="V508" s="23"/>
      <c r="W508" s="72"/>
      <c r="X508" s="23"/>
      <c r="Y508" s="40"/>
      <c r="Z508" s="23"/>
      <c r="AA508" s="72"/>
      <c r="AB508" s="23"/>
      <c r="AC508" s="40"/>
      <c r="AD508" s="23"/>
      <c r="AE508" s="23"/>
    </row>
    <row r="509" spans="1:31">
      <c r="A509" s="23"/>
      <c r="B509" s="64"/>
      <c r="C509" s="62"/>
      <c r="D509" s="65"/>
      <c r="E509" s="65"/>
      <c r="F509" s="65"/>
      <c r="G509" s="67"/>
      <c r="H509" s="67"/>
      <c r="I509" s="71"/>
      <c r="J509" s="70"/>
      <c r="K509" s="23"/>
      <c r="L509" s="70"/>
      <c r="M509" s="70"/>
      <c r="N509" s="70"/>
      <c r="O509" s="40"/>
      <c r="P509" s="23"/>
      <c r="Q509" s="23"/>
      <c r="R509" s="72"/>
      <c r="S509" s="72"/>
      <c r="T509" s="23"/>
      <c r="U509" s="40"/>
      <c r="V509" s="23"/>
      <c r="W509" s="72"/>
      <c r="X509" s="23"/>
      <c r="Y509" s="40"/>
      <c r="Z509" s="23"/>
      <c r="AA509" s="72"/>
      <c r="AB509" s="23"/>
      <c r="AC509" s="40"/>
      <c r="AD509" s="23"/>
      <c r="AE509" s="23"/>
    </row>
    <row r="510" spans="1:31">
      <c r="A510" s="23"/>
      <c r="B510" s="64"/>
      <c r="C510" s="62"/>
      <c r="D510" s="65"/>
      <c r="E510" s="65"/>
      <c r="F510" s="65"/>
      <c r="G510" s="67"/>
      <c r="H510" s="67"/>
      <c r="I510" s="71"/>
      <c r="J510" s="70"/>
      <c r="K510" s="23"/>
      <c r="L510" s="70"/>
      <c r="M510" s="70"/>
      <c r="N510" s="70"/>
      <c r="O510" s="40"/>
      <c r="P510" s="23"/>
      <c r="Q510" s="23"/>
      <c r="R510" s="72"/>
      <c r="S510" s="72"/>
      <c r="T510" s="23"/>
      <c r="U510" s="40"/>
      <c r="V510" s="23"/>
      <c r="W510" s="72"/>
      <c r="X510" s="23"/>
      <c r="Y510" s="40"/>
      <c r="Z510" s="23"/>
      <c r="AA510" s="72"/>
      <c r="AB510" s="23"/>
      <c r="AC510" s="40"/>
      <c r="AD510" s="23"/>
      <c r="AE510" s="23"/>
    </row>
    <row r="511" spans="1:31">
      <c r="A511" s="23"/>
      <c r="B511" s="64"/>
      <c r="C511" s="62"/>
      <c r="D511" s="65"/>
      <c r="E511" s="65"/>
      <c r="F511" s="65"/>
      <c r="G511" s="67"/>
      <c r="H511" s="67"/>
      <c r="I511" s="71"/>
      <c r="J511" s="70"/>
      <c r="K511" s="23"/>
      <c r="L511" s="70"/>
      <c r="M511" s="70"/>
      <c r="N511" s="70"/>
      <c r="O511" s="40"/>
      <c r="P511" s="23"/>
      <c r="Q511" s="23"/>
      <c r="R511" s="72"/>
      <c r="S511" s="72"/>
      <c r="T511" s="23"/>
      <c r="U511" s="40"/>
      <c r="V511" s="23"/>
      <c r="W511" s="72"/>
      <c r="X511" s="23"/>
      <c r="Y511" s="40"/>
      <c r="Z511" s="23"/>
      <c r="AA511" s="72"/>
      <c r="AB511" s="23"/>
      <c r="AC511" s="40"/>
      <c r="AD511" s="23"/>
      <c r="AE511" s="23"/>
    </row>
    <row r="512" spans="1:31">
      <c r="A512" s="23"/>
      <c r="B512" s="64"/>
      <c r="C512" s="62"/>
      <c r="D512" s="65"/>
      <c r="E512" s="65"/>
      <c r="F512" s="65"/>
      <c r="G512" s="67"/>
      <c r="H512" s="67"/>
      <c r="I512" s="71"/>
      <c r="J512" s="70"/>
      <c r="K512" s="23"/>
      <c r="L512" s="70"/>
      <c r="M512" s="70"/>
      <c r="N512" s="70"/>
      <c r="O512" s="40"/>
      <c r="P512" s="23"/>
      <c r="Q512" s="23"/>
      <c r="R512" s="72"/>
      <c r="S512" s="72"/>
      <c r="T512" s="23"/>
      <c r="U512" s="40"/>
      <c r="V512" s="23"/>
      <c r="W512" s="72"/>
      <c r="X512" s="23"/>
      <c r="Y512" s="40"/>
      <c r="Z512" s="23"/>
      <c r="AA512" s="72"/>
      <c r="AB512" s="23"/>
      <c r="AC512" s="40"/>
      <c r="AD512" s="23"/>
      <c r="AE512" s="23"/>
    </row>
    <row r="513" spans="1:31">
      <c r="A513" s="23"/>
      <c r="B513" s="64"/>
      <c r="C513" s="62"/>
      <c r="D513" s="65"/>
      <c r="E513" s="65"/>
      <c r="F513" s="65"/>
      <c r="G513" s="67"/>
      <c r="H513" s="67"/>
      <c r="I513" s="71"/>
      <c r="J513" s="70"/>
      <c r="K513" s="23"/>
      <c r="L513" s="70"/>
      <c r="M513" s="70"/>
      <c r="N513" s="70"/>
      <c r="O513" s="40"/>
      <c r="P513" s="23"/>
      <c r="Q513" s="23"/>
      <c r="R513" s="72"/>
      <c r="S513" s="72"/>
      <c r="T513" s="23"/>
      <c r="U513" s="40"/>
      <c r="V513" s="23"/>
      <c r="W513" s="72"/>
      <c r="X513" s="23"/>
      <c r="Y513" s="40"/>
      <c r="Z513" s="23"/>
      <c r="AA513" s="72"/>
      <c r="AB513" s="23"/>
      <c r="AC513" s="40"/>
      <c r="AD513" s="23"/>
      <c r="AE513" s="23"/>
    </row>
    <row r="514" spans="1:31">
      <c r="A514" s="23"/>
      <c r="B514" s="64"/>
      <c r="C514" s="62"/>
      <c r="D514" s="65"/>
      <c r="E514" s="65"/>
      <c r="F514" s="65"/>
      <c r="G514" s="67"/>
      <c r="H514" s="67"/>
      <c r="I514" s="71"/>
      <c r="J514" s="70"/>
      <c r="K514" s="23"/>
      <c r="L514" s="70"/>
      <c r="M514" s="70"/>
      <c r="N514" s="70"/>
      <c r="O514" s="40"/>
      <c r="P514" s="23"/>
      <c r="Q514" s="23"/>
      <c r="R514" s="72"/>
      <c r="S514" s="72"/>
      <c r="T514" s="23"/>
      <c r="U514" s="40"/>
      <c r="V514" s="23"/>
      <c r="W514" s="72"/>
      <c r="X514" s="23"/>
      <c r="Y514" s="40"/>
      <c r="Z514" s="23"/>
      <c r="AA514" s="72"/>
      <c r="AB514" s="23"/>
      <c r="AC514" s="40"/>
      <c r="AD514" s="23"/>
      <c r="AE514" s="23"/>
    </row>
    <row r="515" spans="1:31">
      <c r="A515" s="23"/>
      <c r="B515" s="64"/>
      <c r="C515" s="62"/>
      <c r="D515" s="65"/>
      <c r="E515" s="65"/>
      <c r="F515" s="65"/>
      <c r="G515" s="67"/>
      <c r="H515" s="67"/>
      <c r="I515" s="71"/>
      <c r="J515" s="70"/>
      <c r="K515" s="23"/>
      <c r="L515" s="70"/>
      <c r="M515" s="70"/>
      <c r="N515" s="70"/>
      <c r="O515" s="40"/>
      <c r="P515" s="23"/>
      <c r="Q515" s="23"/>
      <c r="R515" s="72"/>
      <c r="S515" s="72"/>
      <c r="T515" s="23"/>
      <c r="U515" s="40"/>
      <c r="V515" s="23"/>
      <c r="W515" s="72"/>
      <c r="X515" s="23"/>
      <c r="Y515" s="40"/>
      <c r="Z515" s="23"/>
      <c r="AA515" s="72"/>
      <c r="AB515" s="23"/>
      <c r="AC515" s="40"/>
      <c r="AD515" s="23"/>
      <c r="AE515" s="23"/>
    </row>
    <row r="516" spans="1:31">
      <c r="A516" s="23"/>
      <c r="B516" s="64"/>
      <c r="C516" s="62"/>
      <c r="D516" s="65"/>
      <c r="E516" s="65"/>
      <c r="F516" s="65"/>
      <c r="G516" s="67"/>
      <c r="H516" s="67"/>
      <c r="I516" s="71"/>
      <c r="J516" s="70"/>
      <c r="K516" s="23"/>
      <c r="L516" s="70"/>
      <c r="M516" s="70"/>
      <c r="N516" s="70"/>
      <c r="O516" s="40"/>
      <c r="P516" s="23"/>
      <c r="Q516" s="23"/>
      <c r="R516" s="72"/>
      <c r="S516" s="72"/>
      <c r="T516" s="23"/>
      <c r="U516" s="40"/>
      <c r="V516" s="23"/>
      <c r="W516" s="72"/>
      <c r="X516" s="23"/>
      <c r="Y516" s="40"/>
      <c r="Z516" s="23"/>
      <c r="AA516" s="72"/>
      <c r="AB516" s="23"/>
      <c r="AC516" s="40"/>
      <c r="AD516" s="23"/>
      <c r="AE516" s="23"/>
    </row>
    <row r="517" spans="1:31">
      <c r="A517" s="23"/>
      <c r="B517" s="64"/>
      <c r="C517" s="62"/>
      <c r="D517" s="65"/>
      <c r="E517" s="65"/>
      <c r="F517" s="65"/>
      <c r="G517" s="67"/>
      <c r="H517" s="67"/>
      <c r="I517" s="71"/>
      <c r="J517" s="70"/>
      <c r="K517" s="23"/>
      <c r="L517" s="70"/>
      <c r="M517" s="70"/>
      <c r="N517" s="70"/>
      <c r="O517" s="40"/>
      <c r="P517" s="23"/>
      <c r="Q517" s="23"/>
      <c r="R517" s="72"/>
      <c r="S517" s="72"/>
      <c r="T517" s="23"/>
      <c r="U517" s="40"/>
      <c r="V517" s="23"/>
      <c r="W517" s="72"/>
      <c r="X517" s="23"/>
      <c r="Y517" s="40"/>
      <c r="Z517" s="23"/>
      <c r="AA517" s="72"/>
      <c r="AB517" s="23"/>
      <c r="AC517" s="40"/>
      <c r="AD517" s="23"/>
      <c r="AE517" s="23"/>
    </row>
    <row r="518" spans="1:31">
      <c r="A518" s="23"/>
      <c r="B518" s="64"/>
      <c r="C518" s="62"/>
      <c r="D518" s="65"/>
      <c r="E518" s="65"/>
      <c r="F518" s="65"/>
      <c r="G518" s="67"/>
      <c r="H518" s="67"/>
      <c r="I518" s="71"/>
      <c r="J518" s="70"/>
      <c r="K518" s="23"/>
      <c r="L518" s="70"/>
      <c r="M518" s="70"/>
      <c r="N518" s="70"/>
      <c r="O518" s="40"/>
      <c r="P518" s="23"/>
      <c r="Q518" s="23"/>
      <c r="R518" s="72"/>
      <c r="S518" s="72"/>
      <c r="T518" s="23"/>
      <c r="U518" s="40"/>
      <c r="V518" s="23"/>
      <c r="W518" s="72"/>
      <c r="X518" s="23"/>
      <c r="Y518" s="40"/>
      <c r="Z518" s="23"/>
      <c r="AA518" s="72"/>
      <c r="AB518" s="23"/>
      <c r="AC518" s="40"/>
      <c r="AD518" s="23"/>
      <c r="AE518" s="23"/>
    </row>
    <row r="519" spans="1:31">
      <c r="A519" s="23"/>
      <c r="B519" s="64"/>
      <c r="C519" s="62"/>
      <c r="D519" s="65"/>
      <c r="E519" s="65"/>
      <c r="F519" s="65"/>
      <c r="G519" s="67"/>
      <c r="H519" s="67"/>
      <c r="I519" s="71"/>
      <c r="J519" s="70"/>
      <c r="K519" s="23"/>
      <c r="L519" s="70"/>
      <c r="M519" s="70"/>
      <c r="N519" s="70"/>
      <c r="O519" s="40"/>
      <c r="P519" s="23"/>
      <c r="Q519" s="23"/>
      <c r="R519" s="72"/>
      <c r="S519" s="72"/>
      <c r="T519" s="23"/>
      <c r="U519" s="40"/>
      <c r="V519" s="23"/>
      <c r="W519" s="72"/>
      <c r="X519" s="23"/>
      <c r="Y519" s="40"/>
      <c r="Z519" s="23"/>
      <c r="AA519" s="72"/>
      <c r="AB519" s="23"/>
      <c r="AC519" s="40"/>
      <c r="AD519" s="23"/>
      <c r="AE519" s="23"/>
    </row>
    <row r="520" spans="1:31">
      <c r="A520" s="23"/>
      <c r="B520" s="64"/>
      <c r="C520" s="62"/>
      <c r="D520" s="65"/>
      <c r="E520" s="65"/>
      <c r="F520" s="65"/>
      <c r="G520" s="67"/>
      <c r="H520" s="67"/>
      <c r="I520" s="71"/>
      <c r="J520" s="70"/>
      <c r="K520" s="23"/>
      <c r="L520" s="70"/>
      <c r="M520" s="70"/>
      <c r="N520" s="70"/>
      <c r="O520" s="40"/>
      <c r="P520" s="23"/>
      <c r="Q520" s="23"/>
      <c r="R520" s="72"/>
      <c r="S520" s="72"/>
      <c r="T520" s="23"/>
      <c r="U520" s="40"/>
      <c r="V520" s="23"/>
      <c r="W520" s="72"/>
      <c r="X520" s="23"/>
      <c r="Y520" s="40"/>
      <c r="Z520" s="23"/>
      <c r="AA520" s="72"/>
      <c r="AB520" s="23"/>
      <c r="AC520" s="40"/>
      <c r="AD520" s="23"/>
      <c r="AE520" s="23"/>
    </row>
    <row r="521" spans="1:31" ht="24" customHeight="1">
      <c r="A521" s="23"/>
      <c r="B521" s="64"/>
      <c r="C521" s="62"/>
      <c r="D521" s="65"/>
      <c r="E521" s="65"/>
      <c r="F521" s="65"/>
      <c r="G521" s="67"/>
      <c r="H521" s="67"/>
      <c r="I521" s="71"/>
      <c r="J521" s="70"/>
      <c r="K521" s="23"/>
      <c r="L521" s="70"/>
      <c r="M521" s="70"/>
      <c r="N521" s="70"/>
      <c r="O521" s="40"/>
      <c r="P521" s="23"/>
      <c r="Q521" s="23"/>
      <c r="R521" s="72"/>
      <c r="S521" s="72"/>
      <c r="T521" s="23"/>
      <c r="U521" s="40"/>
      <c r="V521" s="23"/>
      <c r="W521" s="72"/>
      <c r="X521" s="23"/>
      <c r="Y521" s="40"/>
      <c r="Z521" s="23"/>
      <c r="AA521" s="72"/>
      <c r="AB521" s="23"/>
      <c r="AC521" s="40"/>
      <c r="AD521" s="23"/>
      <c r="AE521" s="23"/>
    </row>
    <row r="522" spans="1:31">
      <c r="A522" s="23"/>
      <c r="B522" s="64"/>
      <c r="C522" s="62"/>
      <c r="D522" s="65"/>
      <c r="E522" s="65"/>
      <c r="F522" s="65"/>
      <c r="G522" s="67"/>
      <c r="H522" s="67"/>
      <c r="I522" s="71"/>
      <c r="J522" s="70"/>
      <c r="K522" s="23"/>
      <c r="L522" s="70"/>
      <c r="M522" s="70"/>
      <c r="N522" s="70"/>
      <c r="O522" s="40"/>
      <c r="P522" s="23"/>
      <c r="Q522" s="23"/>
      <c r="R522" s="72"/>
      <c r="S522" s="72"/>
      <c r="T522" s="23"/>
      <c r="U522" s="40"/>
      <c r="V522" s="23"/>
      <c r="W522" s="72"/>
      <c r="X522" s="23"/>
      <c r="Y522" s="40"/>
      <c r="Z522" s="23"/>
      <c r="AA522" s="72"/>
      <c r="AB522" s="23"/>
      <c r="AC522" s="40"/>
      <c r="AD522" s="23"/>
      <c r="AE522" s="23"/>
    </row>
    <row r="523" spans="1:31" ht="24" customHeight="1">
      <c r="A523" s="23"/>
      <c r="B523" s="64"/>
      <c r="C523" s="62"/>
      <c r="D523" s="65"/>
      <c r="E523" s="65"/>
      <c r="F523" s="65"/>
      <c r="G523" s="67"/>
      <c r="H523" s="67"/>
      <c r="I523" s="71"/>
      <c r="J523" s="70"/>
      <c r="K523" s="23"/>
      <c r="L523" s="70"/>
      <c r="M523" s="70"/>
      <c r="N523" s="70"/>
      <c r="O523" s="40"/>
      <c r="P523" s="23"/>
      <c r="Q523" s="23"/>
      <c r="R523" s="72"/>
      <c r="S523" s="72"/>
      <c r="T523" s="23"/>
      <c r="U523" s="40"/>
      <c r="V523" s="23"/>
      <c r="W523" s="72"/>
      <c r="X523" s="23"/>
      <c r="Y523" s="40"/>
      <c r="Z523" s="23"/>
      <c r="AA523" s="72"/>
      <c r="AB523" s="23"/>
      <c r="AC523" s="40"/>
      <c r="AD523" s="23"/>
      <c r="AE523" s="23"/>
    </row>
    <row r="524" spans="1:31">
      <c r="A524" s="23"/>
      <c r="B524" s="64"/>
      <c r="C524" s="62"/>
      <c r="D524" s="65"/>
      <c r="E524" s="65"/>
      <c r="F524" s="65"/>
      <c r="G524" s="67"/>
      <c r="H524" s="67"/>
      <c r="I524" s="71"/>
      <c r="J524" s="70"/>
      <c r="K524" s="23"/>
      <c r="L524" s="70"/>
      <c r="M524" s="70"/>
      <c r="N524" s="70"/>
      <c r="O524" s="40"/>
      <c r="P524" s="23"/>
      <c r="Q524" s="23"/>
      <c r="R524" s="72"/>
      <c r="S524" s="72"/>
      <c r="T524" s="23"/>
      <c r="U524" s="40"/>
      <c r="V524" s="23"/>
      <c r="W524" s="72"/>
      <c r="X524" s="23"/>
      <c r="Y524" s="40"/>
      <c r="Z524" s="23"/>
      <c r="AA524" s="72"/>
      <c r="AB524" s="23"/>
      <c r="AC524" s="40"/>
      <c r="AD524" s="23"/>
      <c r="AE524" s="23"/>
    </row>
    <row r="525" spans="1:31" ht="24" customHeight="1">
      <c r="A525" s="23"/>
      <c r="B525" s="64"/>
      <c r="C525" s="62"/>
      <c r="D525" s="65"/>
      <c r="E525" s="65"/>
      <c r="F525" s="65"/>
      <c r="G525" s="67"/>
      <c r="H525" s="67"/>
      <c r="I525" s="71"/>
      <c r="J525" s="70"/>
      <c r="K525" s="23"/>
      <c r="L525" s="70"/>
      <c r="M525" s="70"/>
      <c r="N525" s="70"/>
      <c r="O525" s="40"/>
      <c r="P525" s="23"/>
      <c r="Q525" s="23"/>
      <c r="R525" s="72"/>
      <c r="S525" s="72"/>
      <c r="T525" s="23"/>
      <c r="U525" s="40"/>
      <c r="V525" s="23"/>
      <c r="W525" s="72"/>
      <c r="X525" s="23"/>
      <c r="Y525" s="40"/>
      <c r="Z525" s="23"/>
      <c r="AA525" s="72"/>
      <c r="AB525" s="23"/>
      <c r="AC525" s="40"/>
      <c r="AD525" s="23"/>
      <c r="AE525" s="23"/>
    </row>
    <row r="526" spans="1:31">
      <c r="A526" s="23"/>
      <c r="B526" s="64"/>
      <c r="C526" s="62"/>
      <c r="D526" s="65"/>
      <c r="E526" s="65"/>
      <c r="F526" s="65"/>
      <c r="G526" s="67"/>
      <c r="H526" s="67"/>
      <c r="I526" s="71"/>
      <c r="J526" s="70"/>
      <c r="K526" s="23"/>
      <c r="L526" s="70"/>
      <c r="M526" s="70"/>
      <c r="N526" s="70"/>
      <c r="O526" s="40"/>
      <c r="P526" s="23"/>
      <c r="Q526" s="23"/>
      <c r="R526" s="72"/>
      <c r="S526" s="72"/>
      <c r="T526" s="23"/>
      <c r="U526" s="40"/>
      <c r="V526" s="23"/>
      <c r="W526" s="72"/>
      <c r="X526" s="23"/>
      <c r="Y526" s="40"/>
      <c r="Z526" s="23"/>
      <c r="AA526" s="72"/>
      <c r="AB526" s="23"/>
      <c r="AC526" s="40"/>
      <c r="AD526" s="23"/>
      <c r="AE526" s="23"/>
    </row>
    <row r="527" spans="1:31">
      <c r="A527" s="23"/>
      <c r="B527" s="64"/>
      <c r="C527" s="62"/>
      <c r="D527" s="65"/>
      <c r="E527" s="65"/>
      <c r="F527" s="65"/>
      <c r="G527" s="67"/>
      <c r="H527" s="67"/>
      <c r="I527" s="71"/>
      <c r="J527" s="70"/>
      <c r="K527" s="23"/>
      <c r="L527" s="70"/>
      <c r="M527" s="70"/>
      <c r="N527" s="70"/>
      <c r="O527" s="40"/>
      <c r="P527" s="23"/>
      <c r="Q527" s="23"/>
      <c r="R527" s="72"/>
      <c r="S527" s="72"/>
      <c r="T527" s="23"/>
      <c r="U527" s="40"/>
      <c r="V527" s="23"/>
      <c r="W527" s="72"/>
      <c r="X527" s="23"/>
      <c r="Y527" s="40"/>
      <c r="Z527" s="23"/>
      <c r="AA527" s="72"/>
      <c r="AB527" s="23"/>
      <c r="AC527" s="40"/>
      <c r="AD527" s="23"/>
      <c r="AE527" s="23"/>
    </row>
    <row r="528" spans="1:31">
      <c r="A528" s="23"/>
      <c r="B528" s="64"/>
      <c r="C528" s="62"/>
      <c r="D528" s="65"/>
      <c r="E528" s="65"/>
      <c r="F528" s="65"/>
      <c r="G528" s="67"/>
      <c r="H528" s="67"/>
      <c r="I528" s="71"/>
      <c r="J528" s="70"/>
      <c r="K528" s="23"/>
      <c r="L528" s="70"/>
      <c r="M528" s="70"/>
      <c r="N528" s="70"/>
      <c r="O528" s="40"/>
      <c r="P528" s="23"/>
      <c r="Q528" s="23"/>
      <c r="R528" s="72"/>
      <c r="S528" s="72"/>
      <c r="T528" s="23"/>
      <c r="U528" s="40"/>
      <c r="V528" s="23"/>
      <c r="W528" s="72"/>
      <c r="X528" s="23"/>
      <c r="Y528" s="40"/>
      <c r="Z528" s="23"/>
      <c r="AA528" s="72"/>
      <c r="AB528" s="23"/>
      <c r="AC528" s="40"/>
      <c r="AD528" s="23"/>
      <c r="AE528" s="23"/>
    </row>
    <row r="529" spans="1:31">
      <c r="A529" s="23"/>
      <c r="B529" s="64"/>
      <c r="C529" s="62"/>
      <c r="D529" s="65"/>
      <c r="E529" s="65"/>
      <c r="F529" s="65"/>
      <c r="G529" s="67"/>
      <c r="H529" s="67"/>
      <c r="I529" s="71"/>
      <c r="J529" s="70"/>
      <c r="K529" s="23"/>
      <c r="L529" s="70"/>
      <c r="M529" s="70"/>
      <c r="N529" s="70"/>
      <c r="O529" s="40"/>
      <c r="P529" s="23"/>
      <c r="Q529" s="23"/>
      <c r="R529" s="72"/>
      <c r="S529" s="72"/>
      <c r="T529" s="23"/>
      <c r="U529" s="40"/>
      <c r="V529" s="23"/>
      <c r="W529" s="72"/>
      <c r="X529" s="23"/>
      <c r="Y529" s="40"/>
      <c r="Z529" s="23"/>
      <c r="AA529" s="72"/>
      <c r="AB529" s="23"/>
      <c r="AC529" s="40"/>
      <c r="AD529" s="23"/>
      <c r="AE529" s="23"/>
    </row>
    <row r="530" spans="1:31">
      <c r="A530" s="23"/>
      <c r="B530" s="64"/>
      <c r="C530" s="62"/>
      <c r="D530" s="65"/>
      <c r="E530" s="65"/>
      <c r="F530" s="65"/>
      <c r="G530" s="67"/>
      <c r="H530" s="67"/>
      <c r="I530" s="71"/>
      <c r="J530" s="70"/>
      <c r="K530" s="23"/>
      <c r="L530" s="70"/>
      <c r="M530" s="70"/>
      <c r="N530" s="70"/>
      <c r="O530" s="40"/>
      <c r="P530" s="23"/>
      <c r="Q530" s="23"/>
      <c r="R530" s="72"/>
      <c r="S530" s="72"/>
      <c r="T530" s="23"/>
      <c r="U530" s="40"/>
      <c r="V530" s="23"/>
      <c r="W530" s="72"/>
      <c r="X530" s="23"/>
      <c r="Y530" s="40"/>
      <c r="Z530" s="23"/>
      <c r="AA530" s="72"/>
      <c r="AB530" s="23"/>
      <c r="AC530" s="40"/>
      <c r="AD530" s="23"/>
      <c r="AE530" s="23"/>
    </row>
    <row r="531" spans="1:31">
      <c r="A531" s="23"/>
      <c r="B531" s="64"/>
      <c r="C531" s="62"/>
      <c r="D531" s="65"/>
      <c r="E531" s="65"/>
      <c r="F531" s="65"/>
      <c r="G531" s="67"/>
      <c r="H531" s="67"/>
      <c r="I531" s="71"/>
      <c r="J531" s="70"/>
      <c r="K531" s="23"/>
      <c r="L531" s="70"/>
      <c r="M531" s="70"/>
      <c r="N531" s="70"/>
      <c r="O531" s="40"/>
      <c r="P531" s="23"/>
      <c r="Q531" s="23"/>
      <c r="R531" s="72"/>
      <c r="S531" s="72"/>
      <c r="T531" s="23"/>
      <c r="U531" s="40"/>
      <c r="V531" s="23"/>
      <c r="W531" s="72"/>
      <c r="X531" s="23"/>
      <c r="Y531" s="40"/>
      <c r="Z531" s="23"/>
      <c r="AA531" s="72"/>
      <c r="AB531" s="23"/>
      <c r="AC531" s="40"/>
      <c r="AD531" s="23"/>
      <c r="AE531" s="23"/>
    </row>
    <row r="532" spans="1:31">
      <c r="A532" s="23"/>
      <c r="B532" s="64"/>
      <c r="C532" s="62"/>
      <c r="D532" s="65"/>
      <c r="E532" s="65"/>
      <c r="F532" s="65"/>
      <c r="G532" s="67"/>
      <c r="H532" s="67"/>
      <c r="I532" s="71"/>
      <c r="J532" s="70"/>
      <c r="K532" s="23"/>
      <c r="L532" s="70"/>
      <c r="M532" s="70"/>
      <c r="N532" s="70"/>
      <c r="O532" s="40"/>
      <c r="P532" s="23"/>
      <c r="Q532" s="23"/>
      <c r="R532" s="72"/>
      <c r="S532" s="72"/>
      <c r="T532" s="23"/>
      <c r="U532" s="40"/>
      <c r="V532" s="23"/>
      <c r="W532" s="72"/>
      <c r="X532" s="23"/>
      <c r="Y532" s="40"/>
      <c r="Z532" s="23"/>
      <c r="AA532" s="72"/>
      <c r="AB532" s="23"/>
      <c r="AC532" s="40"/>
      <c r="AD532" s="23"/>
      <c r="AE532" s="23"/>
    </row>
    <row r="533" spans="1:31">
      <c r="A533" s="23"/>
      <c r="B533" s="64"/>
      <c r="C533" s="62"/>
      <c r="D533" s="65"/>
      <c r="E533" s="65"/>
      <c r="F533" s="65"/>
      <c r="G533" s="67"/>
      <c r="H533" s="67"/>
      <c r="I533" s="71"/>
      <c r="J533" s="70"/>
      <c r="K533" s="23"/>
      <c r="L533" s="70"/>
      <c r="M533" s="70"/>
      <c r="N533" s="70"/>
      <c r="O533" s="40"/>
      <c r="P533" s="23"/>
      <c r="Q533" s="23"/>
      <c r="R533" s="72"/>
      <c r="S533" s="72"/>
      <c r="T533" s="23"/>
      <c r="U533" s="40"/>
      <c r="V533" s="23"/>
      <c r="W533" s="72"/>
      <c r="X533" s="23"/>
      <c r="Y533" s="40"/>
      <c r="Z533" s="23"/>
      <c r="AA533" s="72"/>
      <c r="AB533" s="23"/>
      <c r="AC533" s="40"/>
      <c r="AD533" s="23"/>
      <c r="AE533" s="23"/>
    </row>
    <row r="534" spans="1:31">
      <c r="A534" s="23"/>
      <c r="B534" s="64"/>
      <c r="C534" s="62"/>
      <c r="D534" s="65"/>
      <c r="E534" s="65"/>
      <c r="F534" s="65"/>
      <c r="G534" s="67"/>
      <c r="H534" s="67"/>
      <c r="I534" s="71"/>
      <c r="J534" s="70"/>
      <c r="K534" s="23"/>
      <c r="L534" s="70"/>
      <c r="M534" s="70"/>
      <c r="N534" s="70"/>
      <c r="O534" s="40"/>
      <c r="P534" s="23"/>
      <c r="Q534" s="23"/>
      <c r="R534" s="72"/>
      <c r="S534" s="72"/>
      <c r="T534" s="23"/>
      <c r="U534" s="40"/>
      <c r="V534" s="23"/>
      <c r="W534" s="72"/>
      <c r="X534" s="23"/>
      <c r="Y534" s="40"/>
      <c r="Z534" s="23"/>
      <c r="AA534" s="72"/>
      <c r="AB534" s="23"/>
      <c r="AC534" s="40"/>
      <c r="AD534" s="23"/>
      <c r="AE534" s="23"/>
    </row>
    <row r="535" spans="1:31">
      <c r="A535" s="23"/>
      <c r="B535" s="64"/>
      <c r="C535" s="62"/>
      <c r="D535" s="65"/>
      <c r="E535" s="65"/>
      <c r="F535" s="65"/>
      <c r="G535" s="67"/>
      <c r="H535" s="67"/>
      <c r="I535" s="71"/>
      <c r="J535" s="70"/>
      <c r="K535" s="23"/>
      <c r="L535" s="70"/>
      <c r="M535" s="70"/>
      <c r="N535" s="70"/>
      <c r="O535" s="40"/>
      <c r="P535" s="23"/>
      <c r="Q535" s="23"/>
      <c r="R535" s="72"/>
      <c r="S535" s="72"/>
      <c r="T535" s="23"/>
      <c r="U535" s="40"/>
      <c r="V535" s="23"/>
      <c r="W535" s="72"/>
      <c r="X535" s="23"/>
      <c r="Y535" s="40"/>
      <c r="Z535" s="23"/>
      <c r="AA535" s="72"/>
      <c r="AB535" s="23"/>
      <c r="AC535" s="40"/>
      <c r="AD535" s="23"/>
      <c r="AE535" s="23"/>
    </row>
    <row r="536" spans="1:31">
      <c r="A536" s="23"/>
      <c r="B536" s="64"/>
      <c r="C536" s="62"/>
      <c r="D536" s="65"/>
      <c r="E536" s="65"/>
      <c r="F536" s="65"/>
      <c r="G536" s="67"/>
      <c r="H536" s="67"/>
      <c r="I536" s="71"/>
      <c r="J536" s="70"/>
      <c r="K536" s="23"/>
      <c r="L536" s="70"/>
      <c r="M536" s="70"/>
      <c r="N536" s="70"/>
      <c r="O536" s="40"/>
      <c r="P536" s="23"/>
      <c r="Q536" s="23"/>
      <c r="R536" s="72"/>
      <c r="S536" s="72"/>
      <c r="T536" s="23"/>
      <c r="U536" s="40"/>
      <c r="V536" s="23"/>
      <c r="W536" s="72"/>
      <c r="X536" s="23"/>
      <c r="Y536" s="40"/>
      <c r="Z536" s="23"/>
      <c r="AA536" s="72"/>
      <c r="AB536" s="23"/>
      <c r="AC536" s="40"/>
      <c r="AD536" s="23"/>
      <c r="AE536" s="23"/>
    </row>
    <row r="537" spans="1:31">
      <c r="A537" s="23"/>
      <c r="B537" s="64"/>
      <c r="C537" s="62"/>
      <c r="D537" s="65"/>
      <c r="E537" s="65"/>
      <c r="F537" s="65"/>
      <c r="G537" s="67"/>
      <c r="H537" s="67"/>
      <c r="I537" s="71"/>
      <c r="J537" s="70"/>
      <c r="K537" s="23"/>
      <c r="L537" s="70"/>
      <c r="M537" s="70"/>
      <c r="N537" s="70"/>
      <c r="O537" s="40"/>
      <c r="P537" s="23"/>
      <c r="Q537" s="23"/>
      <c r="R537" s="72"/>
      <c r="S537" s="72"/>
      <c r="T537" s="23"/>
      <c r="U537" s="40"/>
      <c r="V537" s="23"/>
      <c r="W537" s="72"/>
      <c r="X537" s="23"/>
      <c r="Y537" s="40"/>
      <c r="Z537" s="23"/>
      <c r="AA537" s="72"/>
      <c r="AB537" s="23"/>
      <c r="AC537" s="40"/>
      <c r="AD537" s="23"/>
      <c r="AE537" s="23"/>
    </row>
    <row r="538" spans="1:31">
      <c r="A538" s="23"/>
      <c r="B538" s="64"/>
      <c r="C538" s="62"/>
      <c r="D538" s="65"/>
      <c r="E538" s="65"/>
      <c r="F538" s="65"/>
      <c r="G538" s="67"/>
      <c r="H538" s="67"/>
      <c r="I538" s="71"/>
      <c r="J538" s="70"/>
      <c r="K538" s="23"/>
      <c r="L538" s="70"/>
      <c r="M538" s="70"/>
      <c r="N538" s="70"/>
      <c r="O538" s="40"/>
      <c r="P538" s="23"/>
      <c r="Q538" s="23"/>
      <c r="R538" s="72"/>
      <c r="S538" s="72"/>
      <c r="T538" s="23"/>
      <c r="U538" s="40"/>
      <c r="V538" s="23"/>
      <c r="W538" s="72"/>
      <c r="X538" s="23"/>
      <c r="Y538" s="40"/>
      <c r="Z538" s="23"/>
      <c r="AA538" s="72"/>
      <c r="AB538" s="23"/>
      <c r="AC538" s="40"/>
      <c r="AD538" s="23"/>
      <c r="AE538" s="23"/>
    </row>
    <row r="539" spans="1:31">
      <c r="A539" s="23"/>
      <c r="B539" s="64"/>
      <c r="C539" s="62"/>
      <c r="D539" s="65"/>
      <c r="E539" s="65"/>
      <c r="F539" s="65"/>
      <c r="G539" s="67"/>
      <c r="H539" s="67"/>
      <c r="I539" s="71"/>
      <c r="J539" s="70"/>
      <c r="K539" s="23"/>
      <c r="L539" s="70"/>
      <c r="M539" s="70"/>
      <c r="N539" s="70"/>
      <c r="O539" s="40"/>
      <c r="P539" s="23"/>
      <c r="Q539" s="23"/>
      <c r="R539" s="72" t="s">
        <v>63</v>
      </c>
      <c r="S539" s="72"/>
      <c r="T539" s="23"/>
      <c r="U539" s="40"/>
      <c r="V539" s="23"/>
      <c r="W539" s="72"/>
      <c r="X539" s="23"/>
      <c r="Y539" s="40"/>
      <c r="Z539" s="23"/>
      <c r="AA539" s="72"/>
      <c r="AB539" s="23"/>
      <c r="AC539" s="40"/>
      <c r="AD539" s="23"/>
      <c r="AE539" s="23"/>
    </row>
    <row r="540" spans="1:31">
      <c r="A540" s="23"/>
      <c r="B540" s="64"/>
      <c r="C540" s="62"/>
      <c r="D540" s="65"/>
      <c r="E540" s="65"/>
      <c r="F540" s="65"/>
      <c r="G540" s="67"/>
      <c r="H540" s="67"/>
      <c r="I540" s="71"/>
      <c r="J540" s="70"/>
      <c r="K540" s="23"/>
      <c r="L540" s="70"/>
      <c r="M540" s="70"/>
      <c r="N540" s="70"/>
      <c r="O540" s="40"/>
      <c r="P540" s="23"/>
      <c r="Q540" s="23"/>
      <c r="R540" s="72"/>
      <c r="S540" s="72"/>
      <c r="T540" s="23"/>
      <c r="U540" s="40"/>
      <c r="V540" s="23"/>
      <c r="W540" s="72"/>
      <c r="X540" s="23"/>
      <c r="Y540" s="40"/>
      <c r="Z540" s="23"/>
      <c r="AA540" s="72"/>
      <c r="AB540" s="23"/>
      <c r="AC540" s="40"/>
      <c r="AD540" s="23"/>
      <c r="AE540" s="23"/>
    </row>
    <row r="541" spans="1:31" ht="12.75">
      <c r="A541" s="23"/>
      <c r="B541" s="64"/>
      <c r="C541" s="62"/>
      <c r="D541" s="92"/>
      <c r="E541" s="65"/>
      <c r="F541" s="65"/>
      <c r="G541" s="67"/>
      <c r="H541" s="67"/>
      <c r="I541" s="71"/>
      <c r="J541" s="70"/>
      <c r="K541" s="23"/>
      <c r="L541" s="70"/>
      <c r="M541" s="70"/>
      <c r="N541" s="70"/>
      <c r="O541" s="40"/>
      <c r="P541" s="23"/>
      <c r="Q541" s="23"/>
      <c r="R541" s="72"/>
      <c r="S541" s="72"/>
      <c r="T541" s="23"/>
      <c r="U541" s="40"/>
      <c r="V541" s="23"/>
      <c r="W541" s="72"/>
      <c r="X541" s="23"/>
      <c r="Y541" s="40"/>
      <c r="Z541" s="23"/>
      <c r="AA541" s="72"/>
      <c r="AB541" s="23"/>
      <c r="AC541" s="40"/>
      <c r="AD541" s="23"/>
      <c r="AE541" s="23"/>
    </row>
    <row r="542" spans="1:31" ht="12.75">
      <c r="A542" s="23"/>
      <c r="B542" s="64"/>
      <c r="C542" s="62"/>
      <c r="D542" s="92"/>
      <c r="E542" s="65"/>
      <c r="F542" s="65"/>
      <c r="G542" s="67"/>
      <c r="H542" s="67"/>
      <c r="I542" s="71"/>
      <c r="J542" s="70"/>
      <c r="K542" s="23"/>
      <c r="L542" s="70"/>
      <c r="M542" s="70"/>
      <c r="N542" s="70"/>
      <c r="O542" s="40"/>
      <c r="P542" s="23"/>
      <c r="Q542" s="23"/>
      <c r="R542" s="72"/>
      <c r="S542" s="72"/>
      <c r="T542" s="23"/>
      <c r="U542" s="40"/>
      <c r="V542" s="23"/>
      <c r="W542" s="72"/>
      <c r="X542" s="23"/>
      <c r="Y542" s="40"/>
      <c r="Z542" s="23"/>
      <c r="AA542" s="72"/>
      <c r="AB542" s="23"/>
      <c r="AC542" s="40"/>
      <c r="AD542" s="23"/>
      <c r="AE542" s="23"/>
    </row>
    <row r="543" spans="1:31" ht="12.75">
      <c r="A543" s="23"/>
      <c r="B543" s="64"/>
      <c r="C543" s="62"/>
      <c r="D543" s="92"/>
      <c r="E543" s="65"/>
      <c r="F543" s="65"/>
      <c r="G543" s="67"/>
      <c r="H543" s="67"/>
      <c r="I543" s="71"/>
      <c r="J543" s="70"/>
      <c r="K543" s="23"/>
      <c r="L543" s="70"/>
      <c r="M543" s="70"/>
      <c r="N543" s="70"/>
      <c r="O543" s="40"/>
      <c r="P543" s="23"/>
      <c r="Q543" s="23"/>
      <c r="R543" s="72"/>
      <c r="S543" s="72"/>
      <c r="T543" s="23"/>
      <c r="U543" s="40"/>
      <c r="V543" s="23"/>
      <c r="W543" s="72"/>
      <c r="X543" s="23"/>
      <c r="Y543" s="40"/>
      <c r="Z543" s="23"/>
      <c r="AA543" s="72"/>
      <c r="AB543" s="23"/>
      <c r="AC543" s="40"/>
      <c r="AD543" s="23"/>
      <c r="AE543" s="23"/>
    </row>
    <row r="544" spans="1:31" ht="12.75">
      <c r="A544" s="23"/>
      <c r="B544" s="64"/>
      <c r="C544" s="62"/>
      <c r="D544" s="92"/>
      <c r="E544" s="65"/>
      <c r="F544" s="65"/>
      <c r="G544" s="67"/>
      <c r="H544" s="67"/>
      <c r="I544" s="71"/>
      <c r="J544" s="70"/>
      <c r="K544" s="23"/>
      <c r="L544" s="70"/>
      <c r="M544" s="70"/>
      <c r="N544" s="70"/>
      <c r="O544" s="40"/>
      <c r="P544" s="23"/>
      <c r="Q544" s="23"/>
      <c r="R544" s="72"/>
      <c r="S544" s="72"/>
      <c r="T544" s="23"/>
      <c r="U544" s="40"/>
      <c r="V544" s="23"/>
      <c r="W544" s="72"/>
      <c r="X544" s="23"/>
      <c r="Y544" s="40"/>
      <c r="Z544" s="23"/>
      <c r="AA544" s="72"/>
      <c r="AB544" s="23"/>
      <c r="AC544" s="40"/>
      <c r="AD544" s="23"/>
      <c r="AE544" s="23"/>
    </row>
    <row r="545" spans="1:31" ht="12.75">
      <c r="A545" s="23"/>
      <c r="B545" s="64"/>
      <c r="C545" s="62"/>
      <c r="D545" s="92"/>
      <c r="E545" s="65"/>
      <c r="F545" s="65"/>
      <c r="G545" s="67"/>
      <c r="H545" s="67"/>
      <c r="I545" s="71"/>
      <c r="J545" s="70"/>
      <c r="K545" s="23"/>
      <c r="L545" s="70"/>
      <c r="M545" s="70"/>
      <c r="N545" s="70"/>
      <c r="O545" s="40"/>
      <c r="P545" s="23"/>
      <c r="Q545" s="23"/>
      <c r="R545" s="72"/>
      <c r="S545" s="72"/>
      <c r="T545" s="23"/>
      <c r="U545" s="40"/>
      <c r="V545" s="23"/>
      <c r="W545" s="72"/>
      <c r="X545" s="23"/>
      <c r="Y545" s="40"/>
      <c r="Z545" s="23"/>
      <c r="AA545" s="72"/>
      <c r="AB545" s="23"/>
      <c r="AC545" s="40"/>
      <c r="AD545" s="23"/>
      <c r="AE545" s="23"/>
    </row>
    <row r="546" spans="1:31" ht="12.75">
      <c r="A546" s="23"/>
      <c r="B546" s="64"/>
      <c r="C546" s="62"/>
      <c r="D546" s="92"/>
      <c r="E546" s="65"/>
      <c r="F546" s="65"/>
      <c r="G546" s="67"/>
      <c r="H546" s="67"/>
      <c r="I546" s="71"/>
      <c r="J546" s="70"/>
      <c r="K546" s="23"/>
      <c r="L546" s="70"/>
      <c r="M546" s="70"/>
      <c r="N546" s="70"/>
      <c r="O546" s="40"/>
      <c r="P546" s="23"/>
      <c r="Q546" s="23"/>
      <c r="R546" s="72"/>
      <c r="S546" s="72"/>
      <c r="T546" s="23"/>
      <c r="U546" s="40"/>
      <c r="V546" s="23"/>
      <c r="W546" s="72"/>
      <c r="X546" s="23"/>
      <c r="Y546" s="40"/>
      <c r="Z546" s="23"/>
      <c r="AA546" s="72"/>
      <c r="AB546" s="23"/>
      <c r="AC546" s="40"/>
      <c r="AD546" s="23"/>
      <c r="AE546" s="23"/>
    </row>
    <row r="547" spans="1:31" ht="12.75">
      <c r="A547" s="23"/>
      <c r="B547" s="64"/>
      <c r="C547" s="62"/>
      <c r="D547" s="92"/>
      <c r="E547" s="65"/>
      <c r="F547" s="65"/>
      <c r="G547" s="67"/>
      <c r="H547" s="67"/>
      <c r="I547" s="71"/>
      <c r="J547" s="70"/>
      <c r="K547" s="23"/>
      <c r="L547" s="70"/>
      <c r="M547" s="70"/>
      <c r="N547" s="70"/>
      <c r="O547" s="40"/>
      <c r="P547" s="23"/>
      <c r="Q547" s="23"/>
      <c r="R547" s="72"/>
      <c r="S547" s="72"/>
      <c r="T547" s="23"/>
      <c r="U547" s="40"/>
      <c r="V547" s="23"/>
      <c r="W547" s="72"/>
      <c r="X547" s="23"/>
      <c r="Y547" s="40"/>
      <c r="Z547" s="23"/>
      <c r="AA547" s="72"/>
      <c r="AB547" s="23"/>
      <c r="AC547" s="40"/>
      <c r="AD547" s="23"/>
      <c r="AE547" s="23"/>
    </row>
    <row r="548" spans="1:31" ht="12.75">
      <c r="A548" s="23"/>
      <c r="B548" s="64"/>
      <c r="C548" s="62"/>
      <c r="D548" s="92"/>
      <c r="E548" s="65"/>
      <c r="F548" s="65"/>
      <c r="G548" s="67"/>
      <c r="H548" s="67"/>
      <c r="I548" s="71"/>
      <c r="J548" s="70"/>
      <c r="K548" s="23"/>
      <c r="L548" s="70"/>
      <c r="M548" s="70"/>
      <c r="N548" s="70"/>
      <c r="O548" s="40"/>
      <c r="P548" s="23"/>
      <c r="Q548" s="23"/>
      <c r="R548" s="72"/>
      <c r="S548" s="72"/>
      <c r="T548" s="23"/>
      <c r="U548" s="40"/>
      <c r="V548" s="23"/>
      <c r="W548" s="72"/>
      <c r="X548" s="23"/>
      <c r="Y548" s="40"/>
      <c r="Z548" s="23"/>
      <c r="AA548" s="72"/>
      <c r="AB548" s="23"/>
      <c r="AC548" s="40"/>
      <c r="AD548" s="23"/>
      <c r="AE548" s="23"/>
    </row>
    <row r="549" spans="1:31" ht="12.75">
      <c r="A549" s="23"/>
      <c r="B549" s="64"/>
      <c r="C549" s="62"/>
      <c r="D549" s="92"/>
      <c r="E549" s="65"/>
      <c r="F549" s="65"/>
      <c r="G549" s="67"/>
      <c r="H549" s="67"/>
      <c r="I549" s="71"/>
      <c r="J549" s="70"/>
      <c r="K549" s="23"/>
      <c r="L549" s="70"/>
      <c r="M549" s="70"/>
      <c r="N549" s="70"/>
      <c r="O549" s="40"/>
      <c r="P549" s="23"/>
      <c r="Q549" s="23"/>
      <c r="R549" s="72"/>
      <c r="S549" s="72"/>
      <c r="T549" s="23"/>
      <c r="U549" s="40"/>
      <c r="V549" s="23"/>
      <c r="W549" s="72"/>
      <c r="X549" s="23"/>
      <c r="Y549" s="40"/>
      <c r="Z549" s="23"/>
      <c r="AA549" s="72"/>
      <c r="AB549" s="23"/>
      <c r="AC549" s="40"/>
      <c r="AD549" s="23"/>
      <c r="AE549" s="23"/>
    </row>
    <row r="550" spans="1:31" ht="12.75">
      <c r="A550" s="23"/>
      <c r="B550" s="64"/>
      <c r="C550" s="62"/>
      <c r="D550" s="92"/>
      <c r="E550" s="65"/>
      <c r="F550" s="65"/>
      <c r="G550" s="67"/>
      <c r="H550" s="67"/>
      <c r="I550" s="71"/>
      <c r="J550" s="70"/>
      <c r="K550" s="23"/>
      <c r="L550" s="70"/>
      <c r="M550" s="70"/>
      <c r="N550" s="70"/>
      <c r="O550" s="40"/>
      <c r="P550" s="23"/>
      <c r="Q550" s="23"/>
      <c r="R550" s="72"/>
      <c r="S550" s="72"/>
      <c r="T550" s="23"/>
      <c r="U550" s="40"/>
      <c r="V550" s="23"/>
      <c r="W550" s="72"/>
      <c r="X550" s="23"/>
      <c r="Y550" s="40"/>
      <c r="Z550" s="23"/>
      <c r="AA550" s="72"/>
      <c r="AB550" s="23"/>
      <c r="AC550" s="40"/>
      <c r="AD550" s="23"/>
      <c r="AE550" s="23"/>
    </row>
    <row r="551" spans="1:31" ht="12.75">
      <c r="A551" s="23"/>
      <c r="B551" s="64"/>
      <c r="C551" s="62"/>
      <c r="D551" s="92"/>
      <c r="E551" s="65"/>
      <c r="F551" s="65"/>
      <c r="G551" s="67"/>
      <c r="H551" s="67"/>
      <c r="I551" s="71"/>
      <c r="J551" s="70"/>
      <c r="K551" s="23"/>
      <c r="L551" s="70"/>
      <c r="M551" s="70"/>
      <c r="N551" s="70"/>
      <c r="O551" s="40"/>
      <c r="P551" s="23"/>
      <c r="Q551" s="23"/>
      <c r="R551" s="72"/>
      <c r="S551" s="72"/>
      <c r="T551" s="23"/>
      <c r="U551" s="40"/>
      <c r="V551" s="23"/>
      <c r="W551" s="72"/>
      <c r="X551" s="23"/>
      <c r="Y551" s="40"/>
      <c r="Z551" s="23"/>
      <c r="AA551" s="72"/>
      <c r="AB551" s="23"/>
      <c r="AC551" s="40"/>
      <c r="AD551" s="23"/>
      <c r="AE551" s="23"/>
    </row>
    <row r="552" spans="1:31" ht="12.75">
      <c r="A552" s="23"/>
      <c r="B552" s="64"/>
      <c r="C552" s="62"/>
      <c r="D552" s="92"/>
      <c r="E552" s="65"/>
      <c r="F552" s="65"/>
      <c r="G552" s="67"/>
      <c r="H552" s="67"/>
      <c r="I552" s="71"/>
      <c r="J552" s="70"/>
      <c r="K552" s="23"/>
      <c r="L552" s="70"/>
      <c r="M552" s="70"/>
      <c r="N552" s="70"/>
      <c r="O552" s="40"/>
      <c r="P552" s="23"/>
      <c r="Q552" s="23"/>
      <c r="R552" s="72"/>
      <c r="S552" s="72"/>
      <c r="T552" s="23"/>
      <c r="U552" s="40"/>
      <c r="V552" s="23"/>
      <c r="W552" s="72"/>
      <c r="X552" s="23"/>
      <c r="Y552" s="40"/>
      <c r="Z552" s="23"/>
      <c r="AA552" s="72"/>
      <c r="AB552" s="23"/>
      <c r="AC552" s="40"/>
      <c r="AD552" s="23"/>
      <c r="AE552" s="23"/>
    </row>
    <row r="553" spans="1:31" ht="12.75">
      <c r="A553" s="23"/>
      <c r="B553" s="64"/>
      <c r="C553" s="62"/>
      <c r="D553" s="92"/>
      <c r="E553" s="65"/>
      <c r="F553" s="65"/>
      <c r="G553" s="67"/>
      <c r="H553" s="67"/>
      <c r="I553" s="71"/>
      <c r="J553" s="70"/>
      <c r="K553" s="23"/>
      <c r="L553" s="70"/>
      <c r="M553" s="70"/>
      <c r="N553" s="70"/>
      <c r="O553" s="40"/>
      <c r="P553" s="23"/>
      <c r="Q553" s="23"/>
      <c r="R553" s="72"/>
      <c r="S553" s="72"/>
      <c r="T553" s="23"/>
      <c r="U553" s="40"/>
      <c r="V553" s="23"/>
      <c r="W553" s="72"/>
      <c r="X553" s="23"/>
      <c r="Y553" s="40"/>
      <c r="Z553" s="23"/>
      <c r="AA553" s="72"/>
      <c r="AB553" s="23"/>
      <c r="AC553" s="40"/>
      <c r="AD553" s="23"/>
      <c r="AE553" s="23"/>
    </row>
    <row r="554" spans="1:31" ht="12.75">
      <c r="A554" s="23"/>
      <c r="B554" s="64"/>
      <c r="C554" s="62"/>
      <c r="D554" s="92"/>
      <c r="E554" s="65"/>
      <c r="F554" s="65"/>
      <c r="G554" s="67"/>
      <c r="H554" s="67"/>
      <c r="I554" s="71"/>
      <c r="J554" s="70"/>
      <c r="K554" s="23"/>
      <c r="L554" s="70"/>
      <c r="M554" s="70"/>
      <c r="N554" s="70"/>
      <c r="O554" s="40"/>
      <c r="P554" s="23"/>
      <c r="Q554" s="23"/>
      <c r="R554" s="72"/>
      <c r="S554" s="72"/>
      <c r="T554" s="23"/>
      <c r="U554" s="40"/>
      <c r="V554" s="23"/>
      <c r="W554" s="72"/>
      <c r="X554" s="23"/>
      <c r="Y554" s="40"/>
      <c r="Z554" s="23"/>
      <c r="AA554" s="72"/>
      <c r="AB554" s="23"/>
      <c r="AC554" s="40"/>
      <c r="AD554" s="23"/>
      <c r="AE554" s="23"/>
    </row>
    <row r="555" spans="1:31" ht="12.75">
      <c r="A555" s="23"/>
      <c r="B555" s="64"/>
      <c r="C555" s="62"/>
      <c r="D555" s="92"/>
      <c r="E555" s="65"/>
      <c r="F555" s="65"/>
      <c r="G555" s="67"/>
      <c r="H555" s="67"/>
      <c r="I555" s="71"/>
      <c r="J555" s="70"/>
      <c r="K555" s="23"/>
      <c r="L555" s="70"/>
      <c r="M555" s="70"/>
      <c r="N555" s="70"/>
      <c r="O555" s="40"/>
      <c r="P555" s="23"/>
      <c r="Q555" s="23"/>
      <c r="R555" s="72"/>
      <c r="S555" s="72"/>
      <c r="T555" s="23"/>
      <c r="U555" s="40"/>
      <c r="V555" s="23"/>
      <c r="W555" s="72"/>
      <c r="X555" s="23"/>
      <c r="Y555" s="40"/>
      <c r="Z555" s="23"/>
      <c r="AA555" s="72"/>
      <c r="AB555" s="23"/>
      <c r="AC555" s="40"/>
      <c r="AD555" s="23"/>
      <c r="AE555" s="23"/>
    </row>
    <row r="556" spans="1:31" ht="12.75">
      <c r="A556" s="23"/>
      <c r="B556" s="64"/>
      <c r="C556" s="62"/>
      <c r="D556" s="92"/>
      <c r="E556" s="65"/>
      <c r="F556" s="65"/>
      <c r="G556" s="67"/>
      <c r="H556" s="67"/>
      <c r="I556" s="71"/>
      <c r="J556" s="70"/>
      <c r="K556" s="23"/>
      <c r="L556" s="70"/>
      <c r="M556" s="70"/>
      <c r="N556" s="70"/>
      <c r="O556" s="40"/>
      <c r="P556" s="23"/>
      <c r="Q556" s="23"/>
      <c r="R556" s="72"/>
      <c r="S556" s="72"/>
      <c r="T556" s="23"/>
      <c r="U556" s="40"/>
      <c r="V556" s="23"/>
      <c r="W556" s="72"/>
      <c r="X556" s="23"/>
      <c r="Y556" s="40"/>
      <c r="Z556" s="23"/>
      <c r="AA556" s="72"/>
      <c r="AB556" s="23"/>
      <c r="AC556" s="40"/>
      <c r="AD556" s="23"/>
      <c r="AE556" s="23"/>
    </row>
    <row r="557" spans="1:31" ht="12.75">
      <c r="A557" s="23"/>
      <c r="B557" s="64"/>
      <c r="C557" s="62"/>
      <c r="D557" s="92"/>
      <c r="E557" s="65"/>
      <c r="F557" s="65"/>
      <c r="G557" s="67"/>
      <c r="H557" s="67"/>
      <c r="I557" s="71"/>
      <c r="J557" s="70"/>
      <c r="K557" s="23"/>
      <c r="L557" s="70"/>
      <c r="M557" s="70"/>
      <c r="N557" s="70"/>
      <c r="O557" s="40"/>
      <c r="P557" s="23"/>
      <c r="Q557" s="23"/>
      <c r="R557" s="72"/>
      <c r="S557" s="72"/>
      <c r="T557" s="23"/>
      <c r="U557" s="40"/>
      <c r="V557" s="23"/>
      <c r="W557" s="72"/>
      <c r="X557" s="23"/>
      <c r="Y557" s="40"/>
      <c r="Z557" s="23"/>
      <c r="AA557" s="72"/>
      <c r="AB557" s="23"/>
      <c r="AC557" s="40"/>
      <c r="AD557" s="23"/>
      <c r="AE557" s="23"/>
    </row>
    <row r="558" spans="1:31" ht="12.75">
      <c r="A558" s="23"/>
      <c r="B558" s="64"/>
      <c r="C558" s="62"/>
      <c r="D558" s="92"/>
      <c r="E558" s="65"/>
      <c r="F558" s="65"/>
      <c r="G558" s="67"/>
      <c r="H558" s="67"/>
      <c r="I558" s="71"/>
      <c r="J558" s="70"/>
      <c r="K558" s="23"/>
      <c r="L558" s="70"/>
      <c r="M558" s="70"/>
      <c r="N558" s="70"/>
      <c r="O558" s="40"/>
      <c r="P558" s="23"/>
      <c r="Q558" s="23"/>
      <c r="R558" s="72"/>
      <c r="S558" s="72"/>
      <c r="T558" s="23"/>
      <c r="U558" s="40"/>
      <c r="V558" s="23"/>
      <c r="W558" s="72"/>
      <c r="X558" s="23"/>
      <c r="Y558" s="40"/>
      <c r="Z558" s="23"/>
      <c r="AA558" s="72"/>
      <c r="AB558" s="23"/>
      <c r="AC558" s="40"/>
      <c r="AD558" s="23"/>
      <c r="AE558" s="23"/>
    </row>
    <row r="559" spans="1:31" ht="12.75">
      <c r="A559" s="23"/>
      <c r="B559" s="64"/>
      <c r="C559" s="62"/>
      <c r="D559" s="92"/>
      <c r="E559" s="65"/>
      <c r="F559" s="65"/>
      <c r="G559" s="67"/>
      <c r="H559" s="67"/>
      <c r="I559" s="71"/>
      <c r="J559" s="70"/>
      <c r="K559" s="23"/>
      <c r="L559" s="70"/>
      <c r="M559" s="70"/>
      <c r="N559" s="70"/>
      <c r="O559" s="40"/>
      <c r="P559" s="23"/>
      <c r="Q559" s="23"/>
      <c r="R559" s="72"/>
      <c r="S559" s="72"/>
      <c r="T559" s="23"/>
      <c r="U559" s="40"/>
      <c r="V559" s="23"/>
      <c r="W559" s="72"/>
      <c r="X559" s="23"/>
      <c r="Y559" s="40"/>
      <c r="Z559" s="23"/>
      <c r="AA559" s="72"/>
      <c r="AB559" s="23"/>
      <c r="AC559" s="40"/>
      <c r="AD559" s="23"/>
      <c r="AE559" s="23"/>
    </row>
    <row r="560" spans="1:31" ht="12.75">
      <c r="A560" s="23"/>
      <c r="B560" s="64"/>
      <c r="C560" s="62"/>
      <c r="D560" s="92"/>
      <c r="E560" s="65"/>
      <c r="F560" s="65"/>
      <c r="G560" s="67"/>
      <c r="H560" s="67"/>
      <c r="I560" s="71"/>
      <c r="J560" s="70"/>
      <c r="K560" s="23"/>
      <c r="L560" s="70"/>
      <c r="M560" s="70"/>
      <c r="N560" s="70"/>
      <c r="O560" s="40"/>
      <c r="P560" s="23"/>
      <c r="Q560" s="23"/>
      <c r="R560" s="72"/>
      <c r="S560" s="72"/>
      <c r="T560" s="23"/>
      <c r="U560" s="40"/>
      <c r="V560" s="23"/>
      <c r="W560" s="72"/>
      <c r="X560" s="23"/>
      <c r="Y560" s="40"/>
      <c r="Z560" s="23"/>
      <c r="AA560" s="72"/>
      <c r="AB560" s="23"/>
      <c r="AC560" s="40"/>
      <c r="AD560" s="23"/>
      <c r="AE560" s="23"/>
    </row>
    <row r="561" spans="1:31" ht="12.75">
      <c r="A561" s="23"/>
      <c r="B561" s="64"/>
      <c r="C561" s="62"/>
      <c r="D561" s="92"/>
      <c r="E561" s="65"/>
      <c r="F561" s="65"/>
      <c r="G561" s="67"/>
      <c r="H561" s="67"/>
      <c r="I561" s="71"/>
      <c r="J561" s="70"/>
      <c r="K561" s="23"/>
      <c r="L561" s="70"/>
      <c r="M561" s="70"/>
      <c r="N561" s="70"/>
      <c r="O561" s="40"/>
      <c r="P561" s="23"/>
      <c r="Q561" s="23"/>
      <c r="R561" s="72"/>
      <c r="S561" s="72"/>
      <c r="T561" s="23"/>
      <c r="U561" s="40"/>
      <c r="V561" s="23"/>
      <c r="W561" s="72"/>
      <c r="X561" s="23"/>
      <c r="Y561" s="40"/>
      <c r="Z561" s="23"/>
      <c r="AA561" s="72"/>
      <c r="AB561" s="23"/>
      <c r="AC561" s="40"/>
      <c r="AD561" s="23"/>
      <c r="AE561" s="23"/>
    </row>
    <row r="562" spans="1:31" ht="12.75">
      <c r="A562" s="23"/>
      <c r="B562" s="64"/>
      <c r="C562" s="62"/>
      <c r="D562" s="92"/>
      <c r="E562" s="65"/>
      <c r="F562" s="65"/>
      <c r="G562" s="67"/>
      <c r="H562" s="67"/>
      <c r="I562" s="71"/>
      <c r="J562" s="70"/>
      <c r="K562" s="23"/>
      <c r="L562" s="70"/>
      <c r="M562" s="70"/>
      <c r="N562" s="70"/>
      <c r="O562" s="40"/>
      <c r="P562" s="23"/>
      <c r="Q562" s="23"/>
      <c r="R562" s="72"/>
      <c r="S562" s="72"/>
      <c r="T562" s="23"/>
      <c r="U562" s="40"/>
      <c r="V562" s="23"/>
      <c r="W562" s="72"/>
      <c r="X562" s="23"/>
      <c r="Y562" s="40"/>
      <c r="Z562" s="23"/>
      <c r="AA562" s="72"/>
      <c r="AB562" s="23"/>
      <c r="AC562" s="40"/>
      <c r="AD562" s="23"/>
      <c r="AE562" s="23"/>
    </row>
    <row r="563" spans="1:31" ht="12.75">
      <c r="A563" s="23"/>
      <c r="B563" s="64"/>
      <c r="C563" s="62"/>
      <c r="D563" s="92"/>
      <c r="E563" s="65"/>
      <c r="F563" s="65"/>
      <c r="G563" s="67"/>
      <c r="H563" s="67"/>
      <c r="I563" s="71"/>
      <c r="J563" s="70"/>
      <c r="K563" s="23"/>
      <c r="L563" s="70"/>
      <c r="M563" s="70"/>
      <c r="N563" s="70"/>
      <c r="O563" s="40"/>
      <c r="P563" s="23"/>
      <c r="Q563" s="23"/>
      <c r="R563" s="72"/>
      <c r="S563" s="72"/>
      <c r="T563" s="23"/>
      <c r="U563" s="40"/>
      <c r="V563" s="23"/>
      <c r="W563" s="72"/>
      <c r="X563" s="23"/>
      <c r="Y563" s="40"/>
      <c r="Z563" s="23"/>
      <c r="AA563" s="72"/>
      <c r="AB563" s="23"/>
      <c r="AC563" s="40"/>
      <c r="AD563" s="23"/>
      <c r="AE563" s="23"/>
    </row>
    <row r="564" spans="1:31" ht="39" customHeight="1">
      <c r="A564" s="23"/>
      <c r="B564" s="64"/>
      <c r="C564" s="62"/>
      <c r="D564" s="92"/>
      <c r="E564" s="65"/>
      <c r="F564" s="65"/>
      <c r="G564" s="67"/>
      <c r="H564" s="67"/>
      <c r="I564" s="71"/>
      <c r="J564" s="70"/>
      <c r="K564" s="23"/>
      <c r="L564" s="70"/>
      <c r="M564" s="70"/>
      <c r="N564" s="70"/>
      <c r="O564" s="40"/>
      <c r="P564" s="23"/>
      <c r="Q564" s="23"/>
      <c r="R564" s="72"/>
      <c r="S564" s="72"/>
      <c r="T564" s="23"/>
      <c r="U564" s="40"/>
      <c r="V564" s="23"/>
      <c r="W564" s="72"/>
      <c r="X564" s="23"/>
      <c r="Y564" s="40"/>
      <c r="Z564" s="23"/>
      <c r="AA564" s="72"/>
      <c r="AB564" s="23"/>
      <c r="AC564" s="40"/>
      <c r="AD564" s="23"/>
      <c r="AE564" s="23"/>
    </row>
    <row r="565" spans="1:31" ht="39" customHeight="1">
      <c r="A565" s="23"/>
      <c r="B565" s="64"/>
      <c r="C565" s="62"/>
      <c r="D565" s="92"/>
      <c r="E565" s="65"/>
      <c r="F565" s="65"/>
      <c r="G565" s="67"/>
      <c r="H565" s="67"/>
      <c r="I565" s="71"/>
      <c r="J565" s="70"/>
      <c r="K565" s="23"/>
      <c r="L565" s="70"/>
      <c r="M565" s="70"/>
      <c r="N565" s="70"/>
      <c r="O565" s="40"/>
      <c r="P565" s="23"/>
      <c r="Q565" s="23"/>
      <c r="R565" s="72"/>
      <c r="S565" s="72"/>
      <c r="T565" s="23"/>
      <c r="U565" s="40"/>
      <c r="V565" s="23"/>
      <c r="W565" s="72"/>
      <c r="X565" s="23"/>
      <c r="Y565" s="40"/>
      <c r="Z565" s="23"/>
      <c r="AA565" s="72"/>
      <c r="AB565" s="23"/>
      <c r="AC565" s="40"/>
      <c r="AD565" s="23"/>
      <c r="AE565" s="23"/>
    </row>
    <row r="566" spans="1:31" ht="39" customHeight="1">
      <c r="A566" s="23"/>
      <c r="B566" s="64"/>
      <c r="C566" s="62"/>
      <c r="D566" s="92"/>
      <c r="E566" s="65"/>
      <c r="F566" s="65"/>
      <c r="G566" s="67"/>
      <c r="H566" s="67"/>
      <c r="I566" s="71"/>
      <c r="J566" s="70"/>
      <c r="K566" s="23"/>
      <c r="L566" s="70"/>
      <c r="M566" s="70"/>
      <c r="N566" s="70"/>
      <c r="O566" s="40"/>
      <c r="P566" s="23"/>
      <c r="Q566" s="23"/>
      <c r="R566" s="72"/>
      <c r="S566" s="72"/>
      <c r="T566" s="23"/>
      <c r="U566" s="40"/>
      <c r="V566" s="23"/>
      <c r="W566" s="72"/>
      <c r="X566" s="23"/>
      <c r="Y566" s="40"/>
      <c r="Z566" s="23"/>
      <c r="AA566" s="72"/>
      <c r="AB566" s="23"/>
      <c r="AC566" s="40"/>
      <c r="AD566" s="23"/>
      <c r="AE566" s="23"/>
    </row>
    <row r="567" spans="1:31" ht="12.75">
      <c r="A567" s="23"/>
      <c r="B567" s="64"/>
      <c r="C567" s="62"/>
      <c r="D567" s="92"/>
      <c r="E567" s="65"/>
      <c r="F567" s="65"/>
      <c r="G567" s="67"/>
      <c r="H567" s="67"/>
      <c r="I567" s="71"/>
      <c r="J567" s="70"/>
      <c r="K567" s="23"/>
      <c r="L567" s="70"/>
      <c r="M567" s="70"/>
      <c r="N567" s="70"/>
      <c r="O567" s="40"/>
      <c r="P567" s="23"/>
      <c r="Q567" s="23"/>
      <c r="R567" s="72"/>
      <c r="S567" s="72"/>
      <c r="T567" s="23"/>
      <c r="U567" s="40"/>
      <c r="V567" s="23"/>
      <c r="W567" s="72"/>
      <c r="X567" s="23"/>
      <c r="Y567" s="40"/>
      <c r="Z567" s="23"/>
      <c r="AA567" s="72"/>
      <c r="AB567" s="23"/>
      <c r="AC567" s="40"/>
      <c r="AD567" s="23"/>
      <c r="AE567" s="23"/>
    </row>
    <row r="568" spans="1:31" ht="12.75">
      <c r="A568" s="23"/>
      <c r="B568" s="64"/>
      <c r="C568" s="62"/>
      <c r="D568" s="92"/>
      <c r="E568" s="65"/>
      <c r="F568" s="65"/>
      <c r="G568" s="67"/>
      <c r="H568" s="67"/>
      <c r="I568" s="71"/>
      <c r="J568" s="70"/>
      <c r="K568" s="23"/>
      <c r="L568" s="70"/>
      <c r="M568" s="70"/>
      <c r="N568" s="70"/>
      <c r="O568" s="40"/>
      <c r="P568" s="23"/>
      <c r="Q568" s="23"/>
      <c r="R568" s="72"/>
      <c r="S568" s="72"/>
      <c r="T568" s="23"/>
      <c r="U568" s="40"/>
      <c r="V568" s="23"/>
      <c r="W568" s="72"/>
      <c r="X568" s="23"/>
      <c r="Y568" s="40"/>
      <c r="Z568" s="23"/>
      <c r="AA568" s="72"/>
      <c r="AB568" s="23"/>
      <c r="AC568" s="40"/>
      <c r="AD568" s="23"/>
      <c r="AE568" s="23"/>
    </row>
    <row r="569" spans="1:31" ht="12.75">
      <c r="A569" s="23"/>
      <c r="B569" s="64"/>
      <c r="C569" s="62"/>
      <c r="D569" s="92"/>
      <c r="E569" s="65"/>
      <c r="F569" s="65"/>
      <c r="G569" s="67"/>
      <c r="H569" s="67"/>
      <c r="I569" s="71"/>
      <c r="J569" s="70"/>
      <c r="K569" s="23"/>
      <c r="L569" s="70"/>
      <c r="M569" s="70"/>
      <c r="N569" s="70"/>
      <c r="O569" s="40"/>
      <c r="P569" s="23"/>
      <c r="Q569" s="23"/>
      <c r="R569" s="72"/>
      <c r="S569" s="72"/>
      <c r="T569" s="23"/>
      <c r="U569" s="40"/>
      <c r="V569" s="23"/>
      <c r="W569" s="72"/>
      <c r="X569" s="23"/>
      <c r="Y569" s="40"/>
      <c r="Z569" s="23"/>
      <c r="AA569" s="72"/>
      <c r="AB569" s="23"/>
      <c r="AC569" s="40"/>
      <c r="AD569" s="23"/>
      <c r="AE569" s="23"/>
    </row>
    <row r="570" spans="1:31" ht="12.75">
      <c r="A570" s="23"/>
      <c r="B570" s="64"/>
      <c r="C570" s="62"/>
      <c r="D570" s="92"/>
      <c r="E570" s="65"/>
      <c r="F570" s="65"/>
      <c r="G570" s="67"/>
      <c r="H570" s="67"/>
      <c r="I570" s="71"/>
      <c r="J570" s="70"/>
      <c r="K570" s="23"/>
      <c r="L570" s="70"/>
      <c r="M570" s="70"/>
      <c r="N570" s="70"/>
      <c r="O570" s="40"/>
      <c r="P570" s="23"/>
      <c r="Q570" s="23"/>
      <c r="R570" s="72"/>
      <c r="S570" s="72"/>
      <c r="T570" s="23"/>
      <c r="U570" s="40"/>
      <c r="V570" s="23"/>
      <c r="W570" s="72"/>
      <c r="X570" s="23"/>
      <c r="Y570" s="40"/>
      <c r="Z570" s="23"/>
      <c r="AA570" s="72"/>
      <c r="AB570" s="23"/>
      <c r="AC570" s="40"/>
      <c r="AD570" s="23"/>
      <c r="AE570" s="23"/>
    </row>
    <row r="571" spans="1:31" ht="12.75">
      <c r="A571" s="23"/>
      <c r="B571" s="64"/>
      <c r="C571" s="62"/>
      <c r="D571" s="92"/>
      <c r="E571" s="65"/>
      <c r="F571" s="65"/>
      <c r="G571" s="67"/>
      <c r="H571" s="67"/>
      <c r="I571" s="71"/>
      <c r="J571" s="70"/>
      <c r="K571" s="23"/>
      <c r="L571" s="70"/>
      <c r="M571" s="70"/>
      <c r="N571" s="70"/>
      <c r="O571" s="40"/>
      <c r="P571" s="23"/>
      <c r="Q571" s="23"/>
      <c r="R571" s="72"/>
      <c r="S571" s="72"/>
      <c r="T571" s="23"/>
      <c r="U571" s="40"/>
      <c r="V571" s="23"/>
      <c r="W571" s="72"/>
      <c r="X571" s="23"/>
      <c r="Y571" s="40"/>
      <c r="Z571" s="23"/>
      <c r="AA571" s="72"/>
      <c r="AB571" s="23"/>
      <c r="AC571" s="40"/>
      <c r="AD571" s="23"/>
      <c r="AE571" s="23"/>
    </row>
    <row r="572" spans="1:31" ht="12.75">
      <c r="A572" s="23"/>
      <c r="B572" s="64"/>
      <c r="C572" s="62"/>
      <c r="D572" s="92"/>
      <c r="E572" s="65"/>
      <c r="F572" s="65"/>
      <c r="G572" s="67"/>
      <c r="H572" s="67"/>
      <c r="I572" s="71"/>
      <c r="J572" s="70"/>
      <c r="K572" s="23"/>
      <c r="L572" s="70"/>
      <c r="M572" s="70"/>
      <c r="N572" s="70"/>
      <c r="O572" s="40"/>
      <c r="P572" s="23"/>
      <c r="Q572" s="23"/>
      <c r="R572" s="72"/>
      <c r="S572" s="72"/>
      <c r="T572" s="23"/>
      <c r="U572" s="40"/>
      <c r="V572" s="23"/>
      <c r="W572" s="72"/>
      <c r="X572" s="23"/>
      <c r="Y572" s="40"/>
      <c r="Z572" s="23"/>
      <c r="AA572" s="72"/>
      <c r="AB572" s="23"/>
      <c r="AC572" s="40"/>
      <c r="AD572" s="23"/>
      <c r="AE572" s="23"/>
    </row>
    <row r="573" spans="1:31" ht="12.75">
      <c r="A573" s="23"/>
      <c r="B573" s="64"/>
      <c r="C573" s="62"/>
      <c r="D573" s="92"/>
      <c r="E573" s="65"/>
      <c r="F573" s="65"/>
      <c r="G573" s="67"/>
      <c r="H573" s="67"/>
      <c r="I573" s="71"/>
      <c r="J573" s="70"/>
      <c r="K573" s="23"/>
      <c r="L573" s="70"/>
      <c r="M573" s="70"/>
      <c r="N573" s="70"/>
      <c r="O573" s="40"/>
      <c r="P573" s="23"/>
      <c r="Q573" s="23"/>
      <c r="R573" s="72"/>
      <c r="S573" s="72"/>
      <c r="T573" s="23"/>
      <c r="U573" s="40"/>
      <c r="V573" s="23"/>
      <c r="W573" s="72"/>
      <c r="X573" s="23"/>
      <c r="Y573" s="40"/>
      <c r="Z573" s="23"/>
      <c r="AA573" s="72"/>
      <c r="AB573" s="23"/>
      <c r="AC573" s="40"/>
      <c r="AD573" s="23"/>
      <c r="AE573" s="23"/>
    </row>
    <row r="574" spans="1:31" ht="12.75">
      <c r="A574" s="23"/>
      <c r="B574" s="64"/>
      <c r="C574" s="62"/>
      <c r="D574" s="92"/>
      <c r="E574" s="65"/>
      <c r="F574" s="65"/>
      <c r="G574" s="67"/>
      <c r="H574" s="67"/>
      <c r="I574" s="71"/>
      <c r="J574" s="70"/>
      <c r="K574" s="23"/>
      <c r="L574" s="70"/>
      <c r="M574" s="70"/>
      <c r="N574" s="70"/>
      <c r="O574" s="40"/>
      <c r="P574" s="23"/>
      <c r="Q574" s="23"/>
      <c r="R574" s="72"/>
      <c r="S574" s="72"/>
      <c r="T574" s="23"/>
      <c r="U574" s="40"/>
      <c r="V574" s="23"/>
      <c r="W574" s="72"/>
      <c r="X574" s="23"/>
      <c r="Y574" s="40"/>
      <c r="Z574" s="23"/>
      <c r="AA574" s="72"/>
      <c r="AB574" s="23"/>
      <c r="AC574" s="40"/>
      <c r="AD574" s="23"/>
      <c r="AE574" s="23"/>
    </row>
    <row r="575" spans="1:31" ht="12.75">
      <c r="A575" s="23"/>
      <c r="B575" s="64"/>
      <c r="C575" s="62"/>
      <c r="D575" s="92"/>
      <c r="E575" s="65"/>
      <c r="F575" s="65"/>
      <c r="G575" s="67"/>
      <c r="H575" s="67"/>
      <c r="I575" s="71"/>
      <c r="J575" s="70"/>
      <c r="K575" s="23"/>
      <c r="L575" s="70"/>
      <c r="M575" s="70"/>
      <c r="N575" s="70"/>
      <c r="O575" s="40"/>
      <c r="P575" s="23"/>
      <c r="Q575" s="23"/>
      <c r="R575" s="72"/>
      <c r="S575" s="72"/>
      <c r="T575" s="23"/>
      <c r="U575" s="40"/>
      <c r="V575" s="23"/>
      <c r="W575" s="72"/>
      <c r="X575" s="23"/>
      <c r="Y575" s="40"/>
      <c r="Z575" s="23"/>
      <c r="AA575" s="72"/>
      <c r="AB575" s="23"/>
      <c r="AC575" s="40"/>
      <c r="AD575" s="23"/>
      <c r="AE575" s="23"/>
    </row>
    <row r="576" spans="1:31" ht="12.75">
      <c r="A576" s="23"/>
      <c r="B576" s="64"/>
      <c r="C576" s="62"/>
      <c r="D576" s="92"/>
      <c r="E576" s="65"/>
      <c r="F576" s="65"/>
      <c r="G576" s="67"/>
      <c r="H576" s="67"/>
      <c r="I576" s="71"/>
      <c r="J576" s="70"/>
      <c r="K576" s="23"/>
      <c r="L576" s="70"/>
      <c r="M576" s="70"/>
      <c r="N576" s="70"/>
      <c r="O576" s="40"/>
      <c r="P576" s="23"/>
      <c r="Q576" s="23"/>
      <c r="R576" s="72"/>
      <c r="S576" s="72"/>
      <c r="T576" s="23"/>
      <c r="U576" s="40"/>
      <c r="V576" s="23"/>
      <c r="W576" s="72"/>
      <c r="X576" s="23"/>
      <c r="Y576" s="40"/>
      <c r="Z576" s="23"/>
      <c r="AA576" s="72"/>
      <c r="AB576" s="23"/>
      <c r="AC576" s="40"/>
      <c r="AD576" s="23"/>
      <c r="AE576" s="23"/>
    </row>
    <row r="577" spans="1:32" ht="12.75">
      <c r="A577" s="23"/>
      <c r="B577" s="64"/>
      <c r="C577" s="62"/>
      <c r="D577" s="92"/>
      <c r="E577" s="65"/>
      <c r="F577" s="65"/>
      <c r="G577" s="67"/>
      <c r="H577" s="67"/>
      <c r="I577" s="71"/>
      <c r="J577" s="70"/>
      <c r="K577" s="23"/>
      <c r="L577" s="70"/>
      <c r="M577" s="70"/>
      <c r="N577" s="70"/>
      <c r="O577" s="40"/>
      <c r="P577" s="23"/>
      <c r="Q577" s="23"/>
      <c r="R577" s="72"/>
      <c r="S577" s="72"/>
      <c r="T577" s="23"/>
      <c r="U577" s="40"/>
      <c r="V577" s="23"/>
      <c r="W577" s="72"/>
      <c r="X577" s="23"/>
      <c r="Y577" s="40"/>
      <c r="Z577" s="23"/>
      <c r="AA577" s="72"/>
      <c r="AB577" s="23"/>
      <c r="AC577" s="40"/>
      <c r="AD577" s="23"/>
      <c r="AE577" s="23"/>
    </row>
    <row r="578" spans="1:32" ht="12.75">
      <c r="A578" s="23"/>
      <c r="B578" s="64"/>
      <c r="C578" s="62"/>
      <c r="D578" s="92"/>
      <c r="E578" s="65"/>
      <c r="F578" s="65"/>
      <c r="G578" s="67"/>
      <c r="H578" s="67"/>
      <c r="I578" s="71"/>
      <c r="J578" s="70"/>
      <c r="K578" s="23"/>
      <c r="L578" s="70"/>
      <c r="M578" s="70"/>
      <c r="N578" s="70"/>
      <c r="O578" s="40"/>
      <c r="P578" s="23"/>
      <c r="Q578" s="23"/>
      <c r="R578" s="72"/>
      <c r="S578" s="72"/>
      <c r="T578" s="23"/>
      <c r="U578" s="40"/>
      <c r="V578" s="23"/>
      <c r="W578" s="72"/>
      <c r="X578" s="23"/>
      <c r="Y578" s="40"/>
      <c r="Z578" s="23"/>
      <c r="AA578" s="72"/>
      <c r="AB578" s="23"/>
      <c r="AC578" s="40"/>
      <c r="AD578" s="23"/>
      <c r="AE578" s="23"/>
    </row>
    <row r="579" spans="1:32" ht="12.75">
      <c r="A579" s="23"/>
      <c r="B579" s="64"/>
      <c r="C579" s="62"/>
      <c r="D579" s="92"/>
      <c r="E579" s="65"/>
      <c r="F579" s="65"/>
      <c r="G579" s="67"/>
      <c r="H579" s="67"/>
      <c r="I579" s="71"/>
      <c r="J579" s="70"/>
      <c r="K579" s="23"/>
      <c r="L579" s="70"/>
      <c r="M579" s="70"/>
      <c r="N579" s="70"/>
      <c r="O579" s="40"/>
      <c r="P579" s="23"/>
      <c r="Q579" s="23"/>
      <c r="R579" s="72"/>
      <c r="S579" s="72"/>
      <c r="T579" s="23"/>
      <c r="U579" s="40"/>
      <c r="V579" s="23"/>
      <c r="W579" s="72"/>
      <c r="X579" s="23"/>
      <c r="Y579" s="40"/>
      <c r="Z579" s="23"/>
      <c r="AA579" s="72"/>
      <c r="AB579" s="23"/>
      <c r="AC579" s="40"/>
      <c r="AD579" s="23"/>
      <c r="AE579" s="23"/>
    </row>
    <row r="580" spans="1:32" ht="12.75">
      <c r="A580" s="23"/>
      <c r="B580" s="64"/>
      <c r="C580" s="62"/>
      <c r="D580" s="92"/>
      <c r="E580" s="65"/>
      <c r="F580" s="65"/>
      <c r="G580" s="67"/>
      <c r="H580" s="67"/>
      <c r="I580" s="71"/>
      <c r="J580" s="70"/>
      <c r="K580" s="23"/>
      <c r="L580" s="70"/>
      <c r="M580" s="70"/>
      <c r="N580" s="70"/>
      <c r="O580" s="40"/>
      <c r="P580" s="23"/>
      <c r="Q580" s="23"/>
      <c r="R580" s="72"/>
      <c r="S580" s="72"/>
      <c r="T580" s="23"/>
      <c r="U580" s="40"/>
      <c r="V580" s="23"/>
      <c r="W580" s="72"/>
      <c r="X580" s="23"/>
      <c r="Y580" s="40"/>
      <c r="Z580" s="23"/>
      <c r="AA580" s="72"/>
      <c r="AB580" s="23"/>
      <c r="AC580" s="40"/>
      <c r="AD580" s="23"/>
      <c r="AE580" s="23"/>
    </row>
    <row r="581" spans="1:32" s="23" customFormat="1" ht="12.75">
      <c r="B581" s="64"/>
      <c r="C581" s="62"/>
      <c r="D581" s="92"/>
      <c r="E581" s="65"/>
      <c r="F581" s="65"/>
      <c r="G581" s="67"/>
      <c r="H581" s="67"/>
      <c r="I581" s="71"/>
      <c r="J581" s="70"/>
      <c r="L581" s="70"/>
      <c r="M581" s="70"/>
      <c r="N581" s="70"/>
      <c r="O581" s="40"/>
      <c r="R581" s="72"/>
      <c r="S581" s="72"/>
      <c r="U581" s="40"/>
      <c r="W581" s="72"/>
      <c r="Y581" s="40"/>
      <c r="AA581" s="72"/>
      <c r="AC581" s="40"/>
      <c r="AF581" s="93"/>
    </row>
    <row r="582" spans="1:32" s="23" customFormat="1" ht="12.75">
      <c r="B582" s="64"/>
      <c r="C582" s="62"/>
      <c r="D582" s="92"/>
      <c r="E582" s="65"/>
      <c r="F582" s="65"/>
      <c r="G582" s="67"/>
      <c r="H582" s="67"/>
      <c r="I582" s="71"/>
      <c r="J582" s="70"/>
      <c r="L582" s="70"/>
      <c r="M582" s="70"/>
      <c r="N582" s="70"/>
      <c r="O582" s="40"/>
      <c r="R582" s="72"/>
      <c r="S582" s="72"/>
      <c r="U582" s="40"/>
      <c r="W582" s="72"/>
      <c r="Y582" s="40"/>
      <c r="AA582" s="72"/>
      <c r="AC582" s="40"/>
      <c r="AF582" s="93"/>
    </row>
    <row r="583" spans="1:32" s="23" customFormat="1" ht="12.75">
      <c r="B583" s="64"/>
      <c r="C583" s="62"/>
      <c r="D583" s="92"/>
      <c r="E583" s="65"/>
      <c r="F583" s="65"/>
      <c r="G583" s="67"/>
      <c r="H583" s="67"/>
      <c r="I583" s="71"/>
      <c r="J583" s="70"/>
      <c r="L583" s="70"/>
      <c r="M583" s="70"/>
      <c r="O583" s="40"/>
      <c r="R583" s="72"/>
      <c r="S583" s="72"/>
      <c r="U583" s="40"/>
      <c r="W583" s="72"/>
      <c r="Y583" s="40"/>
      <c r="AA583" s="72"/>
      <c r="AC583" s="40"/>
      <c r="AF583" s="93"/>
    </row>
    <row r="584" spans="1:32" s="23" customFormat="1" ht="12.75">
      <c r="B584" s="64"/>
      <c r="C584" s="62"/>
      <c r="D584" s="92"/>
      <c r="E584" s="65"/>
      <c r="F584" s="65"/>
      <c r="G584" s="67"/>
      <c r="H584" s="67"/>
      <c r="I584" s="71"/>
      <c r="J584" s="70"/>
      <c r="L584" s="70"/>
      <c r="M584" s="70"/>
      <c r="N584" s="70"/>
      <c r="O584" s="40"/>
      <c r="R584" s="72"/>
      <c r="S584" s="72"/>
      <c r="U584" s="40"/>
      <c r="W584" s="72"/>
      <c r="Y584" s="40"/>
      <c r="AA584" s="72"/>
      <c r="AC584" s="40"/>
      <c r="AF584" s="93"/>
    </row>
    <row r="585" spans="1:32" s="23" customFormat="1" ht="12.75">
      <c r="B585" s="64"/>
      <c r="C585" s="62"/>
      <c r="D585" s="92"/>
      <c r="E585" s="65"/>
      <c r="F585" s="65"/>
      <c r="G585" s="67"/>
      <c r="H585" s="67"/>
      <c r="I585" s="71"/>
      <c r="J585" s="70"/>
      <c r="L585" s="70"/>
      <c r="M585" s="70"/>
      <c r="N585" s="70"/>
      <c r="O585" s="40"/>
      <c r="R585" s="72"/>
      <c r="S585" s="72"/>
      <c r="U585" s="40"/>
      <c r="W585" s="72"/>
      <c r="Y585" s="40"/>
      <c r="AA585" s="72"/>
      <c r="AC585" s="40"/>
      <c r="AF585" s="93"/>
    </row>
    <row r="586" spans="1:32" s="23" customFormat="1" ht="12.75">
      <c r="B586" s="64"/>
      <c r="C586" s="62"/>
      <c r="D586" s="92"/>
      <c r="E586" s="65"/>
      <c r="F586" s="65"/>
      <c r="G586" s="67"/>
      <c r="H586" s="67"/>
      <c r="I586" s="71"/>
      <c r="J586" s="70"/>
      <c r="L586" s="70"/>
      <c r="M586" s="70"/>
      <c r="N586" s="70"/>
      <c r="O586" s="40"/>
      <c r="R586" s="72"/>
      <c r="S586" s="72"/>
      <c r="U586" s="40"/>
      <c r="W586" s="72"/>
      <c r="Y586" s="40"/>
      <c r="AA586" s="72"/>
      <c r="AC586" s="40"/>
      <c r="AF586" s="93"/>
    </row>
    <row r="587" spans="1:32" s="23" customFormat="1" ht="12.75">
      <c r="B587" s="64"/>
      <c r="C587" s="62"/>
      <c r="D587" s="92"/>
      <c r="E587" s="65"/>
      <c r="F587" s="65"/>
      <c r="G587" s="67"/>
      <c r="H587" s="67"/>
      <c r="I587" s="71"/>
      <c r="J587" s="70"/>
      <c r="L587" s="70"/>
      <c r="M587" s="70"/>
      <c r="N587" s="70"/>
      <c r="O587" s="40"/>
      <c r="R587" s="72"/>
      <c r="S587" s="72"/>
      <c r="U587" s="40"/>
      <c r="W587" s="72"/>
      <c r="Y587" s="40"/>
      <c r="AA587" s="72"/>
      <c r="AC587" s="40"/>
      <c r="AF587" s="93"/>
    </row>
    <row r="588" spans="1:32" s="23" customFormat="1" ht="12.75">
      <c r="B588" s="64"/>
      <c r="C588" s="62"/>
      <c r="D588" s="92"/>
      <c r="E588" s="65"/>
      <c r="F588" s="65"/>
      <c r="G588" s="67"/>
      <c r="H588" s="67"/>
      <c r="I588" s="71"/>
      <c r="J588" s="70"/>
      <c r="L588" s="70"/>
      <c r="M588" s="70"/>
      <c r="N588" s="70"/>
      <c r="O588" s="40"/>
      <c r="R588" s="72"/>
      <c r="S588" s="72"/>
      <c r="U588" s="40"/>
      <c r="W588" s="72"/>
      <c r="Y588" s="40"/>
      <c r="AA588" s="72"/>
      <c r="AC588" s="40"/>
      <c r="AF588" s="93"/>
    </row>
    <row r="589" spans="1:32" s="23" customFormat="1" ht="12.75">
      <c r="B589" s="64"/>
      <c r="C589" s="62"/>
      <c r="D589" s="92"/>
      <c r="E589" s="65"/>
      <c r="F589" s="65"/>
      <c r="G589" s="67"/>
      <c r="H589" s="67"/>
      <c r="I589" s="71"/>
      <c r="J589" s="70"/>
      <c r="L589" s="70"/>
      <c r="M589" s="70"/>
      <c r="N589" s="70"/>
      <c r="O589" s="40"/>
      <c r="R589" s="72"/>
      <c r="S589" s="72"/>
      <c r="U589" s="40"/>
      <c r="W589" s="72"/>
      <c r="Y589" s="40"/>
      <c r="AA589" s="72"/>
      <c r="AC589" s="40"/>
      <c r="AF589" s="93"/>
    </row>
    <row r="590" spans="1:32" s="23" customFormat="1" ht="12.75">
      <c r="B590" s="64"/>
      <c r="C590" s="62"/>
      <c r="D590" s="92"/>
      <c r="E590" s="65"/>
      <c r="F590" s="65"/>
      <c r="G590" s="67"/>
      <c r="H590" s="67"/>
      <c r="I590" s="71"/>
      <c r="J590" s="70"/>
      <c r="L590" s="70"/>
      <c r="M590" s="70"/>
      <c r="N590" s="70"/>
      <c r="O590" s="40"/>
      <c r="R590" s="72"/>
      <c r="S590" s="72"/>
      <c r="U590" s="40"/>
      <c r="W590" s="72"/>
      <c r="Y590" s="40"/>
      <c r="AA590" s="72"/>
      <c r="AC590" s="40"/>
      <c r="AF590" s="93"/>
    </row>
    <row r="591" spans="1:32" s="23" customFormat="1" ht="12.75">
      <c r="B591" s="64"/>
      <c r="C591" s="62"/>
      <c r="D591" s="92"/>
      <c r="E591" s="65"/>
      <c r="F591" s="65"/>
      <c r="G591" s="67"/>
      <c r="H591" s="67"/>
      <c r="I591" s="71"/>
      <c r="J591" s="70"/>
      <c r="L591" s="70"/>
      <c r="M591" s="70"/>
      <c r="N591" s="70"/>
      <c r="O591" s="40"/>
      <c r="R591" s="72"/>
      <c r="S591" s="72"/>
      <c r="U591" s="40"/>
      <c r="W591" s="72"/>
      <c r="Y591" s="40"/>
      <c r="AA591" s="72"/>
      <c r="AC591" s="40"/>
      <c r="AF591" s="93"/>
    </row>
    <row r="592" spans="1:32" s="23" customFormat="1" ht="12.75">
      <c r="B592" s="64"/>
      <c r="C592" s="62"/>
      <c r="D592" s="92"/>
      <c r="E592" s="65"/>
      <c r="F592" s="65"/>
      <c r="G592" s="67"/>
      <c r="H592" s="67"/>
      <c r="I592" s="71"/>
      <c r="J592" s="70"/>
      <c r="L592" s="70"/>
      <c r="M592" s="70"/>
      <c r="N592" s="70"/>
      <c r="O592" s="40"/>
      <c r="R592" s="72"/>
      <c r="S592" s="72"/>
      <c r="U592" s="40"/>
      <c r="W592" s="72"/>
      <c r="Y592" s="40"/>
      <c r="AA592" s="72"/>
      <c r="AC592" s="40"/>
      <c r="AF592" s="93"/>
    </row>
    <row r="593" spans="1:32" s="23" customFormat="1" ht="12.75">
      <c r="B593" s="64"/>
      <c r="C593" s="62"/>
      <c r="D593" s="92"/>
      <c r="E593" s="65"/>
      <c r="F593" s="65"/>
      <c r="G593" s="67"/>
      <c r="H593" s="67"/>
      <c r="I593" s="71"/>
      <c r="J593" s="70"/>
      <c r="L593" s="70"/>
      <c r="M593" s="70"/>
      <c r="N593" s="70"/>
      <c r="O593" s="40"/>
      <c r="R593" s="72"/>
      <c r="S593" s="72"/>
      <c r="U593" s="40"/>
      <c r="W593" s="72"/>
      <c r="Y593" s="40"/>
      <c r="AA593" s="72"/>
      <c r="AC593" s="40"/>
      <c r="AF593" s="93"/>
    </row>
    <row r="594" spans="1:32" s="23" customFormat="1" ht="12.75">
      <c r="B594" s="64"/>
      <c r="C594" s="62"/>
      <c r="D594" s="92"/>
      <c r="E594" s="65"/>
      <c r="F594" s="65"/>
      <c r="G594" s="67"/>
      <c r="H594" s="67"/>
      <c r="I594" s="71"/>
      <c r="J594" s="70"/>
      <c r="L594" s="70"/>
      <c r="M594" s="70"/>
      <c r="N594" s="70"/>
      <c r="O594" s="40"/>
      <c r="R594" s="72"/>
      <c r="S594" s="72"/>
      <c r="U594" s="40"/>
      <c r="W594" s="72"/>
      <c r="Y594" s="40"/>
      <c r="AA594" s="72"/>
      <c r="AC594" s="40"/>
      <c r="AF594" s="93"/>
    </row>
    <row r="595" spans="1:32" s="23" customFormat="1" ht="12.75">
      <c r="B595" s="64"/>
      <c r="C595" s="62"/>
      <c r="D595" s="92"/>
      <c r="E595" s="65"/>
      <c r="F595" s="65"/>
      <c r="G595" s="67"/>
      <c r="H595" s="67"/>
      <c r="I595" s="71"/>
      <c r="J595" s="70"/>
      <c r="L595" s="70"/>
      <c r="M595" s="70"/>
      <c r="N595" s="70"/>
      <c r="O595" s="40"/>
      <c r="R595" s="72"/>
      <c r="S595" s="72"/>
      <c r="U595" s="40"/>
      <c r="W595" s="72"/>
      <c r="Y595" s="40"/>
      <c r="AA595" s="72"/>
      <c r="AC595" s="40"/>
      <c r="AF595" s="93"/>
    </row>
    <row r="596" spans="1:32" s="23" customFormat="1" ht="12.75">
      <c r="B596" s="64"/>
      <c r="C596" s="62"/>
      <c r="D596" s="92"/>
      <c r="E596" s="65"/>
      <c r="F596" s="65"/>
      <c r="G596" s="67"/>
      <c r="H596" s="67"/>
      <c r="I596" s="71"/>
      <c r="J596" s="70"/>
      <c r="L596" s="70"/>
      <c r="M596" s="70"/>
      <c r="N596" s="70"/>
      <c r="O596" s="40"/>
      <c r="R596" s="72"/>
      <c r="S596" s="72"/>
      <c r="U596" s="40"/>
      <c r="W596" s="72"/>
      <c r="Y596" s="40"/>
      <c r="AA596" s="72"/>
      <c r="AC596" s="40"/>
      <c r="AF596" s="93"/>
    </row>
    <row r="597" spans="1:32" s="23" customFormat="1" ht="12.75">
      <c r="B597" s="64"/>
      <c r="C597" s="62"/>
      <c r="D597" s="92"/>
      <c r="E597" s="65"/>
      <c r="F597" s="65"/>
      <c r="G597" s="67"/>
      <c r="H597" s="67"/>
      <c r="I597" s="71"/>
      <c r="J597" s="70"/>
      <c r="L597" s="70"/>
      <c r="M597" s="70"/>
      <c r="N597" s="70"/>
      <c r="O597" s="40"/>
      <c r="R597" s="72"/>
      <c r="S597" s="72"/>
      <c r="U597" s="40"/>
      <c r="W597" s="72"/>
      <c r="Y597" s="40"/>
      <c r="AA597" s="72"/>
      <c r="AC597" s="40"/>
      <c r="AF597" s="93"/>
    </row>
    <row r="598" spans="1:32" s="23" customFormat="1" ht="12.75">
      <c r="B598" s="64"/>
      <c r="C598" s="62"/>
      <c r="D598" s="92"/>
      <c r="E598" s="65"/>
      <c r="F598" s="65"/>
      <c r="G598" s="67"/>
      <c r="H598" s="67"/>
      <c r="I598" s="71"/>
      <c r="J598" s="70"/>
      <c r="L598" s="70"/>
      <c r="M598" s="70"/>
      <c r="N598" s="70"/>
      <c r="O598" s="40"/>
      <c r="R598" s="72"/>
      <c r="S598" s="72"/>
      <c r="U598" s="40"/>
      <c r="W598" s="72"/>
      <c r="Y598" s="40"/>
      <c r="AA598" s="72"/>
      <c r="AC598" s="40"/>
      <c r="AF598" s="93"/>
    </row>
    <row r="599" spans="1:32" ht="12.75">
      <c r="A599" s="23"/>
      <c r="B599" s="64"/>
      <c r="C599" s="62"/>
      <c r="D599" s="92"/>
      <c r="E599" s="65"/>
      <c r="F599" s="65"/>
      <c r="G599" s="67"/>
      <c r="H599" s="67"/>
      <c r="I599" s="71"/>
      <c r="J599" s="70"/>
      <c r="K599" s="23"/>
      <c r="L599" s="70"/>
      <c r="M599" s="70"/>
      <c r="N599" s="70"/>
      <c r="O599" s="40"/>
      <c r="P599" s="23"/>
      <c r="Q599" s="23"/>
      <c r="R599" s="72"/>
      <c r="S599" s="72"/>
      <c r="T599" s="23"/>
      <c r="U599" s="40"/>
      <c r="V599" s="23"/>
      <c r="W599" s="72"/>
      <c r="X599" s="23"/>
      <c r="Y599" s="40"/>
      <c r="Z599" s="23"/>
      <c r="AA599" s="72"/>
      <c r="AB599" s="23"/>
      <c r="AC599" s="40"/>
      <c r="AD599" s="23"/>
      <c r="AE599" s="23"/>
    </row>
    <row r="600" spans="1:32" ht="12.75">
      <c r="A600" s="23"/>
      <c r="B600" s="64"/>
      <c r="C600" s="62"/>
      <c r="D600" s="92"/>
      <c r="E600" s="65"/>
      <c r="F600" s="65"/>
      <c r="G600" s="67"/>
      <c r="H600" s="67"/>
      <c r="I600" s="71"/>
      <c r="J600" s="70"/>
      <c r="K600" s="23"/>
      <c r="L600" s="70"/>
      <c r="M600" s="70"/>
      <c r="N600" s="70"/>
      <c r="O600" s="40"/>
      <c r="P600" s="23"/>
      <c r="Q600" s="23"/>
      <c r="R600" s="72"/>
      <c r="S600" s="72"/>
      <c r="T600" s="23"/>
      <c r="U600" s="40"/>
      <c r="V600" s="23"/>
      <c r="W600" s="72"/>
      <c r="X600" s="23"/>
      <c r="Y600" s="40"/>
      <c r="Z600" s="23"/>
      <c r="AA600" s="72"/>
      <c r="AB600" s="23"/>
      <c r="AC600" s="40"/>
      <c r="AD600" s="23"/>
      <c r="AE600" s="23"/>
    </row>
    <row r="601" spans="1:32" ht="12.75">
      <c r="A601" s="23"/>
      <c r="B601" s="64"/>
      <c r="C601" s="62"/>
      <c r="D601" s="92"/>
      <c r="E601" s="65"/>
      <c r="F601" s="65"/>
      <c r="G601" s="67"/>
      <c r="H601" s="67"/>
      <c r="I601" s="71"/>
      <c r="J601" s="70"/>
      <c r="K601" s="23"/>
      <c r="L601" s="70"/>
      <c r="M601" s="70"/>
      <c r="N601" s="70"/>
      <c r="O601" s="40"/>
      <c r="P601" s="23"/>
      <c r="Q601" s="23"/>
      <c r="R601" s="72"/>
      <c r="S601" s="72"/>
      <c r="T601" s="23"/>
      <c r="U601" s="40"/>
      <c r="V601" s="23"/>
      <c r="W601" s="72"/>
      <c r="X601" s="23"/>
      <c r="Y601" s="40"/>
      <c r="Z601" s="23"/>
      <c r="AA601" s="72"/>
      <c r="AB601" s="23"/>
      <c r="AC601" s="40"/>
      <c r="AD601" s="23"/>
      <c r="AE601" s="23"/>
    </row>
    <row r="602" spans="1:32" ht="12.75">
      <c r="A602" s="23"/>
      <c r="B602" s="64"/>
      <c r="C602" s="62"/>
      <c r="D602" s="92"/>
      <c r="E602" s="65"/>
      <c r="F602" s="65"/>
      <c r="G602" s="67"/>
      <c r="H602" s="67"/>
      <c r="I602" s="71"/>
      <c r="J602" s="70"/>
      <c r="K602" s="23"/>
      <c r="L602" s="70"/>
      <c r="M602" s="70"/>
      <c r="N602" s="70"/>
      <c r="O602" s="40"/>
      <c r="P602" s="23"/>
      <c r="Q602" s="23"/>
      <c r="R602" s="72"/>
      <c r="S602" s="72"/>
      <c r="T602" s="23"/>
      <c r="U602" s="40"/>
      <c r="V602" s="23"/>
      <c r="W602" s="72"/>
      <c r="X602" s="23"/>
      <c r="Y602" s="40"/>
      <c r="Z602" s="23"/>
      <c r="AA602" s="72"/>
      <c r="AB602" s="23"/>
      <c r="AC602" s="40"/>
      <c r="AD602" s="23"/>
      <c r="AE602" s="23"/>
    </row>
    <row r="603" spans="1:32" ht="12.75">
      <c r="A603" s="23"/>
      <c r="B603" s="64"/>
      <c r="C603" s="62"/>
      <c r="D603" s="92"/>
      <c r="E603" s="65"/>
      <c r="F603" s="65"/>
      <c r="G603" s="67"/>
      <c r="H603" s="67"/>
      <c r="I603" s="71"/>
      <c r="J603" s="70"/>
      <c r="K603" s="23"/>
      <c r="L603" s="70"/>
      <c r="M603" s="70"/>
      <c r="N603" s="70"/>
      <c r="O603" s="40"/>
      <c r="P603" s="23"/>
      <c r="Q603" s="23"/>
      <c r="R603" s="72"/>
      <c r="S603" s="72"/>
      <c r="T603" s="23"/>
      <c r="U603" s="40"/>
      <c r="V603" s="23"/>
      <c r="W603" s="72"/>
      <c r="X603" s="23"/>
      <c r="Y603" s="40"/>
      <c r="Z603" s="23"/>
      <c r="AA603" s="72"/>
      <c r="AB603" s="23"/>
      <c r="AC603" s="40"/>
      <c r="AD603" s="23"/>
      <c r="AE603" s="23"/>
    </row>
    <row r="604" spans="1:32" ht="12.75">
      <c r="A604" s="23"/>
      <c r="B604" s="64"/>
      <c r="C604" s="62"/>
      <c r="D604" s="92"/>
      <c r="E604" s="65"/>
      <c r="F604" s="65"/>
      <c r="G604" s="67"/>
      <c r="H604" s="67"/>
      <c r="I604" s="71"/>
      <c r="J604" s="70"/>
      <c r="K604" s="23"/>
      <c r="L604" s="70"/>
      <c r="M604" s="70"/>
      <c r="N604" s="70"/>
      <c r="O604" s="40"/>
      <c r="P604" s="23"/>
      <c r="Q604" s="23"/>
      <c r="R604" s="72"/>
      <c r="S604" s="72"/>
      <c r="T604" s="23"/>
      <c r="U604" s="40"/>
      <c r="V604" s="23"/>
      <c r="W604" s="72"/>
      <c r="X604" s="23"/>
      <c r="Y604" s="40"/>
      <c r="Z604" s="23"/>
      <c r="AA604" s="72"/>
      <c r="AB604" s="23"/>
      <c r="AC604" s="40"/>
      <c r="AD604" s="23"/>
      <c r="AE604" s="23"/>
    </row>
    <row r="605" spans="1:32" ht="12.75">
      <c r="A605" s="23"/>
      <c r="B605" s="64"/>
      <c r="C605" s="62"/>
      <c r="D605" s="92"/>
      <c r="E605" s="65"/>
      <c r="F605" s="65"/>
      <c r="G605" s="67"/>
      <c r="H605" s="67"/>
      <c r="I605" s="71"/>
      <c r="J605" s="70"/>
      <c r="K605" s="23"/>
      <c r="L605" s="70"/>
      <c r="M605" s="70"/>
      <c r="N605" s="70"/>
      <c r="O605" s="40"/>
      <c r="P605" s="23"/>
      <c r="Q605" s="23"/>
      <c r="R605" s="72"/>
      <c r="S605" s="72"/>
      <c r="T605" s="23"/>
      <c r="U605" s="40"/>
      <c r="V605" s="23"/>
      <c r="W605" s="72"/>
      <c r="X605" s="23"/>
      <c r="Y605" s="40"/>
      <c r="Z605" s="23"/>
      <c r="AA605" s="72"/>
      <c r="AB605" s="23"/>
      <c r="AC605" s="40"/>
      <c r="AD605" s="23"/>
      <c r="AE605" s="23"/>
    </row>
    <row r="606" spans="1:32" ht="12.75">
      <c r="A606" s="23"/>
      <c r="B606" s="64"/>
      <c r="C606" s="62"/>
      <c r="D606" s="92"/>
      <c r="E606" s="65"/>
      <c r="F606" s="65"/>
      <c r="G606" s="67"/>
      <c r="H606" s="67"/>
      <c r="I606" s="71"/>
      <c r="J606" s="70"/>
      <c r="K606" s="23"/>
      <c r="L606" s="70"/>
      <c r="M606" s="70"/>
      <c r="N606" s="70"/>
      <c r="O606" s="40"/>
      <c r="P606" s="23"/>
      <c r="Q606" s="23"/>
      <c r="R606" s="72"/>
      <c r="S606" s="72"/>
      <c r="T606" s="23"/>
      <c r="U606" s="40"/>
      <c r="V606" s="23"/>
      <c r="W606" s="72"/>
      <c r="X606" s="23"/>
      <c r="Y606" s="40"/>
      <c r="Z606" s="23"/>
      <c r="AA606" s="72"/>
      <c r="AB606" s="23"/>
      <c r="AC606" s="40"/>
      <c r="AD606" s="23"/>
      <c r="AE606" s="23"/>
    </row>
    <row r="607" spans="1:32" ht="12.75">
      <c r="A607" s="23"/>
      <c r="B607" s="64"/>
      <c r="C607" s="62"/>
      <c r="D607" s="92"/>
      <c r="E607" s="65"/>
      <c r="F607" s="65"/>
      <c r="G607" s="67"/>
      <c r="H607" s="67"/>
      <c r="I607" s="71"/>
      <c r="J607" s="70"/>
      <c r="K607" s="23"/>
      <c r="L607" s="70"/>
      <c r="M607" s="70"/>
      <c r="N607" s="70"/>
      <c r="O607" s="40"/>
      <c r="P607" s="23"/>
      <c r="Q607" s="23"/>
      <c r="R607" s="72"/>
      <c r="S607" s="72"/>
      <c r="T607" s="23"/>
      <c r="U607" s="40"/>
      <c r="V607" s="23"/>
      <c r="W607" s="72"/>
      <c r="X607" s="23"/>
      <c r="Y607" s="40"/>
      <c r="Z607" s="23"/>
      <c r="AA607" s="72"/>
      <c r="AB607" s="23"/>
      <c r="AC607" s="40"/>
      <c r="AD607" s="23"/>
      <c r="AE607" s="23"/>
    </row>
    <row r="608" spans="1:32" ht="12.75">
      <c r="A608" s="23"/>
      <c r="B608" s="64"/>
      <c r="C608" s="62"/>
      <c r="D608" s="92"/>
      <c r="E608" s="65"/>
      <c r="F608" s="65"/>
      <c r="G608" s="67"/>
      <c r="H608" s="67"/>
      <c r="I608" s="71"/>
      <c r="J608" s="70"/>
      <c r="K608" s="23"/>
      <c r="L608" s="70"/>
      <c r="M608" s="70"/>
      <c r="N608" s="70"/>
      <c r="O608" s="40"/>
      <c r="P608" s="23"/>
      <c r="Q608" s="23"/>
      <c r="R608" s="72"/>
      <c r="S608" s="72"/>
      <c r="T608" s="23"/>
      <c r="U608" s="40"/>
      <c r="V608" s="23"/>
      <c r="W608" s="72"/>
      <c r="X608" s="23"/>
      <c r="Y608" s="40"/>
      <c r="Z608" s="23"/>
      <c r="AA608" s="72"/>
      <c r="AB608" s="23"/>
      <c r="AC608" s="40"/>
      <c r="AD608" s="23"/>
      <c r="AE608" s="23"/>
    </row>
    <row r="609" spans="1:31" ht="12.75">
      <c r="A609" s="23"/>
      <c r="B609" s="64"/>
      <c r="C609" s="62"/>
      <c r="D609" s="92"/>
      <c r="E609" s="65"/>
      <c r="F609" s="65"/>
      <c r="G609" s="67"/>
      <c r="H609" s="67"/>
      <c r="I609" s="71"/>
      <c r="J609" s="70"/>
      <c r="K609" s="23"/>
      <c r="L609" s="70"/>
      <c r="M609" s="70"/>
      <c r="N609" s="70"/>
      <c r="O609" s="40"/>
      <c r="P609" s="23"/>
      <c r="Q609" s="23"/>
      <c r="R609" s="72"/>
      <c r="S609" s="72"/>
      <c r="T609" s="23"/>
      <c r="U609" s="40"/>
      <c r="V609" s="23"/>
      <c r="W609" s="72"/>
      <c r="X609" s="23"/>
      <c r="Y609" s="40"/>
      <c r="Z609" s="23"/>
      <c r="AA609" s="72"/>
      <c r="AB609" s="23"/>
      <c r="AC609" s="40"/>
      <c r="AD609" s="23"/>
      <c r="AE609" s="23"/>
    </row>
    <row r="610" spans="1:31" ht="12.75">
      <c r="A610" s="23"/>
      <c r="B610" s="64"/>
      <c r="C610" s="62"/>
      <c r="D610" s="92"/>
      <c r="E610" s="65"/>
      <c r="F610" s="65"/>
      <c r="G610" s="67"/>
      <c r="H610" s="67"/>
      <c r="I610" s="71"/>
      <c r="J610" s="70"/>
      <c r="K610" s="23"/>
      <c r="L610" s="70"/>
      <c r="M610" s="70"/>
      <c r="N610" s="70"/>
      <c r="O610" s="40"/>
      <c r="P610" s="23"/>
      <c r="Q610" s="23"/>
      <c r="R610" s="72"/>
      <c r="S610" s="72"/>
      <c r="T610" s="23"/>
      <c r="U610" s="40"/>
      <c r="V610" s="23"/>
      <c r="W610" s="72"/>
      <c r="X610" s="23"/>
      <c r="Y610" s="40"/>
      <c r="Z610" s="23"/>
      <c r="AA610" s="72"/>
      <c r="AB610" s="23"/>
      <c r="AC610" s="40"/>
      <c r="AD610" s="23"/>
      <c r="AE610" s="23"/>
    </row>
    <row r="611" spans="1:31" ht="12.75">
      <c r="A611" s="23"/>
      <c r="B611" s="64"/>
      <c r="C611" s="62"/>
      <c r="D611" s="92"/>
      <c r="E611" s="65"/>
      <c r="F611" s="65"/>
      <c r="G611" s="67"/>
      <c r="H611" s="67"/>
      <c r="I611" s="71"/>
      <c r="J611" s="70"/>
      <c r="K611" s="23"/>
      <c r="L611" s="70"/>
      <c r="M611" s="70"/>
      <c r="N611" s="70"/>
      <c r="O611" s="40"/>
      <c r="P611" s="23"/>
      <c r="Q611" s="23"/>
      <c r="R611" s="72"/>
      <c r="S611" s="72"/>
      <c r="T611" s="23"/>
      <c r="U611" s="40"/>
      <c r="V611" s="23"/>
      <c r="W611" s="72"/>
      <c r="X611" s="23"/>
      <c r="Y611" s="40"/>
      <c r="Z611" s="23"/>
      <c r="AA611" s="72"/>
      <c r="AB611" s="23"/>
      <c r="AC611" s="40"/>
      <c r="AD611" s="23"/>
      <c r="AE611" s="23"/>
    </row>
    <row r="612" spans="1:31" ht="12.75">
      <c r="A612" s="23"/>
      <c r="B612" s="64"/>
      <c r="C612" s="62"/>
      <c r="D612" s="92"/>
      <c r="E612" s="65"/>
      <c r="F612" s="65"/>
      <c r="G612" s="67"/>
      <c r="H612" s="67"/>
      <c r="I612" s="71"/>
      <c r="J612" s="70"/>
      <c r="K612" s="23"/>
      <c r="L612" s="70"/>
      <c r="M612" s="70"/>
      <c r="N612" s="70"/>
      <c r="O612" s="40"/>
      <c r="P612" s="23"/>
      <c r="Q612" s="23"/>
      <c r="R612" s="72"/>
      <c r="S612" s="72"/>
      <c r="T612" s="23"/>
      <c r="U612" s="40"/>
      <c r="V612" s="23"/>
      <c r="W612" s="72"/>
      <c r="X612" s="23"/>
      <c r="Y612" s="40"/>
      <c r="Z612" s="23"/>
      <c r="AA612" s="72"/>
      <c r="AB612" s="23"/>
      <c r="AC612" s="40"/>
      <c r="AD612" s="23"/>
      <c r="AE612" s="23"/>
    </row>
    <row r="613" spans="1:31" ht="12.75">
      <c r="A613" s="23"/>
      <c r="B613" s="64"/>
      <c r="C613" s="62"/>
      <c r="D613" s="92"/>
      <c r="E613" s="65"/>
      <c r="F613" s="65"/>
      <c r="G613" s="67"/>
      <c r="H613" s="67"/>
      <c r="I613" s="71"/>
      <c r="J613" s="70"/>
      <c r="K613" s="23"/>
      <c r="L613" s="70"/>
      <c r="M613" s="70"/>
      <c r="N613" s="70"/>
      <c r="O613" s="40"/>
      <c r="P613" s="23"/>
      <c r="Q613" s="23"/>
      <c r="R613" s="72"/>
      <c r="S613" s="72"/>
      <c r="T613" s="23"/>
      <c r="U613" s="40"/>
      <c r="V613" s="23"/>
      <c r="W613" s="72"/>
      <c r="X613" s="23"/>
      <c r="Y613" s="40"/>
      <c r="Z613" s="23"/>
      <c r="AA613" s="72"/>
      <c r="AB613" s="23"/>
      <c r="AC613" s="40"/>
      <c r="AD613" s="23"/>
      <c r="AE613" s="23"/>
    </row>
    <row r="614" spans="1:31" ht="12.75">
      <c r="A614" s="23"/>
      <c r="B614" s="64"/>
      <c r="C614" s="62"/>
      <c r="D614" s="92"/>
      <c r="E614" s="65"/>
      <c r="F614" s="65"/>
      <c r="G614" s="67"/>
      <c r="H614" s="67"/>
      <c r="I614" s="71"/>
      <c r="J614" s="70"/>
      <c r="K614" s="23"/>
      <c r="L614" s="70"/>
      <c r="M614" s="70"/>
      <c r="N614" s="70"/>
      <c r="O614" s="40"/>
      <c r="P614" s="23"/>
      <c r="Q614" s="23"/>
      <c r="R614" s="72"/>
      <c r="S614" s="72"/>
      <c r="T614" s="23"/>
      <c r="U614" s="40"/>
      <c r="V614" s="23"/>
      <c r="W614" s="72"/>
      <c r="X614" s="23"/>
      <c r="Y614" s="40"/>
      <c r="Z614" s="23"/>
      <c r="AA614" s="72"/>
      <c r="AB614" s="23"/>
      <c r="AC614" s="40"/>
      <c r="AD614" s="23"/>
      <c r="AE614" s="23"/>
    </row>
    <row r="615" spans="1:31" ht="12.75">
      <c r="A615" s="23"/>
      <c r="B615" s="64"/>
      <c r="C615" s="62"/>
      <c r="D615" s="92"/>
      <c r="E615" s="65"/>
      <c r="F615" s="65"/>
      <c r="G615" s="67"/>
      <c r="H615" s="67"/>
      <c r="I615" s="71"/>
      <c r="J615" s="70"/>
      <c r="K615" s="23"/>
      <c r="L615" s="70"/>
      <c r="M615" s="70"/>
      <c r="N615" s="70"/>
      <c r="O615" s="40"/>
      <c r="P615" s="23"/>
      <c r="Q615" s="23"/>
      <c r="R615" s="72"/>
      <c r="S615" s="72"/>
      <c r="T615" s="23"/>
      <c r="U615" s="40"/>
      <c r="V615" s="23"/>
      <c r="W615" s="72"/>
      <c r="X615" s="23"/>
      <c r="Y615" s="40"/>
      <c r="Z615" s="23"/>
      <c r="AA615" s="72"/>
      <c r="AB615" s="23"/>
      <c r="AC615" s="40"/>
      <c r="AD615" s="23"/>
      <c r="AE615" s="23"/>
    </row>
    <row r="616" spans="1:31" ht="12.75">
      <c r="A616" s="23"/>
      <c r="B616" s="64"/>
      <c r="C616" s="62"/>
      <c r="D616" s="92"/>
      <c r="E616" s="65"/>
      <c r="F616" s="65"/>
      <c r="G616" s="67"/>
      <c r="H616" s="67"/>
      <c r="I616" s="71"/>
      <c r="J616" s="70"/>
      <c r="K616" s="23"/>
      <c r="L616" s="70"/>
      <c r="M616" s="70"/>
      <c r="N616" s="70"/>
      <c r="O616" s="40"/>
      <c r="P616" s="23"/>
      <c r="Q616" s="23"/>
      <c r="R616" s="72"/>
      <c r="S616" s="72"/>
      <c r="T616" s="23"/>
      <c r="U616" s="40"/>
      <c r="V616" s="23"/>
      <c r="W616" s="72"/>
      <c r="X616" s="23"/>
      <c r="Y616" s="40"/>
      <c r="Z616" s="23"/>
      <c r="AA616" s="72"/>
      <c r="AB616" s="23"/>
      <c r="AC616" s="40"/>
      <c r="AD616" s="23"/>
      <c r="AE616" s="23"/>
    </row>
    <row r="617" spans="1:31" ht="12.75">
      <c r="A617" s="23"/>
      <c r="B617" s="64"/>
      <c r="C617" s="62"/>
      <c r="D617" s="92"/>
      <c r="E617" s="65"/>
      <c r="F617" s="65"/>
      <c r="G617" s="67"/>
      <c r="H617" s="67"/>
      <c r="I617" s="71"/>
      <c r="J617" s="70"/>
      <c r="K617" s="23"/>
      <c r="L617" s="70"/>
      <c r="M617" s="70"/>
      <c r="N617" s="70"/>
      <c r="O617" s="40"/>
      <c r="P617" s="23"/>
      <c r="Q617" s="23"/>
      <c r="R617" s="72"/>
      <c r="S617" s="72"/>
      <c r="T617" s="23"/>
      <c r="U617" s="40"/>
      <c r="V617" s="23"/>
      <c r="W617" s="72"/>
      <c r="X617" s="23"/>
      <c r="Y617" s="40"/>
      <c r="Z617" s="23"/>
      <c r="AA617" s="72"/>
      <c r="AB617" s="23"/>
      <c r="AC617" s="40"/>
      <c r="AD617" s="23"/>
      <c r="AE617" s="23"/>
    </row>
    <row r="618" spans="1:31" ht="12.75">
      <c r="A618" s="23"/>
      <c r="B618" s="64"/>
      <c r="C618" s="62"/>
      <c r="D618" s="92"/>
      <c r="E618" s="65"/>
      <c r="F618" s="65"/>
      <c r="G618" s="67"/>
      <c r="H618" s="67"/>
      <c r="I618" s="71"/>
      <c r="J618" s="70"/>
      <c r="K618" s="23"/>
      <c r="L618" s="70"/>
      <c r="M618" s="70"/>
      <c r="N618" s="70"/>
      <c r="O618" s="40"/>
      <c r="P618" s="23"/>
      <c r="Q618" s="23"/>
      <c r="R618" s="72"/>
      <c r="S618" s="72"/>
      <c r="T618" s="23"/>
      <c r="U618" s="40"/>
      <c r="V618" s="23"/>
      <c r="W618" s="72"/>
      <c r="X618" s="23"/>
      <c r="Y618" s="40"/>
      <c r="Z618" s="23"/>
      <c r="AA618" s="72"/>
      <c r="AB618" s="23"/>
      <c r="AC618" s="40"/>
      <c r="AD618" s="23"/>
      <c r="AE618" s="23"/>
    </row>
    <row r="619" spans="1:31" ht="12.75">
      <c r="A619" s="23"/>
      <c r="B619" s="64"/>
      <c r="C619" s="62"/>
      <c r="D619" s="92"/>
      <c r="E619" s="65"/>
      <c r="F619" s="65"/>
      <c r="G619" s="67"/>
      <c r="H619" s="67"/>
      <c r="I619" s="71"/>
      <c r="J619" s="70"/>
      <c r="K619" s="23"/>
      <c r="L619" s="70"/>
      <c r="M619" s="70"/>
      <c r="N619" s="70"/>
      <c r="O619" s="40"/>
      <c r="P619" s="23"/>
      <c r="Q619" s="23"/>
      <c r="R619" s="72"/>
      <c r="S619" s="72"/>
      <c r="T619" s="23"/>
      <c r="U619" s="40"/>
      <c r="V619" s="23"/>
      <c r="W619" s="72"/>
      <c r="X619" s="23"/>
      <c r="Y619" s="40"/>
      <c r="Z619" s="23"/>
      <c r="AA619" s="72"/>
      <c r="AB619" s="23"/>
      <c r="AC619" s="40"/>
      <c r="AD619" s="23"/>
      <c r="AE619" s="23"/>
    </row>
    <row r="620" spans="1:31" ht="12.75">
      <c r="A620" s="23"/>
      <c r="B620" s="64"/>
      <c r="C620" s="62"/>
      <c r="D620" s="92"/>
      <c r="E620" s="65"/>
      <c r="F620" s="65"/>
      <c r="G620" s="67"/>
      <c r="H620" s="67"/>
      <c r="I620" s="71"/>
      <c r="J620" s="70"/>
      <c r="K620" s="23"/>
      <c r="L620" s="70"/>
      <c r="M620" s="70"/>
      <c r="N620" s="70"/>
      <c r="O620" s="40"/>
      <c r="P620" s="23"/>
      <c r="Q620" s="23"/>
      <c r="R620" s="72"/>
      <c r="S620" s="72"/>
      <c r="T620" s="23"/>
      <c r="U620" s="40"/>
      <c r="V620" s="23"/>
      <c r="W620" s="72"/>
      <c r="X620" s="23"/>
      <c r="Y620" s="40"/>
      <c r="Z620" s="23"/>
      <c r="AA620" s="72"/>
      <c r="AB620" s="23"/>
      <c r="AC620" s="40"/>
      <c r="AD620" s="23"/>
      <c r="AE620" s="23"/>
    </row>
    <row r="621" spans="1:31" ht="12.75">
      <c r="A621" s="23"/>
      <c r="B621" s="64"/>
      <c r="C621" s="62"/>
      <c r="D621" s="92"/>
      <c r="E621" s="65"/>
      <c r="F621" s="65"/>
      <c r="G621" s="67"/>
      <c r="H621" s="67"/>
      <c r="I621" s="71"/>
      <c r="J621" s="70"/>
      <c r="K621" s="23"/>
      <c r="L621" s="70"/>
      <c r="M621" s="70"/>
      <c r="N621" s="70"/>
      <c r="O621" s="40"/>
      <c r="P621" s="23"/>
      <c r="Q621" s="23"/>
      <c r="R621" s="72"/>
      <c r="S621" s="72"/>
      <c r="T621" s="23"/>
      <c r="U621" s="40"/>
      <c r="V621" s="23"/>
      <c r="W621" s="72"/>
      <c r="X621" s="23"/>
      <c r="Y621" s="40"/>
      <c r="Z621" s="23"/>
      <c r="AA621" s="72"/>
      <c r="AB621" s="23"/>
      <c r="AC621" s="40"/>
      <c r="AD621" s="23"/>
      <c r="AE621" s="23"/>
    </row>
    <row r="622" spans="1:31" ht="12.75">
      <c r="A622" s="23"/>
      <c r="B622" s="64"/>
      <c r="C622" s="62"/>
      <c r="D622" s="92"/>
      <c r="E622" s="65"/>
      <c r="F622" s="65"/>
      <c r="G622" s="67"/>
      <c r="H622" s="67"/>
      <c r="I622" s="71"/>
      <c r="J622" s="70"/>
      <c r="K622" s="23"/>
      <c r="L622" s="70"/>
      <c r="M622" s="70"/>
      <c r="N622" s="70"/>
      <c r="O622" s="40"/>
      <c r="P622" s="23"/>
      <c r="Q622" s="23"/>
      <c r="R622" s="72"/>
      <c r="S622" s="72"/>
      <c r="T622" s="23"/>
      <c r="U622" s="40"/>
      <c r="V622" s="23"/>
      <c r="W622" s="72"/>
      <c r="X622" s="23"/>
      <c r="Y622" s="40"/>
      <c r="Z622" s="23"/>
      <c r="AA622" s="72"/>
      <c r="AB622" s="23"/>
      <c r="AC622" s="40"/>
      <c r="AD622" s="23"/>
      <c r="AE622" s="23"/>
    </row>
    <row r="623" spans="1:31" ht="12.75">
      <c r="A623" s="23"/>
      <c r="B623" s="64"/>
      <c r="C623" s="62"/>
      <c r="D623" s="92"/>
      <c r="E623" s="65"/>
      <c r="F623" s="65"/>
      <c r="G623" s="67"/>
      <c r="H623" s="67"/>
      <c r="I623" s="71"/>
      <c r="J623" s="70"/>
      <c r="K623" s="23"/>
      <c r="L623" s="70"/>
      <c r="M623" s="70"/>
      <c r="N623" s="70"/>
      <c r="O623" s="40"/>
      <c r="P623" s="23"/>
      <c r="Q623" s="23"/>
      <c r="R623" s="72"/>
      <c r="S623" s="72"/>
      <c r="T623" s="23"/>
      <c r="U623" s="40"/>
      <c r="V623" s="23"/>
      <c r="W623" s="72"/>
      <c r="X623" s="23"/>
      <c r="Y623" s="40"/>
      <c r="Z623" s="23"/>
      <c r="AA623" s="72"/>
      <c r="AB623" s="23"/>
      <c r="AC623" s="40"/>
      <c r="AD623" s="23"/>
      <c r="AE623" s="23"/>
    </row>
    <row r="624" spans="1:31" ht="12.75">
      <c r="A624" s="23"/>
      <c r="B624" s="64"/>
      <c r="C624" s="62"/>
      <c r="D624" s="92"/>
      <c r="E624" s="65"/>
      <c r="F624" s="65"/>
      <c r="G624" s="67"/>
      <c r="H624" s="67"/>
      <c r="I624" s="71"/>
      <c r="J624" s="70"/>
      <c r="K624" s="23"/>
      <c r="L624" s="70"/>
      <c r="M624" s="70"/>
      <c r="N624" s="70"/>
      <c r="O624" s="40"/>
      <c r="P624" s="23"/>
      <c r="Q624" s="23"/>
      <c r="R624" s="72"/>
      <c r="S624" s="72"/>
      <c r="T624" s="23"/>
      <c r="U624" s="40"/>
      <c r="V624" s="23"/>
      <c r="W624" s="72"/>
      <c r="X624" s="23"/>
      <c r="Y624" s="40"/>
      <c r="Z624" s="23"/>
      <c r="AA624" s="72"/>
      <c r="AB624" s="23"/>
      <c r="AC624" s="40"/>
      <c r="AD624" s="23"/>
      <c r="AE624" s="23"/>
    </row>
    <row r="625" spans="1:31" ht="12.75">
      <c r="A625" s="23"/>
      <c r="B625" s="64"/>
      <c r="C625" s="62"/>
      <c r="D625" s="92"/>
      <c r="E625" s="65"/>
      <c r="F625" s="65"/>
      <c r="G625" s="67"/>
      <c r="H625" s="67"/>
      <c r="I625" s="71"/>
      <c r="J625" s="70"/>
      <c r="K625" s="23"/>
      <c r="L625" s="70"/>
      <c r="M625" s="70"/>
      <c r="N625" s="70"/>
      <c r="O625" s="40"/>
      <c r="P625" s="23"/>
      <c r="Q625" s="23"/>
      <c r="R625" s="72"/>
      <c r="S625" s="72"/>
      <c r="T625" s="23"/>
      <c r="U625" s="40"/>
      <c r="V625" s="23"/>
      <c r="W625" s="72"/>
      <c r="X625" s="23"/>
      <c r="Y625" s="40"/>
      <c r="Z625" s="23"/>
      <c r="AA625" s="72"/>
      <c r="AB625" s="23"/>
      <c r="AC625" s="40"/>
      <c r="AD625" s="23"/>
      <c r="AE625" s="23"/>
    </row>
    <row r="626" spans="1:31" ht="12.75">
      <c r="A626" s="23"/>
      <c r="B626" s="64"/>
      <c r="C626" s="62"/>
      <c r="D626" s="92"/>
      <c r="E626" s="65"/>
      <c r="F626" s="65"/>
      <c r="G626" s="67"/>
      <c r="H626" s="67"/>
      <c r="I626" s="71"/>
      <c r="J626" s="70"/>
      <c r="K626" s="23"/>
      <c r="L626" s="70"/>
      <c r="M626" s="70"/>
      <c r="N626" s="70"/>
      <c r="O626" s="40"/>
      <c r="P626" s="23"/>
      <c r="Q626" s="23"/>
      <c r="R626" s="72"/>
      <c r="S626" s="72"/>
      <c r="T626" s="23"/>
      <c r="U626" s="40"/>
      <c r="V626" s="23"/>
      <c r="W626" s="72"/>
      <c r="X626" s="23"/>
      <c r="Y626" s="40"/>
      <c r="Z626" s="23"/>
      <c r="AA626" s="72"/>
      <c r="AB626" s="23"/>
      <c r="AC626" s="40"/>
      <c r="AD626" s="23"/>
      <c r="AE626" s="23"/>
    </row>
    <row r="627" spans="1:31" ht="12.75">
      <c r="A627" s="23"/>
      <c r="B627" s="64"/>
      <c r="C627" s="62"/>
      <c r="D627" s="92"/>
      <c r="E627" s="65"/>
      <c r="F627" s="65"/>
      <c r="G627" s="67"/>
      <c r="H627" s="67"/>
      <c r="I627" s="71"/>
      <c r="J627" s="70"/>
      <c r="K627" s="23"/>
      <c r="L627" s="70"/>
      <c r="M627" s="70"/>
      <c r="N627" s="70"/>
      <c r="O627" s="40"/>
      <c r="P627" s="23"/>
      <c r="Q627" s="23"/>
      <c r="R627" s="72"/>
      <c r="S627" s="72"/>
      <c r="T627" s="23"/>
      <c r="U627" s="40"/>
      <c r="V627" s="23"/>
      <c r="W627" s="72"/>
      <c r="X627" s="23"/>
      <c r="Y627" s="40"/>
      <c r="Z627" s="23"/>
      <c r="AA627" s="72"/>
      <c r="AB627" s="23"/>
      <c r="AC627" s="40"/>
      <c r="AD627" s="23"/>
      <c r="AE627" s="23"/>
    </row>
    <row r="628" spans="1:31" ht="12.75">
      <c r="A628" s="23"/>
      <c r="B628" s="64"/>
      <c r="C628" s="62"/>
      <c r="D628" s="92"/>
      <c r="E628" s="65"/>
      <c r="F628" s="65"/>
      <c r="G628" s="67"/>
      <c r="H628" s="67"/>
      <c r="I628" s="71"/>
      <c r="J628" s="70"/>
      <c r="K628" s="23"/>
      <c r="L628" s="70"/>
      <c r="M628" s="70"/>
      <c r="N628" s="70"/>
      <c r="O628" s="40"/>
      <c r="P628" s="23"/>
      <c r="Q628" s="23"/>
      <c r="R628" s="72"/>
      <c r="S628" s="72"/>
      <c r="T628" s="23"/>
      <c r="U628" s="40"/>
      <c r="V628" s="23"/>
      <c r="W628" s="72"/>
      <c r="X628" s="23"/>
      <c r="Y628" s="40"/>
      <c r="Z628" s="23"/>
      <c r="AA628" s="72"/>
      <c r="AB628" s="23"/>
      <c r="AC628" s="40"/>
      <c r="AD628" s="23"/>
      <c r="AE628" s="23"/>
    </row>
    <row r="629" spans="1:31" ht="12.75">
      <c r="A629" s="23"/>
      <c r="B629" s="64"/>
      <c r="C629" s="62"/>
      <c r="D629" s="92"/>
      <c r="E629" s="65"/>
      <c r="F629" s="65"/>
      <c r="G629" s="67"/>
      <c r="H629" s="67"/>
      <c r="I629" s="71"/>
      <c r="J629" s="70"/>
      <c r="K629" s="23"/>
      <c r="L629" s="70"/>
      <c r="M629" s="70"/>
      <c r="N629" s="70"/>
      <c r="O629" s="40"/>
      <c r="P629" s="23"/>
      <c r="Q629" s="23"/>
      <c r="R629" s="72"/>
      <c r="S629" s="72"/>
      <c r="T629" s="23"/>
      <c r="U629" s="40"/>
      <c r="V629" s="23"/>
      <c r="W629" s="72"/>
      <c r="X629" s="23"/>
      <c r="Y629" s="40"/>
      <c r="Z629" s="23"/>
      <c r="AA629" s="72"/>
      <c r="AB629" s="23"/>
      <c r="AC629" s="40"/>
      <c r="AD629" s="23"/>
      <c r="AE629" s="23"/>
    </row>
    <row r="630" spans="1:31" ht="12.75">
      <c r="A630" s="23"/>
      <c r="B630" s="64"/>
      <c r="C630" s="62"/>
      <c r="D630" s="92"/>
      <c r="E630" s="65"/>
      <c r="F630" s="65"/>
      <c r="G630" s="67"/>
      <c r="H630" s="67"/>
      <c r="I630" s="71"/>
      <c r="J630" s="70"/>
      <c r="K630" s="23"/>
      <c r="L630" s="70"/>
      <c r="M630" s="70"/>
      <c r="N630" s="70"/>
      <c r="O630" s="40"/>
      <c r="P630" s="23"/>
      <c r="Q630" s="23"/>
      <c r="R630" s="72"/>
      <c r="S630" s="72"/>
      <c r="T630" s="23"/>
      <c r="U630" s="40"/>
      <c r="V630" s="23"/>
      <c r="W630" s="72"/>
      <c r="X630" s="23"/>
      <c r="Y630" s="40"/>
      <c r="Z630" s="23"/>
      <c r="AA630" s="72"/>
      <c r="AB630" s="23"/>
      <c r="AC630" s="40"/>
      <c r="AD630" s="23"/>
      <c r="AE630" s="23"/>
    </row>
    <row r="631" spans="1:31" ht="12.75">
      <c r="A631" s="23"/>
      <c r="B631" s="64"/>
      <c r="C631" s="62"/>
      <c r="D631" s="92"/>
      <c r="E631" s="65"/>
      <c r="F631" s="65"/>
      <c r="G631" s="67"/>
      <c r="H631" s="67"/>
      <c r="I631" s="71"/>
      <c r="J631" s="70"/>
      <c r="K631" s="23"/>
      <c r="L631" s="70"/>
      <c r="M631" s="70"/>
      <c r="N631" s="70"/>
      <c r="O631" s="40"/>
      <c r="P631" s="23"/>
      <c r="Q631" s="23"/>
      <c r="R631" s="72"/>
      <c r="S631" s="72"/>
      <c r="T631" s="23"/>
      <c r="U631" s="40"/>
      <c r="V631" s="23"/>
      <c r="W631" s="72"/>
      <c r="X631" s="23"/>
      <c r="Y631" s="40"/>
      <c r="Z631" s="23"/>
      <c r="AA631" s="72"/>
      <c r="AB631" s="23"/>
      <c r="AC631" s="40"/>
      <c r="AD631" s="23"/>
      <c r="AE631" s="23"/>
    </row>
    <row r="632" spans="1:31" ht="12.75">
      <c r="A632" s="23"/>
      <c r="B632" s="64"/>
      <c r="C632" s="62"/>
      <c r="D632" s="92"/>
      <c r="E632" s="65"/>
      <c r="F632" s="65"/>
      <c r="G632" s="67"/>
      <c r="H632" s="67"/>
      <c r="I632" s="71"/>
      <c r="J632" s="70"/>
      <c r="K632" s="23"/>
      <c r="L632" s="70"/>
      <c r="M632" s="70"/>
      <c r="N632" s="70"/>
      <c r="O632" s="40"/>
      <c r="P632" s="23"/>
      <c r="Q632" s="23"/>
      <c r="R632" s="72"/>
      <c r="S632" s="72"/>
      <c r="T632" s="23"/>
      <c r="U632" s="40"/>
      <c r="V632" s="23"/>
      <c r="W632" s="72"/>
      <c r="X632" s="23"/>
      <c r="Y632" s="40"/>
      <c r="Z632" s="23"/>
      <c r="AA632" s="72"/>
      <c r="AB632" s="23"/>
      <c r="AC632" s="40"/>
      <c r="AD632" s="23"/>
      <c r="AE632" s="23"/>
    </row>
    <row r="633" spans="1:31" ht="12.75">
      <c r="A633" s="23"/>
      <c r="B633" s="64"/>
      <c r="C633" s="62"/>
      <c r="D633" s="92"/>
      <c r="E633" s="65"/>
      <c r="F633" s="65"/>
      <c r="G633" s="67"/>
      <c r="H633" s="67"/>
      <c r="I633" s="71"/>
      <c r="J633" s="70"/>
      <c r="K633" s="23"/>
      <c r="L633" s="70"/>
      <c r="M633" s="70"/>
      <c r="N633" s="70"/>
      <c r="O633" s="40"/>
      <c r="P633" s="23"/>
      <c r="Q633" s="23"/>
      <c r="R633" s="72"/>
      <c r="S633" s="72"/>
      <c r="T633" s="23"/>
      <c r="U633" s="40"/>
      <c r="V633" s="23"/>
      <c r="W633" s="72"/>
      <c r="X633" s="23"/>
      <c r="Y633" s="40"/>
      <c r="Z633" s="23"/>
      <c r="AA633" s="72"/>
      <c r="AB633" s="23"/>
      <c r="AC633" s="40"/>
      <c r="AD633" s="23"/>
      <c r="AE633" s="23"/>
    </row>
    <row r="634" spans="1:31" ht="12.75">
      <c r="A634" s="23"/>
      <c r="B634" s="64"/>
      <c r="C634" s="62"/>
      <c r="D634" s="92"/>
      <c r="E634" s="65"/>
      <c r="F634" s="65"/>
      <c r="G634" s="67"/>
      <c r="H634" s="67"/>
      <c r="I634" s="71"/>
      <c r="J634" s="70"/>
      <c r="K634" s="23"/>
      <c r="L634" s="70"/>
      <c r="M634" s="70"/>
      <c r="N634" s="70"/>
      <c r="O634" s="40"/>
      <c r="P634" s="23"/>
      <c r="Q634" s="23"/>
      <c r="R634" s="72"/>
      <c r="S634" s="72"/>
      <c r="T634" s="23"/>
      <c r="U634" s="40"/>
      <c r="V634" s="23"/>
      <c r="W634" s="72"/>
      <c r="X634" s="23"/>
      <c r="Y634" s="40"/>
      <c r="Z634" s="23"/>
      <c r="AA634" s="72"/>
      <c r="AB634" s="23"/>
      <c r="AC634" s="40"/>
      <c r="AD634" s="23"/>
      <c r="AE634" s="23"/>
    </row>
    <row r="635" spans="1:31" ht="12.75">
      <c r="A635" s="23"/>
      <c r="B635" s="64"/>
      <c r="C635" s="62"/>
      <c r="D635" s="92"/>
      <c r="E635" s="65"/>
      <c r="F635" s="65"/>
      <c r="G635" s="67"/>
      <c r="H635" s="67"/>
      <c r="I635" s="71"/>
      <c r="J635" s="70"/>
      <c r="K635" s="23"/>
      <c r="L635" s="70"/>
      <c r="M635" s="70"/>
      <c r="N635" s="70"/>
      <c r="O635" s="40"/>
      <c r="P635" s="23"/>
      <c r="Q635" s="23"/>
      <c r="R635" s="72"/>
      <c r="S635" s="72"/>
      <c r="T635" s="23"/>
      <c r="U635" s="40"/>
      <c r="V635" s="23"/>
      <c r="W635" s="72"/>
      <c r="X635" s="23"/>
      <c r="Y635" s="40"/>
      <c r="Z635" s="23"/>
      <c r="AA635" s="72"/>
      <c r="AB635" s="23"/>
      <c r="AC635" s="40"/>
      <c r="AD635" s="23"/>
      <c r="AE635" s="23"/>
    </row>
    <row r="636" spans="1:31" ht="12.75">
      <c r="A636" s="23"/>
      <c r="B636" s="64"/>
      <c r="C636" s="62"/>
      <c r="D636" s="92"/>
      <c r="E636" s="65"/>
      <c r="F636" s="65"/>
      <c r="G636" s="67"/>
      <c r="H636" s="67"/>
      <c r="I636" s="71"/>
      <c r="J636" s="70"/>
      <c r="K636" s="23"/>
      <c r="L636" s="70"/>
      <c r="M636" s="70"/>
      <c r="N636" s="70"/>
      <c r="O636" s="40"/>
      <c r="P636" s="23"/>
      <c r="Q636" s="23"/>
      <c r="R636" s="72"/>
      <c r="S636" s="72"/>
      <c r="T636" s="23"/>
      <c r="U636" s="40"/>
      <c r="V636" s="23"/>
      <c r="W636" s="72"/>
      <c r="X636" s="23"/>
      <c r="Y636" s="40"/>
      <c r="Z636" s="23"/>
      <c r="AA636" s="72"/>
      <c r="AB636" s="23"/>
      <c r="AC636" s="40"/>
      <c r="AD636" s="23"/>
      <c r="AE636" s="23"/>
    </row>
    <row r="637" spans="1:31" ht="12.75">
      <c r="A637" s="23"/>
      <c r="B637" s="64"/>
      <c r="C637" s="62"/>
      <c r="D637" s="92"/>
      <c r="E637" s="65"/>
      <c r="F637" s="65"/>
      <c r="G637" s="67"/>
      <c r="H637" s="67"/>
      <c r="I637" s="71"/>
      <c r="J637" s="70"/>
      <c r="K637" s="23"/>
      <c r="L637" s="70"/>
      <c r="M637" s="70"/>
      <c r="N637" s="70"/>
      <c r="O637" s="40"/>
      <c r="P637" s="23"/>
      <c r="Q637" s="23"/>
      <c r="R637" s="72"/>
      <c r="S637" s="72"/>
      <c r="T637" s="23"/>
      <c r="U637" s="40"/>
      <c r="V637" s="23"/>
      <c r="W637" s="72"/>
      <c r="X637" s="23"/>
      <c r="Y637" s="40"/>
      <c r="Z637" s="23"/>
      <c r="AA637" s="72"/>
      <c r="AB637" s="23"/>
      <c r="AC637" s="40"/>
      <c r="AD637" s="23"/>
      <c r="AE637" s="23"/>
    </row>
    <row r="638" spans="1:31" ht="12.75">
      <c r="A638" s="23"/>
      <c r="B638" s="64"/>
      <c r="C638" s="62"/>
      <c r="D638" s="92"/>
      <c r="E638" s="65"/>
      <c r="F638" s="65"/>
      <c r="G638" s="67"/>
      <c r="H638" s="67"/>
      <c r="I638" s="71"/>
      <c r="J638" s="70"/>
      <c r="K638" s="23"/>
      <c r="L638" s="70"/>
      <c r="M638" s="70"/>
      <c r="N638" s="70"/>
      <c r="O638" s="40"/>
      <c r="P638" s="23"/>
      <c r="Q638" s="23"/>
      <c r="R638" s="72"/>
      <c r="S638" s="72"/>
      <c r="T638" s="23"/>
      <c r="U638" s="40"/>
      <c r="V638" s="23"/>
      <c r="W638" s="72"/>
      <c r="X638" s="23"/>
      <c r="Y638" s="40"/>
      <c r="Z638" s="23"/>
      <c r="AA638" s="72"/>
      <c r="AB638" s="23"/>
      <c r="AC638" s="40"/>
      <c r="AD638" s="23"/>
      <c r="AE638" s="23"/>
    </row>
    <row r="639" spans="1:31" ht="12.75">
      <c r="A639" s="23"/>
      <c r="B639" s="64"/>
      <c r="C639" s="62"/>
      <c r="D639" s="92"/>
      <c r="E639" s="65"/>
      <c r="F639" s="65"/>
      <c r="G639" s="67"/>
      <c r="H639" s="67"/>
      <c r="I639" s="71"/>
      <c r="J639" s="70"/>
      <c r="K639" s="23"/>
      <c r="L639" s="70"/>
      <c r="M639" s="70"/>
      <c r="N639" s="70"/>
      <c r="O639" s="40"/>
      <c r="P639" s="23"/>
      <c r="Q639" s="23"/>
      <c r="R639" s="72"/>
      <c r="S639" s="72"/>
      <c r="T639" s="23"/>
      <c r="U639" s="40"/>
      <c r="V639" s="23"/>
      <c r="W639" s="72"/>
      <c r="X639" s="23"/>
      <c r="Y639" s="40"/>
      <c r="Z639" s="23"/>
      <c r="AA639" s="72"/>
      <c r="AB639" s="23"/>
      <c r="AC639" s="40"/>
      <c r="AD639" s="23"/>
      <c r="AE639" s="23"/>
    </row>
    <row r="640" spans="1:31" ht="12.75">
      <c r="A640" s="23"/>
      <c r="B640" s="64"/>
      <c r="C640" s="62"/>
      <c r="D640" s="92"/>
      <c r="E640" s="65"/>
      <c r="F640" s="65"/>
      <c r="G640" s="67"/>
      <c r="H640" s="67"/>
      <c r="I640" s="71"/>
      <c r="J640" s="70"/>
      <c r="K640" s="23"/>
      <c r="L640" s="70"/>
      <c r="M640" s="70"/>
      <c r="N640" s="70"/>
      <c r="O640" s="40"/>
      <c r="P640" s="23"/>
      <c r="Q640" s="23"/>
      <c r="R640" s="72"/>
      <c r="S640" s="72"/>
      <c r="T640" s="23"/>
      <c r="U640" s="40"/>
      <c r="V640" s="23"/>
      <c r="W640" s="72"/>
      <c r="X640" s="23"/>
      <c r="Y640" s="40"/>
      <c r="Z640" s="23"/>
      <c r="AA640" s="72"/>
      <c r="AB640" s="23"/>
      <c r="AC640" s="40"/>
      <c r="AD640" s="23"/>
      <c r="AE640" s="23"/>
    </row>
    <row r="641" spans="1:31" ht="12.75">
      <c r="A641" s="23"/>
      <c r="B641" s="64"/>
      <c r="C641" s="62"/>
      <c r="D641" s="92"/>
      <c r="E641" s="65"/>
      <c r="F641" s="65"/>
      <c r="G641" s="67"/>
      <c r="H641" s="67"/>
      <c r="I641" s="71"/>
      <c r="J641" s="70"/>
      <c r="K641" s="23"/>
      <c r="L641" s="70"/>
      <c r="M641" s="70"/>
      <c r="N641" s="70"/>
      <c r="O641" s="40"/>
      <c r="P641" s="23"/>
      <c r="Q641" s="23"/>
      <c r="R641" s="72"/>
      <c r="S641" s="72"/>
      <c r="T641" s="23"/>
      <c r="U641" s="40"/>
      <c r="V641" s="23"/>
      <c r="W641" s="72"/>
      <c r="X641" s="23"/>
      <c r="Y641" s="40"/>
      <c r="Z641" s="23"/>
      <c r="AA641" s="72"/>
      <c r="AB641" s="23"/>
      <c r="AC641" s="40"/>
      <c r="AD641" s="23"/>
      <c r="AE641" s="23"/>
    </row>
    <row r="642" spans="1:31" ht="12.75">
      <c r="A642" s="23"/>
      <c r="B642" s="64"/>
      <c r="C642" s="62"/>
      <c r="D642" s="92"/>
      <c r="E642" s="65"/>
      <c r="F642" s="65"/>
      <c r="G642" s="67"/>
      <c r="H642" s="67"/>
      <c r="I642" s="71"/>
      <c r="J642" s="70"/>
      <c r="K642" s="23"/>
      <c r="L642" s="70"/>
      <c r="M642" s="70"/>
      <c r="N642" s="70"/>
      <c r="O642" s="40"/>
      <c r="P642" s="23"/>
      <c r="Q642" s="23"/>
      <c r="R642" s="72"/>
      <c r="S642" s="72"/>
      <c r="T642" s="23"/>
      <c r="U642" s="40"/>
      <c r="V642" s="23"/>
      <c r="W642" s="72"/>
      <c r="X642" s="23"/>
      <c r="Y642" s="40"/>
      <c r="Z642" s="23"/>
      <c r="AA642" s="72"/>
      <c r="AB642" s="23"/>
      <c r="AC642" s="40"/>
      <c r="AD642" s="23"/>
      <c r="AE642" s="23"/>
    </row>
    <row r="643" spans="1:31" ht="12.75">
      <c r="A643" s="23"/>
      <c r="B643" s="64"/>
      <c r="C643" s="62"/>
      <c r="D643" s="92"/>
      <c r="E643" s="65"/>
      <c r="F643" s="65"/>
      <c r="G643" s="67"/>
      <c r="H643" s="67"/>
      <c r="I643" s="71"/>
      <c r="J643" s="70"/>
      <c r="K643" s="23"/>
      <c r="L643" s="70"/>
      <c r="M643" s="70"/>
      <c r="N643" s="70"/>
      <c r="O643" s="40"/>
      <c r="P643" s="23"/>
      <c r="Q643" s="23"/>
      <c r="R643" s="72"/>
      <c r="S643" s="72"/>
      <c r="T643" s="23"/>
      <c r="U643" s="40"/>
      <c r="V643" s="23"/>
      <c r="W643" s="72"/>
      <c r="X643" s="23"/>
      <c r="Y643" s="40"/>
      <c r="Z643" s="23"/>
      <c r="AA643" s="72"/>
      <c r="AB643" s="23"/>
      <c r="AC643" s="40"/>
      <c r="AD643" s="23"/>
      <c r="AE643" s="23"/>
    </row>
    <row r="644" spans="1:31" ht="12.75">
      <c r="A644" s="23"/>
      <c r="B644" s="64"/>
      <c r="C644" s="62"/>
      <c r="D644" s="92"/>
      <c r="E644" s="65"/>
      <c r="F644" s="65"/>
      <c r="G644" s="67"/>
      <c r="H644" s="67"/>
      <c r="I644" s="71"/>
      <c r="J644" s="70"/>
      <c r="K644" s="23"/>
      <c r="L644" s="70"/>
      <c r="M644" s="70"/>
      <c r="N644" s="70"/>
      <c r="O644" s="40"/>
      <c r="P644" s="23"/>
      <c r="Q644" s="23"/>
      <c r="R644" s="72"/>
      <c r="S644" s="72"/>
      <c r="T644" s="23"/>
      <c r="U644" s="40"/>
      <c r="V644" s="23"/>
      <c r="W644" s="72"/>
      <c r="X644" s="23"/>
      <c r="Y644" s="40"/>
      <c r="Z644" s="23"/>
      <c r="AA644" s="72"/>
      <c r="AB644" s="23"/>
      <c r="AC644" s="40"/>
      <c r="AD644" s="23"/>
      <c r="AE644" s="23"/>
    </row>
    <row r="645" spans="1:31" ht="12.75">
      <c r="A645" s="23"/>
      <c r="B645" s="64"/>
      <c r="C645" s="62"/>
      <c r="D645" s="92"/>
      <c r="E645" s="65"/>
      <c r="F645" s="65"/>
      <c r="G645" s="67"/>
      <c r="H645" s="67"/>
      <c r="I645" s="71"/>
      <c r="J645" s="70"/>
      <c r="K645" s="23"/>
      <c r="L645" s="70"/>
      <c r="M645" s="70"/>
      <c r="N645" s="70"/>
      <c r="O645" s="40"/>
      <c r="P645" s="23"/>
      <c r="Q645" s="23"/>
      <c r="R645" s="72"/>
      <c r="S645" s="72"/>
      <c r="T645" s="23"/>
      <c r="U645" s="40"/>
      <c r="V645" s="23"/>
      <c r="W645" s="72"/>
      <c r="X645" s="23"/>
      <c r="Y645" s="40"/>
      <c r="Z645" s="23"/>
      <c r="AA645" s="72"/>
      <c r="AB645" s="23"/>
      <c r="AC645" s="40"/>
      <c r="AD645" s="23"/>
      <c r="AE645" s="23"/>
    </row>
    <row r="646" spans="1:31" ht="12.75">
      <c r="A646" s="23"/>
      <c r="B646" s="64"/>
      <c r="C646" s="62"/>
      <c r="D646" s="92"/>
      <c r="E646" s="65"/>
      <c r="F646" s="65"/>
      <c r="G646" s="67"/>
      <c r="H646" s="67"/>
      <c r="I646" s="71"/>
      <c r="J646" s="70"/>
      <c r="K646" s="23"/>
      <c r="L646" s="70"/>
      <c r="M646" s="70"/>
      <c r="N646" s="70"/>
      <c r="O646" s="40"/>
      <c r="P646" s="23"/>
      <c r="Q646" s="23"/>
      <c r="R646" s="72"/>
      <c r="S646" s="72"/>
      <c r="T646" s="23"/>
      <c r="U646" s="40"/>
      <c r="V646" s="23"/>
      <c r="W646" s="72"/>
      <c r="X646" s="23"/>
      <c r="Y646" s="40"/>
      <c r="Z646" s="23"/>
      <c r="AA646" s="72"/>
      <c r="AB646" s="23"/>
      <c r="AC646" s="40"/>
      <c r="AD646" s="23"/>
      <c r="AE646" s="23"/>
    </row>
    <row r="647" spans="1:31" ht="12.75">
      <c r="A647" s="23"/>
      <c r="B647" s="64"/>
      <c r="C647" s="62"/>
      <c r="D647" s="92"/>
      <c r="E647" s="65"/>
      <c r="F647" s="65"/>
      <c r="G647" s="67"/>
      <c r="H647" s="67"/>
      <c r="I647" s="71"/>
      <c r="J647" s="70"/>
      <c r="K647" s="23"/>
      <c r="L647" s="70"/>
      <c r="M647" s="70"/>
      <c r="N647" s="70"/>
      <c r="O647" s="40"/>
      <c r="P647" s="23"/>
      <c r="Q647" s="23"/>
      <c r="R647" s="72"/>
      <c r="S647" s="72"/>
      <c r="T647" s="23"/>
      <c r="U647" s="40"/>
      <c r="V647" s="23"/>
      <c r="W647" s="72"/>
      <c r="X647" s="23"/>
      <c r="Y647" s="40"/>
      <c r="Z647" s="23"/>
      <c r="AA647" s="72"/>
      <c r="AB647" s="23"/>
      <c r="AC647" s="40"/>
      <c r="AD647" s="23"/>
      <c r="AE647" s="23"/>
    </row>
    <row r="648" spans="1:31" ht="12.75">
      <c r="A648" s="23"/>
      <c r="B648" s="64"/>
      <c r="C648" s="62"/>
      <c r="D648" s="92"/>
      <c r="E648" s="65"/>
      <c r="F648" s="65"/>
      <c r="G648" s="67"/>
      <c r="H648" s="67"/>
      <c r="I648" s="71"/>
      <c r="J648" s="70"/>
      <c r="K648" s="23"/>
      <c r="L648" s="70"/>
      <c r="M648" s="70"/>
      <c r="N648" s="70"/>
      <c r="O648" s="40"/>
      <c r="P648" s="23"/>
      <c r="Q648" s="23"/>
      <c r="R648" s="72"/>
      <c r="S648" s="72"/>
      <c r="T648" s="23"/>
      <c r="U648" s="40"/>
      <c r="V648" s="23"/>
      <c r="W648" s="72"/>
      <c r="X648" s="23"/>
      <c r="Y648" s="40"/>
      <c r="Z648" s="23"/>
      <c r="AA648" s="72"/>
      <c r="AB648" s="23"/>
      <c r="AC648" s="40"/>
      <c r="AD648" s="23"/>
      <c r="AE648" s="23"/>
    </row>
    <row r="649" spans="1:31" ht="12.75">
      <c r="A649" s="23"/>
      <c r="B649" s="64"/>
      <c r="C649" s="62"/>
      <c r="D649" s="92"/>
      <c r="E649" s="65"/>
      <c r="F649" s="65"/>
      <c r="G649" s="67"/>
      <c r="H649" s="67"/>
      <c r="I649" s="71"/>
      <c r="J649" s="70"/>
      <c r="K649" s="23"/>
      <c r="L649" s="70"/>
      <c r="M649" s="70"/>
      <c r="N649" s="70"/>
      <c r="O649" s="40"/>
      <c r="P649" s="23"/>
      <c r="Q649" s="23"/>
      <c r="R649" s="72"/>
      <c r="S649" s="72"/>
      <c r="T649" s="23"/>
      <c r="U649" s="40"/>
      <c r="V649" s="23"/>
      <c r="W649" s="72"/>
      <c r="X649" s="23"/>
      <c r="Y649" s="40"/>
      <c r="Z649" s="23"/>
      <c r="AA649" s="72"/>
      <c r="AB649" s="23"/>
      <c r="AC649" s="40"/>
      <c r="AD649" s="23"/>
      <c r="AE649" s="23"/>
    </row>
    <row r="650" spans="1:31" ht="12.75">
      <c r="A650" s="23"/>
      <c r="B650" s="64"/>
      <c r="C650" s="62"/>
      <c r="D650" s="92"/>
      <c r="E650" s="65"/>
      <c r="F650" s="65"/>
      <c r="G650" s="67"/>
      <c r="H650" s="67"/>
      <c r="I650" s="71"/>
      <c r="J650" s="70"/>
      <c r="K650" s="23"/>
      <c r="L650" s="70"/>
      <c r="M650" s="70"/>
      <c r="N650" s="70"/>
      <c r="O650" s="40"/>
      <c r="P650" s="23"/>
      <c r="Q650" s="23"/>
      <c r="R650" s="72"/>
      <c r="S650" s="72"/>
      <c r="T650" s="23"/>
      <c r="U650" s="40"/>
      <c r="V650" s="23"/>
      <c r="W650" s="72"/>
      <c r="X650" s="23"/>
      <c r="Y650" s="40"/>
      <c r="Z650" s="23"/>
      <c r="AA650" s="72"/>
      <c r="AB650" s="23"/>
      <c r="AC650" s="40"/>
      <c r="AD650" s="23"/>
      <c r="AE650" s="23"/>
    </row>
    <row r="651" spans="1:31" ht="12.75">
      <c r="A651" s="23"/>
      <c r="B651" s="64"/>
      <c r="C651" s="62"/>
      <c r="D651" s="92"/>
      <c r="E651" s="65"/>
      <c r="F651" s="65"/>
      <c r="G651" s="67"/>
      <c r="H651" s="67"/>
      <c r="I651" s="71"/>
      <c r="J651" s="70"/>
      <c r="K651" s="23"/>
      <c r="L651" s="70"/>
      <c r="M651" s="70"/>
      <c r="N651" s="70"/>
      <c r="O651" s="40"/>
      <c r="P651" s="23"/>
      <c r="Q651" s="23"/>
      <c r="R651" s="72"/>
      <c r="S651" s="72"/>
      <c r="T651" s="23"/>
      <c r="U651" s="40"/>
      <c r="V651" s="23"/>
      <c r="W651" s="72"/>
      <c r="X651" s="23"/>
      <c r="Y651" s="40"/>
      <c r="Z651" s="23"/>
      <c r="AA651" s="72"/>
      <c r="AB651" s="23"/>
      <c r="AC651" s="40"/>
      <c r="AD651" s="23"/>
      <c r="AE651" s="23"/>
    </row>
    <row r="652" spans="1:31" ht="12.75">
      <c r="A652" s="23"/>
      <c r="B652" s="64"/>
      <c r="C652" s="62"/>
      <c r="D652" s="92"/>
      <c r="E652" s="65"/>
      <c r="F652" s="65"/>
      <c r="G652" s="67"/>
      <c r="H652" s="67"/>
      <c r="I652" s="71"/>
      <c r="J652" s="70"/>
      <c r="K652" s="23"/>
      <c r="L652" s="70"/>
      <c r="M652" s="70"/>
      <c r="N652" s="70"/>
      <c r="O652" s="40"/>
      <c r="P652" s="23"/>
      <c r="Q652" s="23"/>
      <c r="R652" s="72"/>
      <c r="S652" s="72"/>
      <c r="T652" s="23"/>
      <c r="U652" s="40"/>
      <c r="V652" s="23"/>
      <c r="W652" s="72"/>
      <c r="X652" s="23"/>
      <c r="Y652" s="40"/>
      <c r="Z652" s="23"/>
      <c r="AA652" s="72"/>
      <c r="AB652" s="23"/>
      <c r="AC652" s="40"/>
      <c r="AD652" s="23"/>
      <c r="AE652" s="23"/>
    </row>
    <row r="653" spans="1:31" ht="12.75">
      <c r="A653" s="23"/>
      <c r="B653" s="64"/>
      <c r="C653" s="62"/>
      <c r="D653" s="92"/>
      <c r="E653" s="65"/>
      <c r="F653" s="65"/>
      <c r="G653" s="67"/>
      <c r="H653" s="67"/>
      <c r="I653" s="71"/>
      <c r="J653" s="70"/>
      <c r="K653" s="23"/>
      <c r="L653" s="70"/>
      <c r="M653" s="70"/>
      <c r="N653" s="70"/>
      <c r="O653" s="40"/>
      <c r="P653" s="23"/>
      <c r="Q653" s="23"/>
      <c r="R653" s="72"/>
      <c r="S653" s="72"/>
      <c r="T653" s="23"/>
      <c r="U653" s="40"/>
      <c r="V653" s="23"/>
      <c r="W653" s="72"/>
      <c r="X653" s="23"/>
      <c r="Y653" s="40"/>
      <c r="Z653" s="23"/>
      <c r="AA653" s="72"/>
      <c r="AB653" s="23"/>
      <c r="AC653" s="40"/>
      <c r="AD653" s="23"/>
      <c r="AE653" s="23"/>
    </row>
    <row r="654" spans="1:31" ht="12.75">
      <c r="A654" s="23"/>
      <c r="B654" s="40"/>
      <c r="C654" s="40"/>
      <c r="D654" s="92"/>
      <c r="E654" s="65"/>
      <c r="F654" s="65"/>
      <c r="G654" s="67"/>
      <c r="H654" s="67"/>
      <c r="I654" s="71"/>
      <c r="J654" s="70"/>
      <c r="K654" s="23"/>
      <c r="L654" s="70"/>
      <c r="M654" s="70"/>
      <c r="N654" s="70"/>
      <c r="O654" s="23"/>
      <c r="P654" s="23"/>
      <c r="Q654" s="23"/>
      <c r="R654" s="72"/>
      <c r="S654" s="23"/>
      <c r="T654" s="23"/>
      <c r="U654" s="23"/>
      <c r="V654" s="23"/>
      <c r="W654" s="23"/>
      <c r="X654" s="23"/>
      <c r="Y654" s="23"/>
      <c r="Z654" s="23"/>
      <c r="AA654" s="23"/>
      <c r="AB654" s="23"/>
      <c r="AC654" s="23"/>
      <c r="AD654" s="23"/>
      <c r="AE654" s="23"/>
    </row>
    <row r="655" spans="1:31" ht="12.75">
      <c r="A655" s="23"/>
      <c r="B655" s="40"/>
      <c r="C655" s="40"/>
      <c r="D655" s="92"/>
      <c r="E655" s="65"/>
      <c r="F655" s="65"/>
      <c r="G655" s="67"/>
      <c r="H655" s="67"/>
      <c r="I655" s="71"/>
      <c r="J655" s="70"/>
      <c r="K655" s="23"/>
      <c r="L655" s="70"/>
      <c r="M655" s="70"/>
      <c r="N655" s="70"/>
      <c r="O655" s="23"/>
      <c r="P655" s="23"/>
      <c r="Q655" s="23"/>
      <c r="R655" s="72"/>
      <c r="S655" s="23"/>
      <c r="T655" s="23"/>
      <c r="U655" s="23"/>
      <c r="V655" s="23"/>
      <c r="W655" s="23"/>
      <c r="X655" s="23"/>
      <c r="Y655" s="23"/>
      <c r="Z655" s="23"/>
      <c r="AA655" s="23"/>
      <c r="AB655" s="23"/>
      <c r="AC655" s="23"/>
      <c r="AD655" s="23"/>
      <c r="AE655" s="23"/>
    </row>
    <row r="656" spans="1:31" ht="12" customHeight="1">
      <c r="A656" s="23"/>
      <c r="B656" s="40"/>
      <c r="C656" s="40"/>
      <c r="D656" s="92"/>
      <c r="E656" s="65"/>
      <c r="F656" s="65"/>
      <c r="G656" s="67"/>
      <c r="H656" s="67"/>
      <c r="I656" s="71"/>
      <c r="J656" s="70"/>
      <c r="K656" s="23"/>
      <c r="L656" s="70"/>
      <c r="M656" s="70"/>
      <c r="N656" s="70"/>
      <c r="O656" s="23"/>
      <c r="P656" s="23"/>
      <c r="Q656" s="23"/>
      <c r="R656" s="72"/>
      <c r="S656" s="23"/>
      <c r="T656" s="23"/>
      <c r="U656" s="23"/>
      <c r="V656" s="23"/>
      <c r="W656" s="23"/>
      <c r="X656" s="23"/>
      <c r="Y656" s="23"/>
      <c r="Z656" s="23"/>
      <c r="AA656" s="23"/>
      <c r="AB656" s="23"/>
      <c r="AC656" s="23"/>
      <c r="AD656" s="23"/>
      <c r="AE656" s="23"/>
    </row>
    <row r="657" spans="1:31" ht="12" customHeight="1">
      <c r="A657" s="23"/>
      <c r="B657" s="40"/>
      <c r="C657" s="40"/>
      <c r="D657" s="92"/>
      <c r="E657" s="65"/>
      <c r="F657" s="65"/>
      <c r="G657" s="67"/>
      <c r="H657" s="67"/>
      <c r="I657" s="71"/>
      <c r="J657" s="70"/>
      <c r="K657" s="23"/>
      <c r="L657" s="70"/>
      <c r="M657" s="70"/>
      <c r="N657" s="70"/>
      <c r="O657" s="23"/>
      <c r="P657" s="23"/>
      <c r="Q657" s="23"/>
      <c r="R657" s="72"/>
      <c r="S657" s="23"/>
      <c r="T657" s="23"/>
      <c r="U657" s="23"/>
      <c r="V657" s="23"/>
      <c r="W657" s="23"/>
      <c r="X657" s="23"/>
      <c r="Y657" s="23"/>
      <c r="Z657" s="23"/>
      <c r="AA657" s="23"/>
      <c r="AB657" s="23"/>
      <c r="AC657" s="23"/>
      <c r="AD657" s="23"/>
      <c r="AE657" s="23"/>
    </row>
    <row r="658" spans="1:31" ht="12" customHeight="1">
      <c r="A658" s="23"/>
      <c r="B658" s="40"/>
      <c r="C658" s="40"/>
      <c r="D658" s="92"/>
      <c r="E658" s="65"/>
      <c r="F658" s="65"/>
      <c r="G658" s="67"/>
      <c r="H658" s="67"/>
      <c r="I658" s="71"/>
      <c r="J658" s="70"/>
      <c r="K658" s="23"/>
      <c r="L658" s="70"/>
      <c r="M658" s="70"/>
      <c r="N658" s="70"/>
      <c r="O658" s="23"/>
      <c r="P658" s="23"/>
      <c r="Q658" s="23"/>
      <c r="R658" s="72"/>
      <c r="S658" s="23"/>
      <c r="T658" s="23"/>
      <c r="U658" s="23"/>
      <c r="V658" s="23"/>
      <c r="W658" s="23"/>
      <c r="X658" s="23"/>
      <c r="Y658" s="23"/>
      <c r="Z658" s="23"/>
      <c r="AA658" s="23"/>
      <c r="AB658" s="23"/>
      <c r="AC658" s="23"/>
      <c r="AD658" s="23"/>
      <c r="AE658" s="23"/>
    </row>
    <row r="659" spans="1:31" ht="12" customHeight="1">
      <c r="A659" s="23"/>
      <c r="B659" s="40"/>
      <c r="C659" s="40"/>
      <c r="D659" s="92"/>
      <c r="E659" s="65"/>
      <c r="F659" s="65"/>
      <c r="G659" s="67"/>
      <c r="H659" s="67"/>
      <c r="I659" s="71"/>
      <c r="J659" s="70"/>
      <c r="K659" s="23"/>
      <c r="L659" s="70"/>
      <c r="M659" s="70"/>
      <c r="N659" s="70"/>
      <c r="O659" s="23"/>
      <c r="P659" s="23"/>
      <c r="Q659" s="23"/>
      <c r="R659" s="72"/>
      <c r="S659" s="23"/>
      <c r="T659" s="23"/>
      <c r="U659" s="23"/>
      <c r="V659" s="23"/>
      <c r="W659" s="23"/>
      <c r="X659" s="23"/>
      <c r="Y659" s="23"/>
      <c r="Z659" s="23"/>
      <c r="AA659" s="23"/>
      <c r="AB659" s="23"/>
      <c r="AC659" s="23"/>
      <c r="AD659" s="23"/>
      <c r="AE659" s="23"/>
    </row>
    <row r="660" spans="1:31" ht="12.75">
      <c r="A660" s="23"/>
      <c r="B660" s="64"/>
      <c r="C660" s="62"/>
      <c r="D660" s="92"/>
      <c r="E660" s="65"/>
      <c r="F660" s="65"/>
      <c r="G660" s="67"/>
      <c r="H660" s="67"/>
      <c r="I660" s="71"/>
      <c r="J660" s="70"/>
      <c r="K660" s="23"/>
      <c r="L660" s="70"/>
      <c r="M660" s="70"/>
      <c r="N660" s="70"/>
      <c r="O660" s="40"/>
      <c r="P660" s="23"/>
      <c r="Q660" s="23"/>
      <c r="R660" s="72"/>
      <c r="S660" s="72"/>
      <c r="T660" s="23"/>
      <c r="U660" s="40"/>
      <c r="V660" s="23"/>
      <c r="W660" s="72"/>
      <c r="X660" s="23"/>
      <c r="Y660" s="40"/>
      <c r="Z660" s="23"/>
      <c r="AA660" s="72"/>
      <c r="AB660" s="23"/>
      <c r="AC660" s="40"/>
      <c r="AD660" s="23"/>
      <c r="AE660" s="23"/>
    </row>
    <row r="661" spans="1:31" ht="12.75">
      <c r="A661" s="23"/>
      <c r="B661" s="64"/>
      <c r="C661" s="62"/>
      <c r="D661" s="92"/>
      <c r="E661" s="65"/>
      <c r="F661" s="65"/>
      <c r="G661" s="67"/>
      <c r="H661" s="67"/>
      <c r="I661" s="71"/>
      <c r="J661" s="70"/>
      <c r="K661" s="23"/>
      <c r="L661" s="70"/>
      <c r="M661" s="70"/>
      <c r="N661" s="70"/>
      <c r="O661" s="40"/>
      <c r="P661" s="23"/>
      <c r="Q661" s="23"/>
      <c r="R661" s="72"/>
      <c r="S661" s="72"/>
      <c r="T661" s="23"/>
      <c r="U661" s="40"/>
      <c r="V661" s="23"/>
      <c r="W661" s="72"/>
      <c r="X661" s="23"/>
      <c r="Y661" s="40"/>
      <c r="Z661" s="23"/>
      <c r="AA661" s="72"/>
      <c r="AB661" s="23"/>
      <c r="AC661" s="40"/>
      <c r="AD661" s="23"/>
      <c r="AE661" s="23"/>
    </row>
    <row r="662" spans="1:31" ht="12.75">
      <c r="A662" s="23"/>
      <c r="B662" s="64"/>
      <c r="C662" s="62"/>
      <c r="D662" s="92"/>
      <c r="E662" s="65"/>
      <c r="F662" s="65"/>
      <c r="G662" s="67"/>
      <c r="H662" s="67"/>
      <c r="I662" s="71"/>
      <c r="J662" s="70"/>
      <c r="K662" s="23"/>
      <c r="L662" s="70"/>
      <c r="M662" s="70"/>
      <c r="N662" s="70"/>
      <c r="O662" s="40"/>
      <c r="P662" s="23"/>
      <c r="Q662" s="23"/>
      <c r="R662" s="72"/>
      <c r="S662" s="72"/>
      <c r="T662" s="23"/>
      <c r="U662" s="40"/>
      <c r="V662" s="23"/>
      <c r="W662" s="72"/>
      <c r="X662" s="23"/>
      <c r="Y662" s="40"/>
      <c r="Z662" s="23"/>
      <c r="AA662" s="72"/>
      <c r="AB662" s="23"/>
      <c r="AC662" s="40"/>
      <c r="AD662" s="23"/>
      <c r="AE662" s="23"/>
    </row>
    <row r="663" spans="1:31" ht="12.75">
      <c r="A663" s="23"/>
      <c r="B663" s="64"/>
      <c r="C663" s="62"/>
      <c r="D663" s="92"/>
      <c r="E663" s="65"/>
      <c r="F663" s="65"/>
      <c r="G663" s="67"/>
      <c r="H663" s="67"/>
      <c r="I663" s="71"/>
      <c r="J663" s="70"/>
      <c r="K663" s="23"/>
      <c r="L663" s="70"/>
      <c r="M663" s="70"/>
      <c r="N663" s="70"/>
      <c r="O663" s="40"/>
      <c r="P663" s="23"/>
      <c r="Q663" s="23"/>
      <c r="R663" s="72"/>
      <c r="S663" s="72"/>
      <c r="T663" s="23"/>
      <c r="U663" s="40"/>
      <c r="V663" s="23"/>
      <c r="W663" s="72"/>
      <c r="X663" s="23"/>
      <c r="Y663" s="40"/>
      <c r="Z663" s="23"/>
      <c r="AA663" s="72"/>
      <c r="AB663" s="23"/>
      <c r="AC663" s="40"/>
      <c r="AD663" s="23"/>
      <c r="AE663" s="23"/>
    </row>
    <row r="664" spans="1:31" ht="12.75">
      <c r="A664" s="23"/>
      <c r="B664" s="64"/>
      <c r="C664" s="62"/>
      <c r="D664" s="92"/>
      <c r="E664" s="65"/>
      <c r="F664" s="65"/>
      <c r="G664" s="67"/>
      <c r="H664" s="67"/>
      <c r="I664" s="71"/>
      <c r="J664" s="70"/>
      <c r="K664" s="23"/>
      <c r="L664" s="70"/>
      <c r="M664" s="70"/>
      <c r="N664" s="70"/>
      <c r="O664" s="40"/>
      <c r="P664" s="23"/>
      <c r="Q664" s="23"/>
      <c r="R664" s="72"/>
      <c r="S664" s="72"/>
      <c r="T664" s="23"/>
      <c r="U664" s="40"/>
      <c r="V664" s="23"/>
      <c r="W664" s="72"/>
      <c r="X664" s="23"/>
      <c r="Y664" s="40"/>
      <c r="Z664" s="23"/>
      <c r="AA664" s="72"/>
      <c r="AB664" s="23"/>
      <c r="AC664" s="40"/>
      <c r="AD664" s="23"/>
      <c r="AE664" s="23"/>
    </row>
    <row r="665" spans="1:31" ht="12.75">
      <c r="A665" s="23"/>
      <c r="B665" s="64"/>
      <c r="C665" s="62"/>
      <c r="D665" s="92"/>
      <c r="E665" s="65"/>
      <c r="F665" s="65"/>
      <c r="G665" s="67"/>
      <c r="H665" s="67"/>
      <c r="I665" s="71"/>
      <c r="J665" s="70"/>
      <c r="K665" s="23"/>
      <c r="L665" s="70"/>
      <c r="M665" s="70"/>
      <c r="N665" s="70"/>
      <c r="O665" s="40"/>
      <c r="P665" s="23"/>
      <c r="Q665" s="23"/>
      <c r="R665" s="72"/>
      <c r="S665" s="72"/>
      <c r="T665" s="23"/>
      <c r="U665" s="40"/>
      <c r="V665" s="23"/>
      <c r="W665" s="72"/>
      <c r="X665" s="23"/>
      <c r="Y665" s="40"/>
      <c r="Z665" s="23"/>
      <c r="AA665" s="72"/>
      <c r="AB665" s="23"/>
      <c r="AC665" s="40"/>
      <c r="AD665" s="23"/>
      <c r="AE665" s="23"/>
    </row>
    <row r="666" spans="1:31" ht="12.75">
      <c r="A666" s="23"/>
      <c r="B666" s="64"/>
      <c r="C666" s="62"/>
      <c r="D666" s="92"/>
      <c r="E666" s="65"/>
      <c r="F666" s="65"/>
      <c r="G666" s="67"/>
      <c r="H666" s="67"/>
      <c r="I666" s="71"/>
      <c r="J666" s="70"/>
      <c r="K666" s="23"/>
      <c r="L666" s="70"/>
      <c r="M666" s="70"/>
      <c r="N666" s="70"/>
      <c r="O666" s="40"/>
      <c r="P666" s="23"/>
      <c r="Q666" s="23"/>
      <c r="R666" s="72"/>
      <c r="S666" s="72"/>
      <c r="T666" s="23"/>
      <c r="U666" s="40"/>
      <c r="V666" s="23"/>
      <c r="W666" s="72"/>
      <c r="X666" s="23"/>
      <c r="Y666" s="40"/>
      <c r="Z666" s="23"/>
      <c r="AA666" s="72"/>
      <c r="AB666" s="23"/>
      <c r="AC666" s="40"/>
      <c r="AD666" s="23"/>
      <c r="AE666" s="23"/>
    </row>
    <row r="667" spans="1:31" ht="12.75">
      <c r="A667" s="23"/>
      <c r="B667" s="64"/>
      <c r="C667" s="62"/>
      <c r="D667" s="92"/>
      <c r="E667" s="65"/>
      <c r="F667" s="65"/>
      <c r="G667" s="67"/>
      <c r="H667" s="67"/>
      <c r="I667" s="71"/>
      <c r="J667" s="70"/>
      <c r="K667" s="23"/>
      <c r="L667" s="70"/>
      <c r="M667" s="70"/>
      <c r="N667" s="70"/>
      <c r="O667" s="40"/>
      <c r="P667" s="23"/>
      <c r="Q667" s="23"/>
      <c r="R667" s="72"/>
      <c r="S667" s="72"/>
      <c r="T667" s="23"/>
      <c r="U667" s="40"/>
      <c r="V667" s="23"/>
      <c r="W667" s="72"/>
      <c r="X667" s="23"/>
      <c r="Y667" s="40"/>
      <c r="Z667" s="23"/>
      <c r="AA667" s="72"/>
      <c r="AB667" s="23"/>
      <c r="AC667" s="40"/>
      <c r="AD667" s="23"/>
      <c r="AE667" s="23"/>
    </row>
    <row r="668" spans="1:31" ht="12.75">
      <c r="A668" s="23"/>
      <c r="B668" s="64"/>
      <c r="C668" s="62"/>
      <c r="D668" s="92"/>
      <c r="E668" s="65"/>
      <c r="F668" s="65"/>
      <c r="G668" s="67"/>
      <c r="H668" s="67"/>
      <c r="I668" s="71"/>
      <c r="J668" s="70"/>
      <c r="K668" s="23"/>
      <c r="L668" s="70"/>
      <c r="M668" s="70"/>
      <c r="N668" s="70"/>
      <c r="O668" s="40"/>
      <c r="P668" s="23"/>
      <c r="Q668" s="23"/>
      <c r="R668" s="72"/>
      <c r="S668" s="72"/>
      <c r="T668" s="23"/>
      <c r="U668" s="40"/>
      <c r="V668" s="23"/>
      <c r="W668" s="72"/>
      <c r="X668" s="23"/>
      <c r="Y668" s="40"/>
      <c r="Z668" s="23"/>
      <c r="AA668" s="72"/>
      <c r="AB668" s="23"/>
      <c r="AC668" s="40"/>
      <c r="AD668" s="23"/>
      <c r="AE668" s="23"/>
    </row>
    <row r="669" spans="1:31" ht="12.75">
      <c r="A669" s="23"/>
      <c r="B669" s="64"/>
      <c r="C669" s="62"/>
      <c r="D669" s="92"/>
      <c r="E669" s="65"/>
      <c r="F669" s="65"/>
      <c r="G669" s="67"/>
      <c r="H669" s="67"/>
      <c r="I669" s="71"/>
      <c r="J669" s="70"/>
      <c r="K669" s="23"/>
      <c r="L669" s="70"/>
      <c r="M669" s="70"/>
      <c r="N669" s="70"/>
      <c r="O669" s="40"/>
      <c r="P669" s="23"/>
      <c r="Q669" s="23"/>
      <c r="R669" s="72"/>
      <c r="S669" s="72"/>
      <c r="T669" s="23"/>
      <c r="U669" s="40"/>
      <c r="V669" s="23"/>
      <c r="W669" s="72"/>
      <c r="X669" s="23"/>
      <c r="Y669" s="40"/>
      <c r="Z669" s="23"/>
      <c r="AA669" s="72"/>
      <c r="AB669" s="23"/>
      <c r="AC669" s="40"/>
      <c r="AD669" s="23"/>
      <c r="AE669" s="23"/>
    </row>
    <row r="670" spans="1:31" ht="12.75">
      <c r="A670" s="23"/>
      <c r="B670" s="64"/>
      <c r="C670" s="62"/>
      <c r="D670" s="92"/>
      <c r="E670" s="65"/>
      <c r="F670" s="65"/>
      <c r="G670" s="67"/>
      <c r="H670" s="67"/>
      <c r="I670" s="71"/>
      <c r="J670" s="70"/>
      <c r="K670" s="23"/>
      <c r="L670" s="70"/>
      <c r="M670" s="70"/>
      <c r="N670" s="70"/>
      <c r="O670" s="40"/>
      <c r="P670" s="23"/>
      <c r="Q670" s="23"/>
      <c r="R670" s="72"/>
      <c r="S670" s="72"/>
      <c r="T670" s="23"/>
      <c r="U670" s="40"/>
      <c r="V670" s="23"/>
      <c r="W670" s="72"/>
      <c r="X670" s="23"/>
      <c r="Y670" s="40"/>
      <c r="Z670" s="23"/>
      <c r="AA670" s="72"/>
      <c r="AB670" s="23"/>
      <c r="AC670" s="40"/>
      <c r="AD670" s="23"/>
      <c r="AE670" s="23"/>
    </row>
    <row r="671" spans="1:31" ht="12.75">
      <c r="A671" s="23"/>
      <c r="B671" s="64"/>
      <c r="C671" s="62"/>
      <c r="D671" s="92"/>
      <c r="E671" s="65"/>
      <c r="F671" s="65"/>
      <c r="G671" s="67"/>
      <c r="H671" s="67"/>
      <c r="I671" s="71"/>
      <c r="J671" s="70"/>
      <c r="K671" s="23"/>
      <c r="L671" s="70"/>
      <c r="M671" s="70"/>
      <c r="N671" s="70"/>
      <c r="O671" s="40"/>
      <c r="P671" s="23"/>
      <c r="Q671" s="23"/>
      <c r="R671" s="72"/>
      <c r="S671" s="72"/>
      <c r="T671" s="23"/>
      <c r="U671" s="40"/>
      <c r="V671" s="23"/>
      <c r="W671" s="72"/>
      <c r="X671" s="23"/>
      <c r="Y671" s="40"/>
      <c r="Z671" s="23"/>
      <c r="AA671" s="72"/>
      <c r="AB671" s="23"/>
      <c r="AC671" s="40"/>
      <c r="AD671" s="23"/>
      <c r="AE671" s="23"/>
    </row>
    <row r="672" spans="1:31" ht="12.75">
      <c r="A672" s="23"/>
      <c r="B672" s="64"/>
      <c r="C672" s="62"/>
      <c r="D672" s="92"/>
      <c r="E672" s="65"/>
      <c r="F672" s="65"/>
      <c r="G672" s="67"/>
      <c r="H672" s="67"/>
      <c r="I672" s="71"/>
      <c r="J672" s="70"/>
      <c r="K672" s="23"/>
      <c r="L672" s="70"/>
      <c r="M672" s="70"/>
      <c r="N672" s="70"/>
      <c r="O672" s="40"/>
      <c r="P672" s="23"/>
      <c r="Q672" s="23"/>
      <c r="R672" s="72"/>
      <c r="S672" s="72"/>
      <c r="T672" s="23"/>
      <c r="U672" s="40"/>
      <c r="V672" s="23"/>
      <c r="W672" s="72"/>
      <c r="X672" s="23"/>
      <c r="Y672" s="40"/>
      <c r="Z672" s="23"/>
      <c r="AA672" s="72"/>
      <c r="AB672" s="23"/>
      <c r="AC672" s="40"/>
      <c r="AD672" s="23"/>
      <c r="AE672" s="23"/>
    </row>
    <row r="673" spans="1:31" ht="12" customHeight="1">
      <c r="A673" s="23"/>
      <c r="B673" s="40"/>
      <c r="C673" s="40"/>
      <c r="D673" s="92"/>
      <c r="E673" s="65"/>
      <c r="F673" s="65"/>
      <c r="G673" s="67"/>
      <c r="H673" s="67"/>
      <c r="I673" s="71"/>
      <c r="J673" s="70"/>
      <c r="K673" s="23"/>
      <c r="L673" s="70"/>
      <c r="M673" s="70"/>
      <c r="N673" s="70"/>
      <c r="O673" s="23"/>
      <c r="P673" s="23"/>
      <c r="Q673" s="23"/>
      <c r="R673" s="72"/>
      <c r="S673" s="23"/>
      <c r="T673" s="23"/>
      <c r="U673" s="23"/>
      <c r="V673" s="23"/>
      <c r="W673" s="23"/>
      <c r="X673" s="23"/>
      <c r="Y673" s="23"/>
      <c r="Z673" s="23"/>
      <c r="AA673" s="23"/>
      <c r="AB673" s="23"/>
      <c r="AC673" s="23"/>
      <c r="AD673" s="23"/>
      <c r="AE673" s="23"/>
    </row>
    <row r="674" spans="1:31" ht="12" customHeight="1">
      <c r="A674" s="23"/>
      <c r="B674" s="40"/>
      <c r="C674" s="40"/>
      <c r="D674" s="92"/>
      <c r="E674" s="65"/>
      <c r="F674" s="65"/>
      <c r="G674" s="67"/>
      <c r="H674" s="67"/>
      <c r="I674" s="71"/>
      <c r="J674" s="70"/>
      <c r="K674" s="23"/>
      <c r="L674" s="70"/>
      <c r="M674" s="70"/>
      <c r="N674" s="70"/>
      <c r="O674" s="23"/>
      <c r="P674" s="23"/>
      <c r="Q674" s="23"/>
      <c r="R674" s="72"/>
      <c r="S674" s="23"/>
      <c r="T674" s="23"/>
      <c r="U674" s="23"/>
      <c r="V674" s="23"/>
      <c r="W674" s="23"/>
      <c r="X674" s="23"/>
      <c r="Y674" s="23"/>
      <c r="Z674" s="23"/>
      <c r="AA674" s="23"/>
      <c r="AB674" s="23"/>
      <c r="AC674" s="23"/>
      <c r="AD674" s="23"/>
      <c r="AE674" s="23"/>
    </row>
    <row r="675" spans="1:31" ht="12" customHeight="1">
      <c r="A675" s="23"/>
      <c r="B675" s="40"/>
      <c r="C675" s="40"/>
      <c r="D675" s="92"/>
      <c r="E675" s="65"/>
      <c r="F675" s="65"/>
      <c r="G675" s="67"/>
      <c r="H675" s="67"/>
      <c r="I675" s="71"/>
      <c r="J675" s="70"/>
      <c r="K675" s="23"/>
      <c r="L675" s="70"/>
      <c r="M675" s="70"/>
      <c r="N675" s="70"/>
      <c r="O675" s="23"/>
      <c r="P675" s="23"/>
      <c r="Q675" s="23"/>
      <c r="R675" s="72"/>
      <c r="S675" s="23"/>
      <c r="T675" s="23"/>
      <c r="U675" s="23"/>
      <c r="V675" s="23"/>
      <c r="W675" s="23"/>
      <c r="X675" s="23"/>
      <c r="Y675" s="23"/>
      <c r="Z675" s="23"/>
      <c r="AA675" s="23"/>
      <c r="AB675" s="23"/>
      <c r="AC675" s="23"/>
      <c r="AD675" s="23"/>
      <c r="AE675" s="23"/>
    </row>
    <row r="676" spans="1:31" ht="12" customHeight="1">
      <c r="A676" s="23"/>
      <c r="B676" s="40"/>
      <c r="C676" s="40"/>
      <c r="D676" s="92"/>
      <c r="E676" s="65"/>
      <c r="F676" s="65"/>
      <c r="G676" s="67"/>
      <c r="H676" s="67"/>
      <c r="I676" s="71"/>
      <c r="J676" s="70"/>
      <c r="K676" s="23"/>
      <c r="L676" s="70"/>
      <c r="M676" s="70"/>
      <c r="N676" s="70"/>
      <c r="O676" s="23"/>
      <c r="P676" s="23"/>
      <c r="Q676" s="23"/>
      <c r="R676" s="72"/>
      <c r="S676" s="23"/>
      <c r="T676" s="23"/>
      <c r="U676" s="23"/>
      <c r="V676" s="23"/>
      <c r="W676" s="23"/>
      <c r="X676" s="23"/>
      <c r="Y676" s="23"/>
      <c r="Z676" s="23"/>
      <c r="AA676" s="23"/>
      <c r="AB676" s="23"/>
      <c r="AC676" s="23"/>
      <c r="AD676" s="23"/>
      <c r="AE676" s="23"/>
    </row>
    <row r="677" spans="1:31" ht="12" customHeight="1">
      <c r="A677" s="23"/>
      <c r="B677" s="40"/>
      <c r="C677" s="40"/>
      <c r="D677" s="92"/>
      <c r="E677" s="65"/>
      <c r="F677" s="65"/>
      <c r="G677" s="67"/>
      <c r="H677" s="67"/>
      <c r="I677" s="71"/>
      <c r="J677" s="70"/>
      <c r="K677" s="23"/>
      <c r="L677" s="70"/>
      <c r="M677" s="70"/>
      <c r="N677" s="70"/>
      <c r="O677" s="23"/>
      <c r="P677" s="23"/>
      <c r="Q677" s="23"/>
      <c r="R677" s="72"/>
      <c r="S677" s="23"/>
      <c r="T677" s="23"/>
      <c r="U677" s="23"/>
      <c r="V677" s="23"/>
      <c r="W677" s="23"/>
      <c r="X677" s="23"/>
      <c r="Y677" s="23"/>
      <c r="Z677" s="23"/>
      <c r="AA677" s="23"/>
      <c r="AB677" s="23"/>
      <c r="AC677" s="23"/>
      <c r="AD677" s="23"/>
      <c r="AE677" s="23"/>
    </row>
    <row r="678" spans="1:31" ht="12" customHeight="1">
      <c r="A678" s="23"/>
      <c r="B678" s="40"/>
      <c r="C678" s="40"/>
      <c r="D678" s="92"/>
      <c r="E678" s="65"/>
      <c r="F678" s="65"/>
      <c r="G678" s="67"/>
      <c r="H678" s="67"/>
      <c r="I678" s="71"/>
      <c r="J678" s="70"/>
      <c r="K678" s="23"/>
      <c r="L678" s="70"/>
      <c r="M678" s="70"/>
      <c r="N678" s="70"/>
      <c r="O678" s="23"/>
      <c r="P678" s="23"/>
      <c r="Q678" s="23"/>
      <c r="R678" s="72"/>
      <c r="S678" s="23"/>
      <c r="T678" s="23"/>
      <c r="U678" s="23"/>
      <c r="V678" s="23"/>
      <c r="W678" s="23"/>
      <c r="X678" s="23"/>
      <c r="Y678" s="23"/>
      <c r="Z678" s="23"/>
      <c r="AA678" s="23"/>
      <c r="AB678" s="23"/>
      <c r="AC678" s="23"/>
      <c r="AD678" s="23"/>
      <c r="AE678" s="23"/>
    </row>
    <row r="679" spans="1:31" ht="12" customHeight="1">
      <c r="A679" s="23"/>
      <c r="B679" s="40"/>
      <c r="C679" s="40"/>
      <c r="D679" s="92"/>
      <c r="E679" s="65"/>
      <c r="F679" s="65"/>
      <c r="G679" s="67"/>
      <c r="H679" s="67"/>
      <c r="I679" s="71"/>
      <c r="J679" s="70"/>
      <c r="K679" s="23"/>
      <c r="L679" s="70"/>
      <c r="M679" s="70"/>
      <c r="N679" s="70"/>
      <c r="O679" s="23"/>
      <c r="P679" s="23"/>
      <c r="Q679" s="23"/>
      <c r="R679" s="72"/>
      <c r="S679" s="23"/>
      <c r="T679" s="23"/>
      <c r="U679" s="23"/>
      <c r="V679" s="23"/>
      <c r="W679" s="23"/>
      <c r="X679" s="23"/>
      <c r="Y679" s="23"/>
      <c r="Z679" s="23"/>
      <c r="AA679" s="23"/>
      <c r="AB679" s="23"/>
      <c r="AC679" s="23"/>
      <c r="AD679" s="23"/>
      <c r="AE679" s="23"/>
    </row>
    <row r="680" spans="1:31" ht="12" customHeight="1">
      <c r="A680" s="23"/>
      <c r="B680" s="40"/>
      <c r="C680" s="40"/>
      <c r="D680" s="92"/>
      <c r="E680" s="65"/>
      <c r="F680" s="65"/>
      <c r="G680" s="67"/>
      <c r="H680" s="67"/>
      <c r="I680" s="71"/>
      <c r="J680" s="70"/>
      <c r="K680" s="23"/>
      <c r="L680" s="70"/>
      <c r="M680" s="70"/>
      <c r="N680" s="70"/>
      <c r="O680" s="23"/>
      <c r="P680" s="23"/>
      <c r="Q680" s="23"/>
      <c r="R680" s="72"/>
      <c r="S680" s="23"/>
      <c r="T680" s="23"/>
      <c r="U680" s="23"/>
      <c r="V680" s="23"/>
      <c r="W680" s="23"/>
      <c r="X680" s="23"/>
      <c r="Y680" s="23"/>
      <c r="Z680" s="23"/>
      <c r="AA680" s="23"/>
      <c r="AB680" s="23"/>
      <c r="AC680" s="23"/>
      <c r="AD680" s="23"/>
      <c r="AE680" s="23"/>
    </row>
    <row r="681" spans="1:31" ht="12" customHeight="1">
      <c r="A681" s="23"/>
      <c r="B681" s="40"/>
      <c r="C681" s="40"/>
      <c r="D681" s="92"/>
      <c r="E681" s="65"/>
      <c r="F681" s="65"/>
      <c r="G681" s="67"/>
      <c r="H681" s="67"/>
      <c r="I681" s="71"/>
      <c r="J681" s="70"/>
      <c r="K681" s="23"/>
      <c r="L681" s="70"/>
      <c r="M681" s="70"/>
      <c r="N681" s="70"/>
      <c r="O681" s="23"/>
      <c r="P681" s="23"/>
      <c r="Q681" s="23"/>
      <c r="R681" s="72"/>
      <c r="S681" s="23"/>
      <c r="T681" s="23"/>
      <c r="U681" s="23"/>
      <c r="V681" s="23"/>
      <c r="W681" s="23"/>
      <c r="X681" s="23"/>
      <c r="Y681" s="23"/>
      <c r="Z681" s="23"/>
      <c r="AA681" s="23"/>
      <c r="AB681" s="23"/>
      <c r="AC681" s="23"/>
      <c r="AD681" s="23"/>
      <c r="AE681" s="23"/>
    </row>
    <row r="682" spans="1:31" ht="12" customHeight="1">
      <c r="A682" s="23"/>
      <c r="B682" s="40"/>
      <c r="C682" s="40"/>
      <c r="D682" s="92"/>
      <c r="E682" s="65"/>
      <c r="F682" s="65"/>
      <c r="G682" s="67"/>
      <c r="H682" s="67"/>
      <c r="I682" s="71"/>
      <c r="J682" s="70"/>
      <c r="K682" s="23"/>
      <c r="L682" s="70"/>
      <c r="M682" s="70"/>
      <c r="N682" s="70"/>
      <c r="O682" s="23"/>
      <c r="P682" s="23"/>
      <c r="Q682" s="23"/>
      <c r="R682" s="72"/>
      <c r="S682" s="23"/>
      <c r="T682" s="23"/>
      <c r="U682" s="23"/>
      <c r="V682" s="23"/>
      <c r="W682" s="23"/>
      <c r="X682" s="23"/>
      <c r="Y682" s="23"/>
      <c r="Z682" s="23"/>
      <c r="AA682" s="23"/>
      <c r="AB682" s="23"/>
      <c r="AC682" s="23"/>
      <c r="AD682" s="23"/>
      <c r="AE682" s="23"/>
    </row>
    <row r="683" spans="1:31" ht="12" customHeight="1">
      <c r="A683" s="23"/>
      <c r="B683" s="40"/>
      <c r="C683" s="40"/>
      <c r="D683" s="92"/>
      <c r="E683" s="65"/>
      <c r="F683" s="65"/>
      <c r="G683" s="67"/>
      <c r="H683" s="67"/>
      <c r="I683" s="71"/>
      <c r="J683" s="70"/>
      <c r="K683" s="23"/>
      <c r="L683" s="70"/>
      <c r="M683" s="70"/>
      <c r="N683" s="70"/>
      <c r="O683" s="23"/>
      <c r="P683" s="23"/>
      <c r="Q683" s="23"/>
      <c r="R683" s="72"/>
      <c r="S683" s="23"/>
      <c r="T683" s="23"/>
      <c r="U683" s="23"/>
      <c r="V683" s="23"/>
      <c r="W683" s="23"/>
      <c r="X683" s="23"/>
      <c r="Y683" s="23"/>
      <c r="Z683" s="23"/>
      <c r="AA683" s="23"/>
      <c r="AB683" s="23"/>
      <c r="AC683" s="23"/>
      <c r="AD683" s="23"/>
      <c r="AE683" s="23"/>
    </row>
    <row r="684" spans="1:31" ht="12" customHeight="1">
      <c r="A684" s="23"/>
      <c r="B684" s="40"/>
      <c r="C684" s="40"/>
      <c r="D684" s="92"/>
      <c r="E684" s="65"/>
      <c r="F684" s="65"/>
      <c r="G684" s="67"/>
      <c r="H684" s="67"/>
      <c r="I684" s="71"/>
      <c r="J684" s="70"/>
      <c r="K684" s="23"/>
      <c r="L684" s="70"/>
      <c r="M684" s="70"/>
      <c r="N684" s="70"/>
      <c r="O684" s="23"/>
      <c r="P684" s="23"/>
      <c r="Q684" s="23"/>
      <c r="R684" s="72"/>
      <c r="S684" s="23"/>
      <c r="T684" s="23"/>
      <c r="U684" s="23"/>
      <c r="V684" s="23"/>
      <c r="W684" s="23"/>
      <c r="X684" s="23"/>
      <c r="Y684" s="23"/>
      <c r="Z684" s="23"/>
      <c r="AA684" s="23"/>
      <c r="AB684" s="23"/>
      <c r="AC684" s="23"/>
      <c r="AD684" s="23"/>
      <c r="AE684" s="23"/>
    </row>
    <row r="685" spans="1:31" ht="12" customHeight="1">
      <c r="A685" s="23"/>
      <c r="B685" s="40"/>
      <c r="C685" s="40"/>
      <c r="D685" s="92"/>
      <c r="E685" s="65"/>
      <c r="F685" s="65"/>
      <c r="G685" s="67"/>
      <c r="H685" s="67"/>
      <c r="I685" s="71"/>
      <c r="J685" s="70"/>
      <c r="K685" s="23"/>
      <c r="L685" s="70"/>
      <c r="M685" s="70"/>
      <c r="N685" s="70"/>
      <c r="O685" s="23"/>
      <c r="P685" s="23"/>
      <c r="Q685" s="23"/>
      <c r="R685" s="72"/>
      <c r="S685" s="23"/>
      <c r="T685" s="23"/>
      <c r="U685" s="23"/>
      <c r="V685" s="23"/>
      <c r="W685" s="23"/>
      <c r="X685" s="23"/>
      <c r="Y685" s="23"/>
      <c r="Z685" s="23"/>
      <c r="AA685" s="23"/>
      <c r="AB685" s="23"/>
      <c r="AC685" s="23"/>
      <c r="AD685" s="23"/>
      <c r="AE685" s="23"/>
    </row>
    <row r="686" spans="1:31" ht="12" customHeight="1">
      <c r="A686" s="23"/>
      <c r="B686" s="40"/>
      <c r="C686" s="40"/>
      <c r="D686" s="92"/>
      <c r="E686" s="65"/>
      <c r="F686" s="65"/>
      <c r="G686" s="67"/>
      <c r="H686" s="67"/>
      <c r="I686" s="71"/>
      <c r="J686" s="70"/>
      <c r="K686" s="23"/>
      <c r="L686" s="70"/>
      <c r="M686" s="70"/>
      <c r="N686" s="70"/>
      <c r="O686" s="23"/>
      <c r="P686" s="23"/>
      <c r="Q686" s="23"/>
      <c r="R686" s="72"/>
      <c r="S686" s="23"/>
      <c r="T686" s="23"/>
      <c r="U686" s="23"/>
      <c r="V686" s="23"/>
      <c r="W686" s="23"/>
      <c r="X686" s="23"/>
      <c r="Y686" s="23"/>
      <c r="Z686" s="23"/>
      <c r="AA686" s="23"/>
      <c r="AB686" s="23"/>
      <c r="AC686" s="23"/>
      <c r="AD686" s="23"/>
      <c r="AE686" s="23"/>
    </row>
    <row r="687" spans="1:31" ht="12" customHeight="1">
      <c r="A687" s="23"/>
      <c r="B687" s="40"/>
      <c r="C687" s="40"/>
      <c r="D687" s="92"/>
      <c r="E687" s="65"/>
      <c r="F687" s="65"/>
      <c r="G687" s="67"/>
      <c r="H687" s="67"/>
      <c r="I687" s="71"/>
      <c r="J687" s="70"/>
      <c r="K687" s="23"/>
      <c r="L687" s="70"/>
      <c r="M687" s="70"/>
      <c r="N687" s="70"/>
      <c r="O687" s="23"/>
      <c r="P687" s="23"/>
      <c r="Q687" s="23"/>
      <c r="R687" s="72"/>
      <c r="S687" s="23"/>
      <c r="T687" s="23"/>
      <c r="U687" s="23"/>
      <c r="V687" s="23"/>
      <c r="W687" s="23"/>
      <c r="X687" s="23"/>
      <c r="Y687" s="23"/>
      <c r="Z687" s="23"/>
      <c r="AA687" s="23"/>
      <c r="AB687" s="23"/>
      <c r="AC687" s="23"/>
      <c r="AD687" s="23"/>
      <c r="AE687" s="23"/>
    </row>
    <row r="688" spans="1:31" ht="12.75">
      <c r="A688" s="23"/>
      <c r="B688" s="40"/>
      <c r="C688" s="40"/>
      <c r="D688" s="92"/>
      <c r="E688" s="65"/>
      <c r="F688" s="65"/>
      <c r="G688" s="67"/>
      <c r="H688" s="67"/>
      <c r="I688" s="40"/>
      <c r="J688" s="70"/>
      <c r="K688" s="23"/>
      <c r="L688" s="70"/>
      <c r="M688" s="70"/>
      <c r="N688" s="23"/>
      <c r="O688" s="23"/>
      <c r="P688" s="23"/>
      <c r="Q688" s="23"/>
      <c r="R688" s="72"/>
      <c r="S688" s="23"/>
      <c r="T688" s="23"/>
      <c r="U688" s="23"/>
      <c r="V688" s="23"/>
      <c r="W688" s="23"/>
      <c r="X688" s="23"/>
      <c r="Y688" s="23"/>
      <c r="Z688" s="23"/>
      <c r="AA688" s="23"/>
      <c r="AB688" s="23"/>
      <c r="AC688" s="23"/>
      <c r="AD688" s="23"/>
      <c r="AE688" s="23"/>
    </row>
    <row r="689" spans="1:31" ht="12.75">
      <c r="A689" s="23"/>
      <c r="B689" s="40"/>
      <c r="C689" s="40"/>
      <c r="D689" s="92"/>
      <c r="E689" s="65"/>
      <c r="F689" s="65"/>
      <c r="G689" s="67"/>
      <c r="H689" s="67"/>
      <c r="I689" s="40"/>
      <c r="J689" s="70"/>
      <c r="K689" s="23"/>
      <c r="L689" s="70"/>
      <c r="M689" s="70"/>
      <c r="N689" s="23"/>
      <c r="O689" s="23"/>
      <c r="P689" s="23"/>
      <c r="Q689" s="23"/>
      <c r="R689" s="72"/>
      <c r="S689" s="23"/>
      <c r="T689" s="23"/>
      <c r="U689" s="23"/>
      <c r="V689" s="23"/>
      <c r="W689" s="23"/>
      <c r="X689" s="23"/>
      <c r="Y689" s="23"/>
      <c r="Z689" s="23"/>
      <c r="AA689" s="23"/>
      <c r="AB689" s="23"/>
      <c r="AC689" s="23"/>
      <c r="AD689" s="23"/>
      <c r="AE689" s="23"/>
    </row>
    <row r="690" spans="1:31" ht="12.75">
      <c r="A690" s="23"/>
      <c r="B690" s="40"/>
      <c r="C690" s="40"/>
      <c r="D690" s="92"/>
      <c r="E690" s="65"/>
      <c r="F690" s="65"/>
      <c r="G690" s="67"/>
      <c r="H690" s="67"/>
      <c r="I690" s="40"/>
      <c r="J690" s="70"/>
      <c r="K690" s="23"/>
      <c r="L690" s="70"/>
      <c r="M690" s="70"/>
      <c r="N690" s="23"/>
      <c r="O690" s="23"/>
      <c r="P690" s="23"/>
      <c r="Q690" s="23"/>
      <c r="R690" s="72"/>
      <c r="S690" s="23"/>
      <c r="T690" s="23"/>
      <c r="U690" s="23"/>
      <c r="V690" s="23"/>
      <c r="W690" s="23"/>
      <c r="X690" s="23"/>
      <c r="Y690" s="23"/>
      <c r="Z690" s="23"/>
      <c r="AA690" s="23"/>
      <c r="AB690" s="23"/>
      <c r="AC690" s="23"/>
      <c r="AD690" s="23"/>
      <c r="AE690" s="23"/>
    </row>
    <row r="691" spans="1:31" ht="12.75">
      <c r="A691" s="23"/>
      <c r="B691" s="40"/>
      <c r="C691" s="40"/>
      <c r="D691" s="92"/>
      <c r="E691" s="65"/>
      <c r="F691" s="65"/>
      <c r="G691" s="67"/>
      <c r="H691" s="67"/>
      <c r="I691" s="40"/>
      <c r="J691" s="70"/>
      <c r="K691" s="23"/>
      <c r="L691" s="70"/>
      <c r="M691" s="70"/>
      <c r="N691" s="23"/>
      <c r="O691" s="23"/>
      <c r="P691" s="23"/>
      <c r="Q691" s="23"/>
      <c r="R691" s="72"/>
      <c r="S691" s="23"/>
      <c r="T691" s="23"/>
      <c r="U691" s="23"/>
      <c r="V691" s="23"/>
      <c r="W691" s="23"/>
      <c r="X691" s="23"/>
      <c r="Y691" s="23"/>
      <c r="Z691" s="23"/>
      <c r="AA691" s="23"/>
      <c r="AB691" s="23"/>
      <c r="AC691" s="23"/>
      <c r="AD691" s="23"/>
      <c r="AE691" s="23"/>
    </row>
    <row r="692" spans="1:31" ht="12.75">
      <c r="A692" s="23"/>
      <c r="B692" s="40"/>
      <c r="C692" s="40"/>
      <c r="D692" s="92"/>
      <c r="E692" s="65"/>
      <c r="F692" s="65"/>
      <c r="G692" s="67"/>
      <c r="H692" s="67"/>
      <c r="I692" s="40"/>
      <c r="J692" s="70"/>
      <c r="K692" s="23"/>
      <c r="L692" s="70"/>
      <c r="M692" s="70"/>
      <c r="N692" s="23"/>
      <c r="O692" s="23"/>
      <c r="P692" s="23"/>
      <c r="Q692" s="23"/>
      <c r="R692" s="72"/>
      <c r="S692" s="23"/>
      <c r="T692" s="23"/>
      <c r="U692" s="23"/>
      <c r="V692" s="23"/>
      <c r="W692" s="23"/>
      <c r="X692" s="23"/>
      <c r="Y692" s="23"/>
      <c r="Z692" s="23"/>
      <c r="AA692" s="23"/>
      <c r="AB692" s="23"/>
      <c r="AC692" s="23"/>
      <c r="AD692" s="23"/>
      <c r="AE692" s="23"/>
    </row>
    <row r="693" spans="1:31" ht="12.75">
      <c r="A693" s="23"/>
      <c r="B693" s="40"/>
      <c r="C693" s="40"/>
      <c r="D693" s="92"/>
      <c r="E693" s="65"/>
      <c r="F693" s="65"/>
      <c r="G693" s="67"/>
      <c r="H693" s="67"/>
      <c r="I693" s="40"/>
      <c r="J693" s="70"/>
      <c r="K693" s="23"/>
      <c r="L693" s="70"/>
      <c r="M693" s="70"/>
      <c r="N693" s="23"/>
      <c r="O693" s="23"/>
      <c r="P693" s="23"/>
      <c r="Q693" s="23"/>
      <c r="R693" s="72"/>
      <c r="S693" s="23"/>
      <c r="T693" s="23"/>
      <c r="U693" s="23"/>
      <c r="V693" s="23"/>
      <c r="W693" s="23"/>
      <c r="X693" s="23"/>
      <c r="Y693" s="23"/>
      <c r="Z693" s="23"/>
      <c r="AA693" s="23"/>
      <c r="AB693" s="23"/>
      <c r="AC693" s="23"/>
      <c r="AD693" s="23"/>
      <c r="AE693" s="23"/>
    </row>
    <row r="694" spans="1:31">
      <c r="A694" s="23"/>
      <c r="B694" s="40"/>
      <c r="C694" s="40"/>
      <c r="D694" s="23"/>
      <c r="E694" s="65"/>
      <c r="F694" s="23"/>
      <c r="G694" s="67"/>
      <c r="H694" s="67"/>
      <c r="I694" s="40"/>
      <c r="J694" s="70"/>
      <c r="K694" s="23"/>
      <c r="L694" s="70"/>
      <c r="M694" s="70"/>
      <c r="N694" s="23"/>
      <c r="O694" s="23"/>
      <c r="P694" s="23"/>
      <c r="Q694" s="23"/>
      <c r="R694" s="72"/>
      <c r="S694" s="23"/>
      <c r="T694" s="23"/>
      <c r="U694" s="23"/>
      <c r="V694" s="23"/>
      <c r="W694" s="23"/>
      <c r="X694" s="23"/>
      <c r="Y694" s="23"/>
      <c r="Z694" s="23"/>
      <c r="AA694" s="23"/>
      <c r="AB694" s="23"/>
      <c r="AC694" s="23"/>
      <c r="AD694" s="23"/>
      <c r="AE694" s="23"/>
    </row>
    <row r="695" spans="1:31" s="56" customFormat="1">
      <c r="A695" s="73"/>
      <c r="B695" s="85"/>
      <c r="C695" s="85"/>
      <c r="D695" s="73"/>
      <c r="E695" s="73"/>
      <c r="F695" s="73"/>
      <c r="G695" s="73"/>
      <c r="H695" s="99"/>
      <c r="I695" s="85"/>
      <c r="J695" s="86"/>
      <c r="K695" s="73"/>
      <c r="L695" s="86"/>
      <c r="M695" s="86"/>
      <c r="N695" s="73"/>
      <c r="O695" s="73"/>
      <c r="P695" s="73"/>
      <c r="Q695" s="73"/>
      <c r="R695" s="90"/>
      <c r="S695" s="73"/>
      <c r="T695" s="73"/>
      <c r="U695" s="73"/>
      <c r="V695" s="73"/>
      <c r="W695" s="73"/>
      <c r="X695" s="73"/>
      <c r="Y695" s="73"/>
      <c r="Z695" s="73"/>
      <c r="AA695" s="73"/>
      <c r="AB695" s="73"/>
      <c r="AC695" s="73"/>
      <c r="AD695" s="73"/>
      <c r="AE695" s="73"/>
    </row>
    <row r="696" spans="1:31" ht="50.1" customHeight="1">
      <c r="A696" s="23"/>
      <c r="B696" s="40"/>
      <c r="C696" s="40"/>
      <c r="D696" s="23"/>
      <c r="E696" s="23"/>
      <c r="F696" s="23"/>
      <c r="G696" s="67"/>
      <c r="H696" s="67"/>
      <c r="I696" s="40"/>
      <c r="J696" s="70"/>
      <c r="K696" s="23"/>
      <c r="L696" s="70"/>
      <c r="M696" s="70"/>
      <c r="N696" s="23"/>
      <c r="O696" s="23"/>
      <c r="P696" s="23"/>
      <c r="Q696" s="23"/>
      <c r="R696" s="72"/>
      <c r="S696" s="23"/>
      <c r="T696" s="23"/>
      <c r="U696" s="23"/>
      <c r="V696" s="23"/>
      <c r="W696" s="23"/>
      <c r="X696" s="23"/>
      <c r="Y696" s="23"/>
      <c r="Z696" s="23"/>
      <c r="AA696" s="23"/>
      <c r="AB696" s="23"/>
      <c r="AC696" s="23"/>
      <c r="AD696" s="23"/>
      <c r="AE696" s="23"/>
    </row>
    <row r="697" spans="1:31" ht="24" customHeight="1">
      <c r="A697" s="23"/>
      <c r="B697" s="40"/>
      <c r="C697" s="40"/>
      <c r="D697" s="23"/>
      <c r="E697" s="23"/>
      <c r="F697" s="23"/>
      <c r="G697" s="67"/>
      <c r="H697" s="67"/>
      <c r="I697" s="40"/>
      <c r="J697" s="70"/>
      <c r="K697" s="23"/>
      <c r="L697" s="70"/>
      <c r="M697" s="70"/>
      <c r="N697" s="23"/>
      <c r="O697" s="23"/>
      <c r="P697" s="23"/>
      <c r="Q697" s="23"/>
      <c r="R697" s="72"/>
      <c r="S697" s="23"/>
      <c r="T697" s="23"/>
      <c r="U697" s="23"/>
      <c r="V697" s="23"/>
      <c r="W697" s="23"/>
      <c r="X697" s="23"/>
      <c r="Y697" s="23"/>
      <c r="Z697" s="23"/>
      <c r="AA697" s="23"/>
      <c r="AB697" s="23"/>
      <c r="AC697" s="23"/>
      <c r="AD697" s="23"/>
      <c r="AE697" s="23"/>
    </row>
    <row r="698" spans="1:31">
      <c r="A698" s="23"/>
      <c r="B698" s="40"/>
      <c r="C698" s="40"/>
      <c r="D698" s="23"/>
      <c r="E698" s="23"/>
      <c r="F698" s="23"/>
      <c r="G698" s="23"/>
      <c r="H698" s="67"/>
      <c r="I698" s="40"/>
      <c r="J698" s="70"/>
      <c r="K698" s="23"/>
      <c r="L698" s="70"/>
      <c r="M698" s="70"/>
      <c r="N698" s="23"/>
      <c r="O698" s="23"/>
      <c r="P698" s="23"/>
      <c r="Q698" s="23"/>
      <c r="R698" s="72"/>
      <c r="S698" s="23"/>
      <c r="T698" s="23"/>
      <c r="U698" s="23"/>
      <c r="V698" s="23"/>
      <c r="W698" s="23"/>
      <c r="X698" s="23"/>
      <c r="Y698" s="23"/>
      <c r="Z698" s="23"/>
      <c r="AA698" s="23"/>
      <c r="AB698" s="23"/>
      <c r="AC698" s="23"/>
      <c r="AD698" s="23"/>
      <c r="AE698" s="23"/>
    </row>
    <row r="699" spans="1:31" ht="45" customHeight="1">
      <c r="A699" s="23"/>
      <c r="B699" s="40"/>
      <c r="C699" s="40"/>
      <c r="D699" s="23"/>
      <c r="E699" s="23"/>
      <c r="F699" s="23"/>
      <c r="G699" s="23"/>
      <c r="H699" s="67"/>
      <c r="I699" s="40"/>
      <c r="J699" s="70"/>
      <c r="K699" s="23"/>
      <c r="L699" s="70"/>
      <c r="M699" s="70"/>
      <c r="N699" s="23"/>
      <c r="O699" s="23"/>
      <c r="P699" s="23"/>
      <c r="Q699" s="23"/>
      <c r="R699" s="72"/>
      <c r="S699" s="23"/>
      <c r="T699" s="23"/>
      <c r="U699" s="23"/>
      <c r="V699" s="23"/>
      <c r="W699" s="23"/>
      <c r="X699" s="23"/>
      <c r="Y699" s="23"/>
      <c r="Z699" s="23"/>
      <c r="AA699" s="23"/>
      <c r="AB699" s="23"/>
      <c r="AC699" s="23"/>
      <c r="AD699" s="23"/>
      <c r="AE699" s="23"/>
    </row>
    <row r="700" spans="1:31">
      <c r="A700" s="23"/>
      <c r="B700" s="40"/>
      <c r="C700" s="40"/>
      <c r="D700" s="23"/>
      <c r="E700" s="23"/>
      <c r="F700" s="23"/>
      <c r="G700" s="23"/>
      <c r="H700" s="67"/>
      <c r="I700" s="40"/>
      <c r="J700" s="70"/>
      <c r="K700" s="23"/>
      <c r="L700" s="70"/>
      <c r="M700" s="70"/>
      <c r="N700" s="23"/>
      <c r="O700" s="23"/>
      <c r="P700" s="23"/>
      <c r="Q700" s="23"/>
      <c r="R700" s="72"/>
      <c r="S700" s="23"/>
      <c r="T700" s="23"/>
      <c r="U700" s="23"/>
      <c r="V700" s="23"/>
      <c r="W700" s="23"/>
      <c r="X700" s="23"/>
      <c r="Y700" s="23"/>
      <c r="Z700" s="23"/>
      <c r="AA700" s="23"/>
      <c r="AB700" s="23"/>
      <c r="AC700" s="23"/>
      <c r="AD700" s="23"/>
      <c r="AE700" s="23"/>
    </row>
    <row r="701" spans="1:31">
      <c r="A701" s="23"/>
      <c r="B701" s="40"/>
      <c r="C701" s="40"/>
      <c r="D701" s="23"/>
      <c r="E701" s="23"/>
      <c r="F701" s="23"/>
      <c r="G701" s="23"/>
      <c r="H701" s="67"/>
      <c r="I701" s="40"/>
      <c r="J701" s="70"/>
      <c r="K701" s="23"/>
      <c r="L701" s="70"/>
      <c r="M701" s="70"/>
      <c r="N701" s="23"/>
      <c r="O701" s="23"/>
      <c r="P701" s="23"/>
      <c r="Q701" s="23"/>
      <c r="R701" s="72"/>
      <c r="S701" s="23"/>
      <c r="T701" s="23"/>
      <c r="U701" s="23"/>
      <c r="V701" s="23"/>
      <c r="W701" s="23"/>
      <c r="X701" s="23"/>
      <c r="Y701" s="23"/>
      <c r="Z701" s="23"/>
      <c r="AA701" s="23"/>
      <c r="AB701" s="23"/>
      <c r="AC701" s="23"/>
      <c r="AD701" s="23"/>
      <c r="AE701" s="23"/>
    </row>
    <row r="702" spans="1:31">
      <c r="A702" s="23"/>
      <c r="B702" s="40"/>
      <c r="C702" s="40"/>
      <c r="D702" s="23"/>
      <c r="E702" s="23"/>
      <c r="F702" s="23"/>
      <c r="G702" s="23"/>
      <c r="H702" s="67"/>
      <c r="I702" s="40"/>
      <c r="J702" s="70"/>
      <c r="K702" s="23"/>
      <c r="L702" s="70"/>
      <c r="M702" s="70"/>
      <c r="N702" s="23"/>
      <c r="O702" s="23"/>
      <c r="P702" s="23"/>
      <c r="Q702" s="23"/>
      <c r="R702" s="72"/>
      <c r="S702" s="23"/>
      <c r="T702" s="23"/>
      <c r="U702" s="23"/>
      <c r="V702" s="23"/>
      <c r="W702" s="23"/>
      <c r="X702" s="23"/>
      <c r="Y702" s="23"/>
      <c r="Z702" s="23"/>
      <c r="AA702" s="23"/>
      <c r="AB702" s="23"/>
      <c r="AC702" s="23"/>
      <c r="AD702" s="23"/>
      <c r="AE702" s="23"/>
    </row>
    <row r="703" spans="1:31" ht="24" customHeight="1">
      <c r="A703" s="23"/>
      <c r="B703" s="40"/>
      <c r="C703" s="40"/>
      <c r="D703" s="23"/>
      <c r="E703" s="23"/>
      <c r="F703" s="23"/>
      <c r="G703" s="23"/>
      <c r="H703" s="67"/>
      <c r="I703" s="40"/>
      <c r="J703" s="70"/>
      <c r="K703" s="23"/>
      <c r="L703" s="70"/>
      <c r="M703" s="70"/>
      <c r="N703" s="23"/>
      <c r="O703" s="23"/>
      <c r="P703" s="23"/>
      <c r="Q703" s="23"/>
      <c r="R703" s="72"/>
      <c r="S703" s="23"/>
      <c r="T703" s="23"/>
      <c r="U703" s="23"/>
      <c r="V703" s="23"/>
      <c r="W703" s="23"/>
      <c r="X703" s="23"/>
      <c r="Y703" s="23"/>
      <c r="Z703" s="23"/>
      <c r="AA703" s="23"/>
      <c r="AB703" s="23"/>
      <c r="AC703" s="23"/>
      <c r="AD703" s="23"/>
      <c r="AE703" s="23"/>
    </row>
    <row r="704" spans="1:31">
      <c r="A704" s="23"/>
      <c r="B704" s="64"/>
      <c r="C704" s="62"/>
      <c r="D704" s="65"/>
      <c r="E704" s="66"/>
      <c r="F704" s="65"/>
      <c r="G704" s="67"/>
      <c r="H704" s="67"/>
      <c r="I704" s="67"/>
      <c r="J704" s="23"/>
      <c r="K704" s="23"/>
      <c r="L704" s="23"/>
      <c r="M704" s="23"/>
      <c r="N704" s="70"/>
      <c r="O704" s="40"/>
      <c r="P704" s="23"/>
      <c r="Q704" s="23"/>
      <c r="R704" s="72"/>
      <c r="S704" s="72"/>
      <c r="T704" s="23"/>
      <c r="U704" s="40"/>
      <c r="V704" s="23"/>
      <c r="W704" s="72"/>
      <c r="X704" s="23"/>
      <c r="Y704" s="40"/>
      <c r="Z704" s="23"/>
      <c r="AA704" s="72"/>
      <c r="AB704" s="23"/>
      <c r="AC704" s="40"/>
      <c r="AD704" s="23"/>
      <c r="AE704" s="23"/>
    </row>
    <row r="705" spans="1:31">
      <c r="A705" s="23"/>
      <c r="B705" s="64"/>
      <c r="C705" s="62"/>
      <c r="D705" s="65"/>
      <c r="E705" s="66"/>
      <c r="F705" s="65"/>
      <c r="G705" s="67"/>
      <c r="H705" s="67"/>
      <c r="I705" s="67"/>
      <c r="J705" s="23"/>
      <c r="K705" s="23"/>
      <c r="L705" s="23"/>
      <c r="M705" s="23"/>
      <c r="N705" s="70"/>
      <c r="O705" s="40"/>
      <c r="P705" s="23"/>
      <c r="Q705" s="23"/>
      <c r="R705" s="72"/>
      <c r="S705" s="72"/>
      <c r="T705" s="23"/>
      <c r="U705" s="40"/>
      <c r="V705" s="23"/>
      <c r="W705" s="72"/>
      <c r="X705" s="23"/>
      <c r="Y705" s="40"/>
      <c r="Z705" s="23"/>
      <c r="AA705" s="72"/>
      <c r="AB705" s="23"/>
      <c r="AC705" s="40"/>
      <c r="AD705" s="23"/>
      <c r="AE705" s="23"/>
    </row>
    <row r="706" spans="1:31">
      <c r="A706" s="23"/>
      <c r="B706" s="64"/>
      <c r="C706" s="62"/>
      <c r="D706" s="65"/>
      <c r="E706" s="66"/>
      <c r="F706" s="65"/>
      <c r="G706" s="67"/>
      <c r="H706" s="67"/>
      <c r="I706" s="67"/>
      <c r="J706" s="23"/>
      <c r="K706" s="23"/>
      <c r="L706" s="23"/>
      <c r="M706" s="23"/>
      <c r="N706" s="70"/>
      <c r="O706" s="40"/>
      <c r="P706" s="23"/>
      <c r="Q706" s="23"/>
      <c r="R706" s="72"/>
      <c r="S706" s="72"/>
      <c r="T706" s="23"/>
      <c r="U706" s="40"/>
      <c r="V706" s="23"/>
      <c r="W706" s="72"/>
      <c r="X706" s="23"/>
      <c r="Y706" s="40"/>
      <c r="Z706" s="23"/>
      <c r="AA706" s="72"/>
      <c r="AB706" s="23"/>
      <c r="AC706" s="40"/>
      <c r="AD706" s="23"/>
      <c r="AE706" s="23"/>
    </row>
    <row r="707" spans="1:31">
      <c r="A707" s="23"/>
      <c r="B707" s="64"/>
      <c r="C707" s="62"/>
      <c r="D707" s="65"/>
      <c r="E707" s="66"/>
      <c r="F707" s="65"/>
      <c r="G707" s="67"/>
      <c r="H707" s="71"/>
      <c r="I707" s="71"/>
      <c r="J707" s="40"/>
      <c r="K707" s="23"/>
      <c r="L707" s="23"/>
      <c r="M707" s="23"/>
      <c r="N707" s="70"/>
      <c r="O707" s="40"/>
      <c r="P707" s="23"/>
      <c r="Q707" s="23"/>
      <c r="R707" s="72"/>
      <c r="S707" s="72"/>
      <c r="T707" s="23"/>
      <c r="U707" s="40"/>
      <c r="V707" s="23"/>
      <c r="W707" s="72"/>
      <c r="X707" s="23"/>
      <c r="Y707" s="40"/>
      <c r="Z707" s="23"/>
      <c r="AA707" s="72"/>
      <c r="AB707" s="23"/>
      <c r="AC707" s="40"/>
      <c r="AD707" s="23"/>
      <c r="AE707" s="23"/>
    </row>
    <row r="708" spans="1:31">
      <c r="A708" s="23"/>
      <c r="B708" s="64"/>
      <c r="C708" s="62"/>
      <c r="D708" s="65"/>
      <c r="E708" s="66"/>
      <c r="F708" s="65"/>
      <c r="G708" s="67"/>
      <c r="H708" s="67"/>
      <c r="I708" s="67"/>
      <c r="J708" s="23"/>
      <c r="K708" s="23"/>
      <c r="L708" s="23"/>
      <c r="M708" s="23"/>
      <c r="N708" s="70"/>
      <c r="O708" s="40"/>
      <c r="P708" s="23"/>
      <c r="Q708" s="23"/>
      <c r="R708" s="72"/>
      <c r="S708" s="72"/>
      <c r="T708" s="23"/>
      <c r="U708" s="40"/>
      <c r="V708" s="23"/>
      <c r="W708" s="72"/>
      <c r="X708" s="23"/>
      <c r="Y708" s="40"/>
      <c r="Z708" s="23"/>
      <c r="AA708" s="72"/>
      <c r="AB708" s="23"/>
      <c r="AC708" s="40"/>
      <c r="AD708" s="23"/>
      <c r="AE708" s="23"/>
    </row>
    <row r="709" spans="1:31">
      <c r="A709" s="23"/>
      <c r="B709" s="64"/>
      <c r="C709" s="62"/>
      <c r="D709" s="65"/>
      <c r="E709" s="66"/>
      <c r="F709" s="65"/>
      <c r="G709" s="67"/>
      <c r="H709" s="71"/>
      <c r="I709" s="71"/>
      <c r="J709" s="40"/>
      <c r="K709" s="23"/>
      <c r="L709" s="23"/>
      <c r="M709" s="23"/>
      <c r="N709" s="70"/>
      <c r="O709" s="40"/>
      <c r="P709" s="23"/>
      <c r="Q709" s="23"/>
      <c r="R709" s="72"/>
      <c r="S709" s="72"/>
      <c r="T709" s="23"/>
      <c r="U709" s="40"/>
      <c r="V709" s="23"/>
      <c r="W709" s="72"/>
      <c r="X709" s="23"/>
      <c r="Y709" s="40"/>
      <c r="Z709" s="23"/>
      <c r="AA709" s="72"/>
      <c r="AB709" s="23"/>
      <c r="AC709" s="40"/>
      <c r="AD709" s="23"/>
      <c r="AE709" s="23"/>
    </row>
    <row r="710" spans="1:31">
      <c r="A710" s="23"/>
      <c r="B710" s="40"/>
      <c r="C710" s="40"/>
      <c r="D710" s="23"/>
      <c r="E710" s="23"/>
      <c r="F710" s="23"/>
      <c r="G710" s="23"/>
      <c r="H710" s="67"/>
      <c r="I710" s="40"/>
      <c r="J710" s="70"/>
      <c r="K710" s="23"/>
      <c r="L710" s="70"/>
      <c r="M710" s="70"/>
      <c r="N710" s="23"/>
      <c r="O710" s="23"/>
      <c r="P710" s="23"/>
      <c r="Q710" s="23"/>
      <c r="R710" s="72"/>
      <c r="S710" s="23"/>
      <c r="T710" s="23"/>
      <c r="U710" s="23"/>
      <c r="V710" s="23"/>
      <c r="W710" s="23"/>
      <c r="X710" s="23"/>
      <c r="Y710" s="23"/>
      <c r="Z710" s="23"/>
      <c r="AA710" s="23"/>
      <c r="AB710" s="23"/>
      <c r="AC710" s="23"/>
      <c r="AD710" s="23"/>
      <c r="AE710" s="23"/>
    </row>
    <row r="711" spans="1:31">
      <c r="A711" s="23"/>
      <c r="B711" s="40"/>
      <c r="C711" s="40"/>
      <c r="D711" s="23"/>
      <c r="E711" s="23"/>
      <c r="F711" s="23"/>
      <c r="G711" s="23"/>
      <c r="H711" s="67"/>
      <c r="I711" s="40"/>
      <c r="J711" s="70"/>
      <c r="K711" s="23"/>
      <c r="L711" s="70"/>
      <c r="M711" s="70"/>
      <c r="N711" s="23"/>
      <c r="O711" s="23"/>
      <c r="P711" s="23"/>
      <c r="Q711" s="23"/>
      <c r="R711" s="72"/>
      <c r="S711" s="23"/>
      <c r="T711" s="23"/>
      <c r="U711" s="23"/>
      <c r="V711" s="23"/>
      <c r="W711" s="23"/>
      <c r="X711" s="23"/>
      <c r="Y711" s="23"/>
      <c r="Z711" s="23"/>
      <c r="AA711" s="23"/>
      <c r="AB711" s="23"/>
      <c r="AC711" s="23"/>
      <c r="AD711" s="23"/>
      <c r="AE711" s="23"/>
    </row>
    <row r="712" spans="1:31">
      <c r="A712" s="23"/>
      <c r="B712" s="40"/>
      <c r="C712" s="40"/>
      <c r="D712" s="23"/>
      <c r="E712" s="23"/>
      <c r="F712" s="23"/>
      <c r="G712" s="23"/>
      <c r="H712" s="67"/>
      <c r="I712" s="40"/>
      <c r="J712" s="70"/>
      <c r="K712" s="23"/>
      <c r="L712" s="70"/>
      <c r="M712" s="70"/>
      <c r="N712" s="23"/>
      <c r="O712" s="23"/>
      <c r="P712" s="23"/>
      <c r="Q712" s="23"/>
      <c r="R712" s="72"/>
      <c r="S712" s="23"/>
      <c r="T712" s="23"/>
      <c r="U712" s="23"/>
      <c r="V712" s="23"/>
      <c r="W712" s="23"/>
      <c r="X712" s="23"/>
      <c r="Y712" s="23"/>
      <c r="Z712" s="23"/>
      <c r="AA712" s="23"/>
      <c r="AB712" s="23"/>
      <c r="AC712" s="23"/>
      <c r="AD712" s="23"/>
      <c r="AE712" s="23"/>
    </row>
    <row r="713" spans="1:31">
      <c r="A713" s="23"/>
      <c r="B713" s="40"/>
      <c r="C713" s="40"/>
      <c r="D713" s="23"/>
      <c r="E713" s="23"/>
      <c r="F713" s="23"/>
      <c r="G713" s="23"/>
      <c r="H713" s="67"/>
      <c r="I713" s="40"/>
      <c r="J713" s="70"/>
      <c r="K713" s="23"/>
      <c r="L713" s="70"/>
      <c r="M713" s="70"/>
      <c r="N713" s="23"/>
      <c r="O713" s="23"/>
      <c r="P713" s="23"/>
      <c r="Q713" s="23"/>
      <c r="R713" s="72"/>
      <c r="S713" s="23"/>
      <c r="T713" s="23"/>
      <c r="U713" s="23"/>
      <c r="V713" s="23"/>
      <c r="W713" s="23"/>
      <c r="X713" s="23"/>
      <c r="Y713" s="23"/>
      <c r="Z713" s="23"/>
      <c r="AA713" s="23"/>
      <c r="AB713" s="23"/>
      <c r="AC713" s="23"/>
      <c r="AD713" s="23"/>
      <c r="AE713" s="23"/>
    </row>
    <row r="714" spans="1:31">
      <c r="A714" s="23"/>
      <c r="B714" s="40"/>
      <c r="C714" s="40"/>
      <c r="D714" s="23"/>
      <c r="E714" s="23"/>
      <c r="F714" s="23"/>
      <c r="G714" s="23"/>
      <c r="H714" s="67"/>
      <c r="I714" s="40"/>
      <c r="J714" s="70"/>
      <c r="K714" s="23"/>
      <c r="L714" s="70"/>
      <c r="M714" s="70"/>
      <c r="N714" s="23"/>
      <c r="O714" s="23"/>
      <c r="P714" s="23"/>
      <c r="Q714" s="23"/>
      <c r="R714" s="72"/>
      <c r="S714" s="23"/>
      <c r="T714" s="23"/>
      <c r="U714" s="23"/>
      <c r="V714" s="23"/>
      <c r="W714" s="23"/>
      <c r="X714" s="23"/>
      <c r="Y714" s="23"/>
      <c r="Z714" s="23"/>
      <c r="AA714" s="23"/>
      <c r="AB714" s="23"/>
      <c r="AC714" s="23"/>
      <c r="AD714" s="23"/>
      <c r="AE714" s="23"/>
    </row>
    <row r="715" spans="1:31">
      <c r="A715" s="23"/>
      <c r="B715" s="40"/>
      <c r="C715" s="40"/>
      <c r="D715" s="23"/>
      <c r="E715" s="23"/>
      <c r="F715" s="23"/>
      <c r="G715" s="23"/>
      <c r="H715" s="67"/>
      <c r="I715" s="40"/>
      <c r="J715" s="70"/>
      <c r="K715" s="23"/>
      <c r="L715" s="70"/>
      <c r="M715" s="70"/>
      <c r="N715" s="23"/>
      <c r="O715" s="23"/>
      <c r="P715" s="23"/>
      <c r="Q715" s="23"/>
      <c r="R715" s="72"/>
      <c r="S715" s="23"/>
      <c r="T715" s="23"/>
      <c r="U715" s="23"/>
      <c r="V715" s="23"/>
      <c r="W715" s="23"/>
      <c r="X715" s="23"/>
      <c r="Y715" s="23"/>
      <c r="Z715" s="23"/>
      <c r="AA715" s="23"/>
      <c r="AB715" s="23"/>
      <c r="AC715" s="23"/>
      <c r="AD715" s="23"/>
      <c r="AE715" s="23"/>
    </row>
    <row r="716" spans="1:31">
      <c r="A716" s="23"/>
      <c r="B716" s="40"/>
      <c r="C716" s="40"/>
      <c r="D716" s="23"/>
      <c r="E716" s="23"/>
      <c r="F716" s="23"/>
      <c r="G716" s="23"/>
      <c r="H716" s="67"/>
      <c r="I716" s="40"/>
      <c r="J716" s="70"/>
      <c r="K716" s="23"/>
      <c r="L716" s="70"/>
      <c r="M716" s="70"/>
      <c r="N716" s="23"/>
      <c r="O716" s="23"/>
      <c r="P716" s="23"/>
      <c r="Q716" s="23"/>
      <c r="R716" s="72"/>
      <c r="S716" s="23"/>
      <c r="T716" s="23"/>
      <c r="U716" s="23"/>
      <c r="V716" s="23"/>
      <c r="W716" s="23"/>
      <c r="X716" s="23"/>
      <c r="Y716" s="23"/>
      <c r="Z716" s="23"/>
      <c r="AA716" s="23"/>
      <c r="AB716" s="23"/>
      <c r="AC716" s="23"/>
      <c r="AD716" s="23"/>
      <c r="AE716" s="23"/>
    </row>
    <row r="717" spans="1:31">
      <c r="A717" s="23"/>
      <c r="B717" s="40"/>
      <c r="C717" s="40"/>
      <c r="D717" s="23"/>
      <c r="E717" s="23"/>
      <c r="F717" s="23"/>
      <c r="G717" s="23"/>
      <c r="H717" s="67"/>
      <c r="I717" s="40"/>
      <c r="J717" s="70"/>
      <c r="K717" s="23"/>
      <c r="L717" s="70"/>
      <c r="M717" s="70"/>
      <c r="N717" s="23"/>
      <c r="O717" s="23"/>
      <c r="P717" s="23"/>
      <c r="Q717" s="23"/>
      <c r="R717" s="72"/>
      <c r="S717" s="23"/>
      <c r="T717" s="23"/>
      <c r="U717" s="23"/>
      <c r="V717" s="23"/>
      <c r="W717" s="23"/>
      <c r="X717" s="23"/>
      <c r="Y717" s="23"/>
      <c r="Z717" s="23"/>
      <c r="AA717" s="23"/>
      <c r="AB717" s="23"/>
      <c r="AC717" s="23"/>
      <c r="AD717" s="23"/>
      <c r="AE717" s="23"/>
    </row>
    <row r="718" spans="1:31">
      <c r="A718" s="23"/>
      <c r="B718" s="40"/>
      <c r="C718" s="40"/>
      <c r="D718" s="23"/>
      <c r="E718" s="23"/>
      <c r="F718" s="23"/>
      <c r="G718" s="23"/>
      <c r="H718" s="23"/>
      <c r="I718" s="40"/>
      <c r="J718" s="70"/>
      <c r="K718" s="23"/>
      <c r="L718" s="70"/>
      <c r="M718" s="70"/>
      <c r="N718" s="23"/>
      <c r="O718" s="23"/>
      <c r="P718" s="23"/>
      <c r="Q718" s="23"/>
      <c r="R718" s="72"/>
      <c r="S718" s="23"/>
      <c r="T718" s="23"/>
      <c r="U718" s="23"/>
      <c r="V718" s="23"/>
      <c r="W718" s="23"/>
      <c r="X718" s="23"/>
      <c r="Y718" s="23"/>
      <c r="Z718" s="23"/>
      <c r="AA718" s="23"/>
      <c r="AB718" s="23"/>
      <c r="AC718" s="23"/>
      <c r="AD718" s="23"/>
      <c r="AE718" s="23"/>
    </row>
    <row r="719" spans="1:31" ht="33" customHeight="1">
      <c r="A719" s="23"/>
      <c r="B719" s="40"/>
      <c r="C719" s="40"/>
      <c r="D719" s="23"/>
      <c r="E719" s="23"/>
      <c r="F719" s="23"/>
      <c r="G719" s="23"/>
      <c r="H719" s="23"/>
      <c r="I719" s="40"/>
      <c r="J719" s="70"/>
      <c r="K719" s="23"/>
      <c r="L719" s="70"/>
      <c r="M719" s="70"/>
      <c r="N719" s="23"/>
      <c r="O719" s="23"/>
      <c r="P719" s="23"/>
      <c r="Q719" s="23"/>
      <c r="R719" s="72"/>
      <c r="S719" s="23"/>
      <c r="T719" s="23"/>
      <c r="U719" s="23"/>
      <c r="V719" s="23"/>
      <c r="W719" s="23"/>
      <c r="X719" s="23"/>
      <c r="Y719" s="23"/>
      <c r="Z719" s="23"/>
      <c r="AA719" s="23"/>
      <c r="AB719" s="23"/>
      <c r="AC719" s="23"/>
      <c r="AD719" s="23"/>
      <c r="AE719" s="23"/>
    </row>
    <row r="720" spans="1:31" ht="33.950000000000003" customHeight="1">
      <c r="A720" s="23"/>
      <c r="B720" s="40"/>
      <c r="C720" s="40"/>
      <c r="D720" s="23"/>
      <c r="E720" s="23"/>
      <c r="F720" s="23"/>
      <c r="G720" s="23"/>
      <c r="H720" s="40"/>
      <c r="I720" s="40"/>
      <c r="J720" s="70"/>
      <c r="K720" s="23"/>
      <c r="L720" s="70"/>
      <c r="M720" s="70"/>
      <c r="N720" s="23"/>
      <c r="O720" s="23"/>
      <c r="P720" s="23"/>
      <c r="Q720" s="23"/>
      <c r="R720" s="72"/>
      <c r="S720" s="23"/>
      <c r="T720" s="23"/>
      <c r="U720" s="23"/>
      <c r="V720" s="23"/>
      <c r="W720" s="23"/>
      <c r="X720" s="23"/>
      <c r="Y720" s="23"/>
      <c r="Z720" s="23"/>
      <c r="AA720" s="23"/>
      <c r="AB720" s="23"/>
      <c r="AC720" s="23"/>
      <c r="AD720" s="23"/>
      <c r="AE720" s="23"/>
    </row>
    <row r="721" spans="1:31" ht="24" customHeight="1">
      <c r="A721" s="23"/>
      <c r="B721" s="40"/>
      <c r="C721" s="40"/>
      <c r="D721" s="23"/>
      <c r="E721" s="23"/>
      <c r="F721" s="23"/>
      <c r="G721" s="23"/>
      <c r="H721" s="40"/>
      <c r="I721" s="40"/>
      <c r="J721" s="70"/>
      <c r="K721" s="23"/>
      <c r="L721" s="70"/>
      <c r="M721" s="70"/>
      <c r="N721" s="23"/>
      <c r="O721" s="23"/>
      <c r="P721" s="23"/>
      <c r="Q721" s="23"/>
      <c r="R721" s="72"/>
      <c r="S721" s="23"/>
      <c r="T721" s="23"/>
      <c r="U721" s="23"/>
      <c r="V721" s="23"/>
      <c r="W721" s="23"/>
      <c r="X721" s="23"/>
      <c r="Y721" s="23"/>
      <c r="Z721" s="23"/>
      <c r="AA721" s="23"/>
      <c r="AB721" s="23"/>
      <c r="AC721" s="23"/>
      <c r="AD721" s="23"/>
      <c r="AE721" s="23"/>
    </row>
    <row r="722" spans="1:31" ht="23.1" customHeight="1">
      <c r="A722" s="23"/>
      <c r="B722" s="40"/>
      <c r="C722" s="40"/>
      <c r="D722" s="23"/>
      <c r="E722" s="23"/>
      <c r="F722" s="23"/>
      <c r="G722" s="23"/>
      <c r="H722" s="40"/>
      <c r="I722" s="40"/>
      <c r="J722" s="70"/>
      <c r="K722" s="23"/>
      <c r="L722" s="70"/>
      <c r="M722" s="70"/>
      <c r="N722" s="23"/>
      <c r="O722" s="23"/>
      <c r="P722" s="23"/>
      <c r="Q722" s="23"/>
      <c r="R722" s="72"/>
      <c r="S722" s="23"/>
      <c r="T722" s="23"/>
      <c r="U722" s="23"/>
      <c r="V722" s="23"/>
      <c r="W722" s="23"/>
      <c r="X722" s="23"/>
      <c r="Y722" s="23"/>
      <c r="Z722" s="23"/>
      <c r="AA722" s="23"/>
      <c r="AB722" s="23"/>
      <c r="AC722" s="23"/>
      <c r="AD722" s="23"/>
      <c r="AE722" s="23"/>
    </row>
    <row r="723" spans="1:31">
      <c r="A723" s="23"/>
      <c r="B723" s="40"/>
      <c r="C723" s="40"/>
      <c r="D723" s="23"/>
      <c r="E723" s="23"/>
      <c r="F723" s="23"/>
      <c r="G723" s="23"/>
      <c r="H723" s="40"/>
      <c r="I723" s="40"/>
      <c r="J723" s="70"/>
      <c r="K723" s="23"/>
      <c r="L723" s="70"/>
      <c r="M723" s="70"/>
      <c r="N723" s="23"/>
      <c r="O723" s="23"/>
      <c r="P723" s="23"/>
      <c r="Q723" s="23"/>
      <c r="R723" s="72"/>
      <c r="S723" s="23"/>
      <c r="T723" s="23"/>
      <c r="U723" s="23"/>
      <c r="V723" s="23"/>
      <c r="W723" s="23"/>
      <c r="X723" s="23"/>
      <c r="Y723" s="23"/>
      <c r="Z723" s="23"/>
      <c r="AA723" s="23"/>
      <c r="AB723" s="23"/>
      <c r="AC723" s="23"/>
      <c r="AD723" s="23"/>
      <c r="AE723" s="23"/>
    </row>
    <row r="724" spans="1:31">
      <c r="A724" s="23"/>
      <c r="B724" s="40"/>
      <c r="C724" s="40"/>
      <c r="D724" s="23"/>
      <c r="E724" s="23"/>
      <c r="F724" s="23"/>
      <c r="G724" s="23"/>
      <c r="H724" s="40"/>
      <c r="I724" s="40"/>
      <c r="J724" s="70"/>
      <c r="K724" s="23"/>
      <c r="L724" s="70"/>
      <c r="M724" s="70"/>
      <c r="N724" s="23"/>
      <c r="O724" s="23"/>
      <c r="P724" s="23"/>
      <c r="Q724" s="23"/>
      <c r="R724" s="72"/>
      <c r="S724" s="23"/>
      <c r="T724" s="23"/>
      <c r="U724" s="23"/>
      <c r="V724" s="23"/>
      <c r="W724" s="23"/>
      <c r="X724" s="23"/>
      <c r="Y724" s="23"/>
      <c r="Z724" s="23"/>
      <c r="AA724" s="23"/>
      <c r="AB724" s="23"/>
      <c r="AC724" s="23"/>
      <c r="AD724" s="23"/>
      <c r="AE724" s="23"/>
    </row>
    <row r="725" spans="1:31" ht="24" customHeight="1">
      <c r="A725" s="23"/>
      <c r="B725" s="40"/>
      <c r="C725" s="40"/>
      <c r="D725" s="23"/>
      <c r="E725" s="23"/>
      <c r="F725" s="23"/>
      <c r="G725" s="23"/>
      <c r="H725" s="40"/>
      <c r="I725" s="40"/>
      <c r="J725" s="70"/>
      <c r="K725" s="23"/>
      <c r="L725" s="70"/>
      <c r="M725" s="70"/>
      <c r="N725" s="23"/>
      <c r="O725" s="23"/>
      <c r="P725" s="23"/>
      <c r="Q725" s="23"/>
      <c r="R725" s="72"/>
      <c r="S725" s="23"/>
      <c r="T725" s="23"/>
      <c r="U725" s="23"/>
      <c r="V725" s="23"/>
      <c r="W725" s="23"/>
      <c r="X725" s="23"/>
      <c r="Y725" s="23"/>
      <c r="Z725" s="23"/>
      <c r="AA725" s="23"/>
      <c r="AB725" s="23"/>
      <c r="AC725" s="23"/>
      <c r="AD725" s="23"/>
      <c r="AE725" s="23"/>
    </row>
    <row r="726" spans="1:31" ht="42" customHeight="1">
      <c r="A726" s="23"/>
      <c r="B726" s="40"/>
      <c r="C726" s="40"/>
      <c r="D726" s="23"/>
      <c r="E726" s="23"/>
      <c r="F726" s="23"/>
      <c r="G726" s="23"/>
      <c r="H726" s="40"/>
      <c r="I726" s="40"/>
      <c r="J726" s="70"/>
      <c r="K726" s="23"/>
      <c r="L726" s="70"/>
      <c r="M726" s="70"/>
      <c r="N726" s="23"/>
      <c r="O726" s="23"/>
      <c r="P726" s="23"/>
      <c r="Q726" s="23"/>
      <c r="R726" s="72"/>
      <c r="S726" s="23"/>
      <c r="T726" s="23"/>
      <c r="U726" s="23"/>
      <c r="V726" s="23"/>
      <c r="W726" s="23"/>
      <c r="X726" s="23"/>
      <c r="Y726" s="23"/>
      <c r="Z726" s="23"/>
      <c r="AA726" s="23"/>
      <c r="AB726" s="23"/>
      <c r="AC726" s="23"/>
      <c r="AD726" s="23"/>
      <c r="AE726" s="23"/>
    </row>
    <row r="727" spans="1:31">
      <c r="A727" s="23"/>
      <c r="B727" s="40"/>
      <c r="C727" s="40"/>
      <c r="D727" s="23"/>
      <c r="E727" s="23"/>
      <c r="F727" s="23"/>
      <c r="G727" s="23"/>
      <c r="H727" s="40"/>
      <c r="I727" s="40"/>
      <c r="J727" s="70"/>
      <c r="K727" s="23"/>
      <c r="L727" s="70"/>
      <c r="M727" s="70"/>
      <c r="N727" s="23"/>
      <c r="O727" s="23"/>
      <c r="P727" s="23"/>
      <c r="Q727" s="23"/>
      <c r="R727" s="72"/>
      <c r="S727" s="23"/>
      <c r="T727" s="23"/>
      <c r="U727" s="23"/>
      <c r="V727" s="23"/>
      <c r="W727" s="23"/>
      <c r="X727" s="23"/>
      <c r="Y727" s="23"/>
      <c r="Z727" s="23"/>
      <c r="AA727" s="23"/>
      <c r="AB727" s="23"/>
      <c r="AC727" s="23"/>
      <c r="AD727" s="23"/>
      <c r="AE727" s="23"/>
    </row>
    <row r="728" spans="1:31">
      <c r="A728" s="23"/>
      <c r="B728" s="40"/>
      <c r="C728" s="40"/>
      <c r="D728" s="23"/>
      <c r="E728" s="23"/>
      <c r="F728" s="23"/>
      <c r="G728" s="23"/>
      <c r="H728" s="40"/>
      <c r="I728" s="40"/>
      <c r="J728" s="70"/>
      <c r="K728" s="23"/>
      <c r="L728" s="70"/>
      <c r="M728" s="70"/>
      <c r="N728" s="23"/>
      <c r="O728" s="23"/>
      <c r="P728" s="23"/>
      <c r="Q728" s="23"/>
      <c r="R728" s="72"/>
      <c r="S728" s="23"/>
      <c r="T728" s="23"/>
      <c r="U728" s="23"/>
      <c r="V728" s="23"/>
      <c r="W728" s="23"/>
      <c r="X728" s="23"/>
      <c r="Y728" s="23"/>
      <c r="Z728" s="23"/>
      <c r="AA728" s="23"/>
      <c r="AB728" s="23"/>
      <c r="AC728" s="23"/>
      <c r="AD728" s="23"/>
      <c r="AE728" s="23"/>
    </row>
    <row r="729" spans="1:31">
      <c r="A729" s="23"/>
      <c r="B729" s="40"/>
      <c r="C729" s="40"/>
      <c r="D729" s="23"/>
      <c r="E729" s="23"/>
      <c r="F729" s="23"/>
      <c r="G729" s="23"/>
      <c r="H729" s="40"/>
      <c r="I729" s="40"/>
      <c r="J729" s="70"/>
      <c r="K729" s="23"/>
      <c r="L729" s="70"/>
      <c r="M729" s="70"/>
      <c r="N729" s="23"/>
      <c r="O729" s="23"/>
      <c r="P729" s="23"/>
      <c r="Q729" s="23"/>
      <c r="R729" s="72"/>
      <c r="S729" s="23"/>
      <c r="T729" s="23"/>
      <c r="U729" s="23"/>
      <c r="V729" s="23"/>
      <c r="W729" s="23"/>
      <c r="X729" s="23"/>
      <c r="Y729" s="23"/>
      <c r="Z729" s="23"/>
      <c r="AA729" s="23"/>
      <c r="AB729" s="23"/>
      <c r="AC729" s="23"/>
      <c r="AD729" s="23"/>
      <c r="AE729" s="23"/>
    </row>
    <row r="730" spans="1:31">
      <c r="A730" s="23"/>
      <c r="B730" s="40"/>
      <c r="C730" s="40"/>
      <c r="D730" s="23"/>
      <c r="E730" s="23"/>
      <c r="F730" s="23"/>
      <c r="G730" s="23"/>
      <c r="H730" s="40"/>
      <c r="I730" s="40"/>
      <c r="J730" s="70"/>
      <c r="K730" s="23"/>
      <c r="L730" s="70"/>
      <c r="M730" s="70"/>
      <c r="N730" s="23"/>
      <c r="O730" s="23"/>
      <c r="P730" s="23"/>
      <c r="Q730" s="23"/>
      <c r="R730" s="72"/>
      <c r="S730" s="23"/>
      <c r="T730" s="23"/>
      <c r="U730" s="23"/>
      <c r="V730" s="23"/>
      <c r="W730" s="23"/>
      <c r="X730" s="23"/>
      <c r="Y730" s="23"/>
      <c r="Z730" s="23"/>
      <c r="AA730" s="23"/>
      <c r="AB730" s="23"/>
      <c r="AC730" s="23"/>
      <c r="AD730" s="23"/>
      <c r="AE730" s="23"/>
    </row>
    <row r="731" spans="1:31">
      <c r="A731" s="23"/>
      <c r="B731" s="40"/>
      <c r="C731" s="40"/>
      <c r="D731" s="23"/>
      <c r="E731" s="23"/>
      <c r="F731" s="23"/>
      <c r="G731" s="23"/>
      <c r="H731" s="23"/>
      <c r="I731" s="40"/>
      <c r="J731" s="70"/>
      <c r="K731" s="23"/>
      <c r="L731" s="70"/>
      <c r="M731" s="70"/>
      <c r="N731" s="23"/>
      <c r="O731" s="23"/>
      <c r="P731" s="23"/>
      <c r="Q731" s="23"/>
      <c r="R731" s="72"/>
      <c r="S731" s="23"/>
      <c r="T731" s="23"/>
      <c r="U731" s="23"/>
      <c r="V731" s="23"/>
      <c r="W731" s="23"/>
      <c r="X731" s="23"/>
      <c r="Y731" s="23"/>
      <c r="Z731" s="23"/>
      <c r="AA731" s="23"/>
      <c r="AB731" s="23"/>
      <c r="AC731" s="23"/>
      <c r="AD731" s="23"/>
      <c r="AE731" s="23"/>
    </row>
    <row r="732" spans="1:31">
      <c r="A732" s="23"/>
      <c r="B732" s="40"/>
      <c r="C732" s="40"/>
      <c r="D732" s="23"/>
      <c r="E732" s="23"/>
      <c r="F732" s="23"/>
      <c r="G732" s="23"/>
      <c r="H732" s="23"/>
      <c r="I732" s="40"/>
      <c r="J732" s="70"/>
      <c r="K732" s="23"/>
      <c r="L732" s="70"/>
      <c r="M732" s="70"/>
      <c r="N732" s="23"/>
      <c r="O732" s="23"/>
      <c r="P732" s="23"/>
      <c r="Q732" s="23"/>
      <c r="R732" s="72"/>
      <c r="S732" s="23"/>
      <c r="T732" s="23"/>
      <c r="U732" s="23"/>
      <c r="V732" s="23"/>
      <c r="W732" s="23"/>
      <c r="X732" s="23"/>
      <c r="Y732" s="23"/>
      <c r="Z732" s="23"/>
      <c r="AA732" s="23"/>
      <c r="AB732" s="23"/>
      <c r="AC732" s="23"/>
      <c r="AD732" s="23"/>
      <c r="AE732" s="23"/>
    </row>
    <row r="733" spans="1:31">
      <c r="A733" s="23"/>
      <c r="B733" s="40"/>
      <c r="C733" s="40"/>
      <c r="D733" s="23"/>
      <c r="E733" s="23"/>
      <c r="F733" s="23"/>
      <c r="G733" s="23"/>
      <c r="H733" s="23"/>
      <c r="I733" s="40"/>
      <c r="J733" s="70"/>
      <c r="K733" s="23"/>
      <c r="L733" s="70"/>
      <c r="M733" s="70"/>
      <c r="N733" s="23"/>
      <c r="O733" s="23"/>
      <c r="P733" s="23"/>
      <c r="Q733" s="23"/>
      <c r="R733" s="72"/>
      <c r="S733" s="23"/>
      <c r="T733" s="23"/>
      <c r="U733" s="23"/>
      <c r="V733" s="23"/>
      <c r="W733" s="23"/>
      <c r="X733" s="23"/>
      <c r="Y733" s="23"/>
      <c r="Z733" s="23"/>
      <c r="AA733" s="23"/>
      <c r="AB733" s="23"/>
      <c r="AC733" s="23"/>
      <c r="AD733" s="23"/>
      <c r="AE733" s="23"/>
    </row>
    <row r="734" spans="1:31">
      <c r="A734" s="23"/>
      <c r="B734" s="40"/>
      <c r="C734" s="40"/>
      <c r="D734" s="23"/>
      <c r="E734" s="23"/>
      <c r="F734" s="23"/>
      <c r="G734" s="23"/>
      <c r="H734" s="23"/>
      <c r="I734" s="40"/>
      <c r="J734" s="70"/>
      <c r="K734" s="23"/>
      <c r="L734" s="70"/>
      <c r="M734" s="70"/>
      <c r="N734" s="23"/>
      <c r="O734" s="23"/>
      <c r="P734" s="23"/>
      <c r="Q734" s="23"/>
      <c r="R734" s="72"/>
      <c r="S734" s="23"/>
      <c r="T734" s="23"/>
      <c r="U734" s="23"/>
      <c r="V734" s="23"/>
      <c r="W734" s="23"/>
      <c r="X734" s="23"/>
      <c r="Y734" s="23"/>
      <c r="Z734" s="23"/>
      <c r="AA734" s="23"/>
      <c r="AB734" s="23"/>
      <c r="AC734" s="23"/>
      <c r="AD734" s="23"/>
      <c r="AE734" s="23"/>
    </row>
    <row r="735" spans="1:31">
      <c r="A735" s="23"/>
      <c r="B735" s="40"/>
      <c r="C735" s="40"/>
      <c r="D735" s="23"/>
      <c r="E735" s="23"/>
      <c r="F735" s="23"/>
      <c r="G735" s="23"/>
      <c r="H735" s="23"/>
      <c r="I735" s="40"/>
      <c r="J735" s="70"/>
      <c r="K735" s="23"/>
      <c r="L735" s="70"/>
      <c r="M735" s="70"/>
      <c r="N735" s="23"/>
      <c r="O735" s="23"/>
      <c r="P735" s="23"/>
      <c r="Q735" s="23"/>
      <c r="R735" s="72"/>
      <c r="S735" s="23"/>
      <c r="T735" s="23"/>
      <c r="U735" s="23"/>
      <c r="V735" s="23"/>
      <c r="W735" s="23"/>
      <c r="X735" s="23"/>
      <c r="Y735" s="23"/>
      <c r="Z735" s="23"/>
      <c r="AA735" s="23"/>
      <c r="AB735" s="23"/>
      <c r="AC735" s="23"/>
      <c r="AD735" s="23"/>
      <c r="AE735" s="23"/>
    </row>
    <row r="736" spans="1:31">
      <c r="A736" s="23"/>
      <c r="B736" s="40"/>
      <c r="C736" s="40"/>
      <c r="D736" s="23"/>
      <c r="E736" s="23"/>
      <c r="F736" s="23"/>
      <c r="G736" s="23"/>
      <c r="H736" s="23"/>
      <c r="I736" s="40"/>
      <c r="J736" s="70"/>
      <c r="K736" s="23"/>
      <c r="L736" s="70"/>
      <c r="M736" s="70"/>
      <c r="N736" s="23"/>
      <c r="O736" s="23"/>
      <c r="P736" s="23"/>
      <c r="Q736" s="23"/>
      <c r="R736" s="72"/>
      <c r="S736" s="23"/>
      <c r="T736" s="23"/>
      <c r="U736" s="23"/>
      <c r="V736" s="23"/>
      <c r="W736" s="23"/>
      <c r="X736" s="23"/>
      <c r="Y736" s="23"/>
      <c r="Z736" s="23"/>
      <c r="AA736" s="23"/>
      <c r="AB736" s="23"/>
      <c r="AC736" s="23"/>
      <c r="AD736" s="23"/>
      <c r="AE736" s="23"/>
    </row>
    <row r="737" spans="1:31" ht="24" customHeight="1">
      <c r="A737" s="23"/>
      <c r="B737" s="40"/>
      <c r="C737" s="40"/>
      <c r="D737" s="23"/>
      <c r="E737" s="23"/>
      <c r="F737" s="23"/>
      <c r="G737" s="23"/>
      <c r="H737" s="40"/>
      <c r="I737" s="40"/>
      <c r="J737" s="70"/>
      <c r="K737" s="23"/>
      <c r="L737" s="70"/>
      <c r="M737" s="70"/>
      <c r="N737" s="23"/>
      <c r="O737" s="23"/>
      <c r="P737" s="23"/>
      <c r="Q737" s="23"/>
      <c r="R737" s="72"/>
      <c r="S737" s="23"/>
      <c r="T737" s="23"/>
      <c r="U737" s="23"/>
      <c r="V737" s="23"/>
      <c r="W737" s="23"/>
      <c r="X737" s="23"/>
      <c r="Y737" s="23"/>
      <c r="Z737" s="23"/>
      <c r="AA737" s="23"/>
      <c r="AB737" s="23"/>
      <c r="AC737" s="23"/>
      <c r="AD737" s="23"/>
      <c r="AE737" s="23"/>
    </row>
    <row r="738" spans="1:31">
      <c r="A738" s="23"/>
      <c r="B738" s="40"/>
      <c r="C738" s="40"/>
      <c r="D738" s="23"/>
      <c r="E738" s="23"/>
      <c r="F738" s="23"/>
      <c r="G738" s="23"/>
      <c r="H738" s="40"/>
      <c r="I738" s="40"/>
      <c r="J738" s="70"/>
      <c r="K738" s="23"/>
      <c r="L738" s="70"/>
      <c r="M738" s="70"/>
      <c r="N738" s="23"/>
      <c r="O738" s="23"/>
      <c r="P738" s="23"/>
      <c r="Q738" s="23"/>
      <c r="R738" s="72"/>
      <c r="S738" s="23"/>
      <c r="T738" s="23"/>
      <c r="U738" s="23"/>
      <c r="V738" s="23"/>
      <c r="W738" s="23"/>
      <c r="X738" s="23"/>
      <c r="Y738" s="23"/>
      <c r="Z738" s="23"/>
      <c r="AA738" s="23"/>
      <c r="AB738" s="23"/>
      <c r="AC738" s="23"/>
      <c r="AD738" s="23"/>
      <c r="AE738" s="23"/>
    </row>
    <row r="739" spans="1:31">
      <c r="A739" s="23"/>
      <c r="B739" s="40"/>
      <c r="C739" s="40"/>
      <c r="D739" s="23"/>
      <c r="E739" s="23"/>
      <c r="F739" s="23"/>
      <c r="G739" s="23"/>
      <c r="H739" s="40"/>
      <c r="I739" s="40"/>
      <c r="J739" s="70"/>
      <c r="K739" s="23"/>
      <c r="L739" s="70"/>
      <c r="M739" s="70"/>
      <c r="N739" s="23"/>
      <c r="O739" s="23"/>
      <c r="P739" s="23"/>
      <c r="Q739" s="23"/>
      <c r="R739" s="72"/>
      <c r="S739" s="23"/>
      <c r="T739" s="23"/>
      <c r="U739" s="23"/>
      <c r="V739" s="23"/>
      <c r="W739" s="23"/>
      <c r="X739" s="23"/>
      <c r="Y739" s="23"/>
      <c r="Z739" s="23"/>
      <c r="AA739" s="23"/>
      <c r="AB739" s="23"/>
      <c r="AC739" s="23"/>
      <c r="AD739" s="23"/>
      <c r="AE739" s="23"/>
    </row>
    <row r="740" spans="1:31">
      <c r="A740" s="23"/>
      <c r="B740" s="40"/>
      <c r="C740" s="40"/>
      <c r="D740" s="23"/>
      <c r="E740" s="23"/>
      <c r="F740" s="23"/>
      <c r="G740" s="23"/>
      <c r="H740" s="40"/>
      <c r="I740" s="40"/>
      <c r="J740" s="70"/>
      <c r="K740" s="23"/>
      <c r="L740" s="70"/>
      <c r="M740" s="70"/>
      <c r="N740" s="23"/>
      <c r="O740" s="23"/>
      <c r="P740" s="23"/>
      <c r="Q740" s="23"/>
      <c r="R740" s="72"/>
      <c r="S740" s="23"/>
      <c r="T740" s="23"/>
      <c r="U740" s="23"/>
      <c r="V740" s="23"/>
      <c r="W740" s="23"/>
      <c r="X740" s="23"/>
      <c r="Y740" s="23"/>
      <c r="Z740" s="23"/>
      <c r="AA740" s="23"/>
      <c r="AB740" s="23"/>
      <c r="AC740" s="23"/>
      <c r="AD740" s="23"/>
      <c r="AE740" s="23"/>
    </row>
    <row r="741" spans="1:31">
      <c r="A741" s="23"/>
      <c r="B741" s="40"/>
      <c r="C741" s="40"/>
      <c r="D741" s="23"/>
      <c r="E741" s="23"/>
      <c r="F741" s="23"/>
      <c r="G741" s="23"/>
      <c r="H741" s="40"/>
      <c r="I741" s="40"/>
      <c r="J741" s="70"/>
      <c r="K741" s="23"/>
      <c r="L741" s="70"/>
      <c r="M741" s="70"/>
      <c r="N741" s="23"/>
      <c r="O741" s="23"/>
      <c r="P741" s="23"/>
      <c r="Q741" s="23"/>
      <c r="R741" s="72"/>
      <c r="S741" s="23"/>
      <c r="T741" s="23"/>
      <c r="U741" s="23"/>
      <c r="V741" s="23"/>
      <c r="W741" s="23"/>
      <c r="X741" s="23"/>
      <c r="Y741" s="23"/>
      <c r="Z741" s="23"/>
      <c r="AA741" s="23"/>
      <c r="AB741" s="23"/>
      <c r="AC741" s="23"/>
      <c r="AD741" s="23"/>
      <c r="AE741" s="23"/>
    </row>
    <row r="742" spans="1:31">
      <c r="A742" s="23"/>
      <c r="B742" s="40"/>
      <c r="C742" s="40"/>
      <c r="D742" s="23"/>
      <c r="E742" s="23"/>
      <c r="F742" s="23"/>
      <c r="G742" s="23"/>
      <c r="H742" s="40"/>
      <c r="I742" s="40"/>
      <c r="J742" s="70"/>
      <c r="K742" s="23"/>
      <c r="L742" s="70"/>
      <c r="M742" s="70"/>
      <c r="N742" s="23"/>
      <c r="O742" s="23"/>
      <c r="P742" s="23"/>
      <c r="Q742" s="23"/>
      <c r="R742" s="72"/>
      <c r="S742" s="23"/>
      <c r="T742" s="23"/>
      <c r="U742" s="23"/>
      <c r="V742" s="23"/>
      <c r="W742" s="23"/>
      <c r="X742" s="23"/>
      <c r="Y742" s="23"/>
      <c r="Z742" s="23"/>
      <c r="AA742" s="23"/>
      <c r="AB742" s="23"/>
      <c r="AC742" s="23"/>
      <c r="AD742" s="23"/>
      <c r="AE742" s="23"/>
    </row>
    <row r="743" spans="1:31" ht="24" customHeight="1">
      <c r="A743" s="23"/>
      <c r="B743" s="40"/>
      <c r="C743" s="40"/>
      <c r="D743" s="23"/>
      <c r="E743" s="23"/>
      <c r="F743" s="23"/>
      <c r="G743" s="23"/>
      <c r="H743" s="40"/>
      <c r="I743" s="40"/>
      <c r="J743" s="70"/>
      <c r="K743" s="23"/>
      <c r="L743" s="70"/>
      <c r="M743" s="70"/>
      <c r="N743" s="23"/>
      <c r="O743" s="23"/>
      <c r="P743" s="23"/>
      <c r="Q743" s="23"/>
      <c r="R743" s="72"/>
      <c r="S743" s="23"/>
      <c r="T743" s="23"/>
      <c r="U743" s="23"/>
      <c r="V743" s="23"/>
      <c r="W743" s="23"/>
      <c r="X743" s="23"/>
      <c r="Y743" s="23"/>
      <c r="Z743" s="23"/>
      <c r="AA743" s="23"/>
      <c r="AB743" s="23"/>
      <c r="AC743" s="23"/>
      <c r="AD743" s="23"/>
      <c r="AE743" s="23"/>
    </row>
    <row r="744" spans="1:31">
      <c r="A744" s="23"/>
      <c r="B744" s="40"/>
      <c r="C744" s="40"/>
      <c r="D744" s="23"/>
      <c r="E744" s="23"/>
      <c r="F744" s="23"/>
      <c r="G744" s="23"/>
      <c r="H744" s="40"/>
      <c r="I744" s="40"/>
      <c r="J744" s="70"/>
      <c r="K744" s="23"/>
      <c r="L744" s="70"/>
      <c r="M744" s="70"/>
      <c r="N744" s="23"/>
      <c r="O744" s="23"/>
      <c r="P744" s="23"/>
      <c r="Q744" s="23"/>
      <c r="R744" s="72"/>
      <c r="S744" s="23"/>
      <c r="T744" s="23"/>
      <c r="U744" s="23"/>
      <c r="V744" s="23"/>
      <c r="W744" s="23"/>
      <c r="X744" s="23"/>
      <c r="Y744" s="23"/>
      <c r="Z744" s="23"/>
      <c r="AA744" s="23"/>
      <c r="AB744" s="23"/>
      <c r="AC744" s="23"/>
      <c r="AD744" s="23"/>
      <c r="AE744" s="23"/>
    </row>
    <row r="745" spans="1:31">
      <c r="A745" s="23"/>
      <c r="B745" s="40"/>
      <c r="C745" s="40"/>
      <c r="D745" s="23"/>
      <c r="E745" s="23"/>
      <c r="F745" s="23"/>
      <c r="G745" s="23"/>
      <c r="H745" s="40"/>
      <c r="I745" s="40"/>
      <c r="J745" s="70"/>
      <c r="K745" s="23"/>
      <c r="L745" s="70"/>
      <c r="M745" s="70"/>
      <c r="N745" s="23"/>
      <c r="O745" s="23"/>
      <c r="P745" s="23"/>
      <c r="Q745" s="23"/>
      <c r="R745" s="72"/>
      <c r="S745" s="23"/>
      <c r="T745" s="23"/>
      <c r="U745" s="23"/>
      <c r="V745" s="23"/>
      <c r="W745" s="23"/>
      <c r="X745" s="23"/>
      <c r="Y745" s="23"/>
      <c r="Z745" s="23"/>
      <c r="AA745" s="23"/>
      <c r="AB745" s="23"/>
      <c r="AC745" s="23"/>
      <c r="AD745" s="23"/>
      <c r="AE745" s="23"/>
    </row>
    <row r="746" spans="1:31">
      <c r="A746" s="23"/>
      <c r="B746" s="40"/>
      <c r="C746" s="40"/>
      <c r="D746" s="23"/>
      <c r="E746" s="23"/>
      <c r="F746" s="23"/>
      <c r="G746" s="23"/>
      <c r="H746" s="40"/>
      <c r="I746" s="40"/>
      <c r="J746" s="70"/>
      <c r="K746" s="23"/>
      <c r="L746" s="70"/>
      <c r="M746" s="70"/>
      <c r="N746" s="23"/>
      <c r="O746" s="23"/>
      <c r="P746" s="23"/>
      <c r="Q746" s="23"/>
      <c r="R746" s="72"/>
      <c r="S746" s="23"/>
      <c r="T746" s="23"/>
      <c r="U746" s="23"/>
      <c r="V746" s="23"/>
      <c r="W746" s="23"/>
      <c r="X746" s="23"/>
      <c r="Y746" s="23"/>
      <c r="Z746" s="23"/>
      <c r="AA746" s="23"/>
      <c r="AB746" s="23"/>
      <c r="AC746" s="23"/>
      <c r="AD746" s="23"/>
      <c r="AE746" s="23"/>
    </row>
    <row r="747" spans="1:31">
      <c r="A747" s="23"/>
      <c r="B747" s="40"/>
      <c r="C747" s="40"/>
      <c r="D747" s="23"/>
      <c r="E747" s="23"/>
      <c r="F747" s="23"/>
      <c r="G747" s="23"/>
      <c r="H747" s="23"/>
      <c r="I747" s="40"/>
      <c r="J747" s="70"/>
      <c r="K747" s="23"/>
      <c r="L747" s="70"/>
      <c r="M747" s="70"/>
      <c r="N747" s="23"/>
      <c r="O747" s="23"/>
      <c r="P747" s="23"/>
      <c r="Q747" s="23"/>
      <c r="R747" s="72"/>
      <c r="S747" s="23"/>
      <c r="T747" s="23"/>
      <c r="U747" s="23"/>
      <c r="V747" s="23"/>
      <c r="W747" s="23"/>
      <c r="X747" s="23"/>
      <c r="Y747" s="23"/>
      <c r="Z747" s="23"/>
      <c r="AA747" s="23"/>
      <c r="AB747" s="23"/>
      <c r="AC747" s="23"/>
      <c r="AD747" s="23"/>
      <c r="AE747" s="23"/>
    </row>
    <row r="748" spans="1:31">
      <c r="A748" s="23"/>
      <c r="B748" s="40"/>
      <c r="C748" s="40"/>
      <c r="D748" s="23"/>
      <c r="E748" s="23"/>
      <c r="F748" s="23"/>
      <c r="G748" s="23"/>
      <c r="H748" s="23"/>
      <c r="I748" s="40"/>
      <c r="J748" s="70"/>
      <c r="K748" s="23"/>
      <c r="L748" s="70"/>
      <c r="M748" s="70"/>
      <c r="N748" s="23"/>
      <c r="O748" s="23"/>
      <c r="P748" s="23"/>
      <c r="Q748" s="23"/>
      <c r="R748" s="72"/>
      <c r="S748" s="23"/>
      <c r="T748" s="23"/>
      <c r="U748" s="23"/>
      <c r="V748" s="23"/>
      <c r="W748" s="23"/>
      <c r="X748" s="23"/>
      <c r="Y748" s="23"/>
      <c r="Z748" s="23"/>
      <c r="AA748" s="23"/>
      <c r="AB748" s="23"/>
      <c r="AC748" s="23"/>
      <c r="AD748" s="23"/>
      <c r="AE748" s="23"/>
    </row>
    <row r="749" spans="1:31">
      <c r="A749" s="23"/>
      <c r="B749" s="40"/>
      <c r="C749" s="40"/>
      <c r="D749" s="23"/>
      <c r="E749" s="23"/>
      <c r="F749" s="23"/>
      <c r="G749" s="23"/>
      <c r="H749" s="23"/>
      <c r="I749" s="40"/>
      <c r="J749" s="70"/>
      <c r="K749" s="23"/>
      <c r="L749" s="70"/>
      <c r="M749" s="70"/>
      <c r="N749" s="23"/>
      <c r="O749" s="23"/>
      <c r="P749" s="23"/>
      <c r="Q749" s="23"/>
      <c r="R749" s="72"/>
      <c r="S749" s="23"/>
      <c r="T749" s="23"/>
      <c r="U749" s="23"/>
      <c r="V749" s="23"/>
      <c r="W749" s="23"/>
      <c r="X749" s="23"/>
      <c r="Y749" s="23"/>
      <c r="Z749" s="23"/>
      <c r="AA749" s="23"/>
      <c r="AB749" s="23"/>
      <c r="AC749" s="23"/>
      <c r="AD749" s="23"/>
      <c r="AE749" s="23"/>
    </row>
    <row r="750" spans="1:31">
      <c r="A750" s="23"/>
      <c r="B750" s="40"/>
      <c r="C750" s="40"/>
      <c r="D750" s="23"/>
      <c r="E750" s="23"/>
      <c r="F750" s="23"/>
      <c r="G750" s="23"/>
      <c r="H750" s="23"/>
      <c r="I750" s="40"/>
      <c r="J750" s="70"/>
      <c r="K750" s="23"/>
      <c r="L750" s="70"/>
      <c r="M750" s="70"/>
      <c r="N750" s="23"/>
      <c r="O750" s="23"/>
      <c r="P750" s="23"/>
      <c r="Q750" s="23"/>
      <c r="R750" s="72"/>
      <c r="S750" s="23"/>
      <c r="T750" s="23"/>
      <c r="U750" s="23"/>
      <c r="V750" s="23"/>
      <c r="W750" s="23"/>
      <c r="X750" s="23"/>
      <c r="Y750" s="23"/>
      <c r="Z750" s="23"/>
      <c r="AA750" s="23"/>
      <c r="AB750" s="23"/>
      <c r="AC750" s="23"/>
      <c r="AD750" s="23"/>
      <c r="AE750" s="23"/>
    </row>
    <row r="751" spans="1:31">
      <c r="A751" s="23"/>
      <c r="B751" s="40"/>
      <c r="C751" s="40"/>
      <c r="D751" s="23"/>
      <c r="E751" s="23"/>
      <c r="F751" s="23"/>
      <c r="G751" s="23"/>
      <c r="H751" s="23"/>
      <c r="I751" s="40"/>
      <c r="J751" s="70"/>
      <c r="K751" s="23"/>
      <c r="L751" s="70"/>
      <c r="M751" s="70"/>
      <c r="N751" s="23"/>
      <c r="O751" s="23"/>
      <c r="P751" s="23"/>
      <c r="Q751" s="23"/>
      <c r="R751" s="72"/>
      <c r="S751" s="23"/>
      <c r="T751" s="23"/>
      <c r="U751" s="23"/>
      <c r="V751" s="23"/>
      <c r="W751" s="23"/>
      <c r="X751" s="23"/>
      <c r="Y751" s="23"/>
      <c r="Z751" s="23"/>
      <c r="AA751" s="23"/>
      <c r="AB751" s="23"/>
      <c r="AC751" s="23"/>
      <c r="AD751" s="23"/>
      <c r="AE751" s="23"/>
    </row>
    <row r="752" spans="1:31">
      <c r="A752" s="23"/>
      <c r="B752" s="40"/>
      <c r="C752" s="40"/>
      <c r="D752" s="23"/>
      <c r="E752" s="23"/>
      <c r="F752" s="23"/>
      <c r="G752" s="23"/>
      <c r="H752" s="23"/>
      <c r="I752" s="40"/>
      <c r="J752" s="70"/>
      <c r="K752" s="23"/>
      <c r="L752" s="70"/>
      <c r="M752" s="70"/>
      <c r="N752" s="23"/>
      <c r="O752" s="23"/>
      <c r="P752" s="23"/>
      <c r="Q752" s="23"/>
      <c r="R752" s="72"/>
      <c r="S752" s="23"/>
      <c r="T752" s="23"/>
      <c r="U752" s="23"/>
      <c r="V752" s="23"/>
      <c r="W752" s="23"/>
      <c r="X752" s="23"/>
      <c r="Y752" s="23"/>
      <c r="Z752" s="23"/>
      <c r="AA752" s="23"/>
      <c r="AB752" s="23"/>
      <c r="AC752" s="23"/>
      <c r="AD752" s="23"/>
      <c r="AE752" s="23"/>
    </row>
    <row r="753" spans="1:31">
      <c r="A753" s="23"/>
      <c r="B753" s="40"/>
      <c r="C753" s="40"/>
      <c r="D753" s="23"/>
      <c r="E753" s="23"/>
      <c r="F753" s="23"/>
      <c r="G753" s="23"/>
      <c r="H753" s="23"/>
      <c r="I753" s="40"/>
      <c r="J753" s="70"/>
      <c r="K753" s="23"/>
      <c r="L753" s="70"/>
      <c r="M753" s="70"/>
      <c r="N753" s="23"/>
      <c r="O753" s="23"/>
      <c r="P753" s="23"/>
      <c r="Q753" s="23"/>
      <c r="R753" s="72"/>
      <c r="S753" s="23"/>
      <c r="T753" s="23"/>
      <c r="U753" s="23"/>
      <c r="V753" s="23"/>
      <c r="W753" s="23"/>
      <c r="X753" s="23"/>
      <c r="Y753" s="23"/>
      <c r="Z753" s="23"/>
      <c r="AA753" s="23"/>
      <c r="AB753" s="23"/>
      <c r="AC753" s="23"/>
      <c r="AD753" s="23"/>
      <c r="AE753" s="23"/>
    </row>
    <row r="754" spans="1:31">
      <c r="A754" s="23"/>
      <c r="B754" s="40"/>
      <c r="C754" s="40"/>
      <c r="D754" s="23"/>
      <c r="E754" s="23"/>
      <c r="F754" s="23"/>
      <c r="G754" s="23"/>
      <c r="H754" s="23"/>
      <c r="I754" s="40"/>
      <c r="J754" s="70"/>
      <c r="K754" s="23"/>
      <c r="L754" s="70"/>
      <c r="M754" s="70"/>
      <c r="N754" s="23"/>
      <c r="O754" s="23"/>
      <c r="P754" s="23"/>
      <c r="Q754" s="23"/>
      <c r="R754" s="72"/>
      <c r="S754" s="23"/>
      <c r="T754" s="23"/>
      <c r="U754" s="23"/>
      <c r="V754" s="23"/>
      <c r="W754" s="23"/>
      <c r="X754" s="23"/>
      <c r="Y754" s="23"/>
      <c r="Z754" s="23"/>
      <c r="AA754" s="23"/>
      <c r="AB754" s="23"/>
      <c r="AC754" s="23"/>
      <c r="AD754" s="23"/>
      <c r="AE754" s="23"/>
    </row>
    <row r="755" spans="1:31">
      <c r="A755" s="23"/>
      <c r="B755" s="40"/>
      <c r="C755" s="40"/>
      <c r="D755" s="23"/>
      <c r="E755" s="23"/>
      <c r="F755" s="23"/>
      <c r="G755" s="23"/>
      <c r="H755" s="23"/>
      <c r="I755" s="40"/>
      <c r="J755" s="70"/>
      <c r="K755" s="23"/>
      <c r="L755" s="70"/>
      <c r="M755" s="70"/>
      <c r="N755" s="23"/>
      <c r="O755" s="23"/>
      <c r="P755" s="23"/>
      <c r="Q755" s="23"/>
      <c r="R755" s="72"/>
      <c r="S755" s="23"/>
      <c r="T755" s="23"/>
      <c r="U755" s="23"/>
      <c r="V755" s="23"/>
      <c r="W755" s="23"/>
      <c r="X755" s="23"/>
      <c r="Y755" s="23"/>
      <c r="Z755" s="23"/>
      <c r="AA755" s="23"/>
      <c r="AB755" s="23"/>
      <c r="AC755" s="23"/>
      <c r="AD755" s="23"/>
      <c r="AE755" s="23"/>
    </row>
    <row r="756" spans="1:31">
      <c r="A756" s="23"/>
      <c r="B756" s="40"/>
      <c r="C756" s="40"/>
      <c r="D756" s="23"/>
      <c r="E756" s="23"/>
      <c r="F756" s="23"/>
      <c r="G756" s="23"/>
      <c r="H756" s="23"/>
      <c r="I756" s="40"/>
      <c r="J756" s="70"/>
      <c r="K756" s="23"/>
      <c r="L756" s="70"/>
      <c r="M756" s="70"/>
      <c r="N756" s="23"/>
      <c r="O756" s="23"/>
      <c r="P756" s="23"/>
      <c r="Q756" s="23"/>
      <c r="R756" s="72"/>
      <c r="S756" s="23"/>
      <c r="T756" s="23"/>
      <c r="U756" s="23"/>
      <c r="V756" s="23"/>
      <c r="W756" s="23"/>
      <c r="X756" s="23"/>
      <c r="Y756" s="23"/>
      <c r="Z756" s="23"/>
      <c r="AA756" s="23"/>
      <c r="AB756" s="23"/>
      <c r="AC756" s="23"/>
      <c r="AD756" s="23"/>
      <c r="AE756" s="23"/>
    </row>
    <row r="757" spans="1:31">
      <c r="A757" s="23"/>
      <c r="B757" s="40"/>
      <c r="C757" s="40"/>
      <c r="D757" s="23"/>
      <c r="E757" s="23"/>
      <c r="F757" s="23"/>
      <c r="G757" s="23"/>
      <c r="H757" s="23"/>
      <c r="I757" s="40"/>
      <c r="J757" s="70"/>
      <c r="K757" s="23"/>
      <c r="L757" s="70"/>
      <c r="M757" s="70"/>
      <c r="N757" s="23"/>
      <c r="O757" s="23"/>
      <c r="P757" s="23"/>
      <c r="Q757" s="23"/>
      <c r="R757" s="72"/>
      <c r="S757" s="23"/>
      <c r="T757" s="23"/>
      <c r="U757" s="23"/>
      <c r="V757" s="23"/>
      <c r="W757" s="23"/>
      <c r="X757" s="23"/>
      <c r="Y757" s="23"/>
      <c r="Z757" s="23"/>
      <c r="AA757" s="23"/>
      <c r="AB757" s="23"/>
      <c r="AC757" s="23"/>
      <c r="AD757" s="23"/>
      <c r="AE757" s="23"/>
    </row>
    <row r="758" spans="1:31" ht="24" customHeight="1">
      <c r="A758" s="23"/>
      <c r="B758" s="40"/>
      <c r="C758" s="40"/>
      <c r="D758" s="23"/>
      <c r="E758" s="23"/>
      <c r="F758" s="23"/>
      <c r="G758" s="23"/>
      <c r="H758" s="40"/>
      <c r="I758" s="40"/>
      <c r="J758" s="70"/>
      <c r="K758" s="23"/>
      <c r="L758" s="70"/>
      <c r="M758" s="70"/>
      <c r="N758" s="23"/>
      <c r="O758" s="23"/>
      <c r="P758" s="23"/>
      <c r="Q758" s="23"/>
      <c r="R758" s="72"/>
      <c r="S758" s="23"/>
      <c r="T758" s="23"/>
      <c r="U758" s="23"/>
      <c r="V758" s="23"/>
      <c r="W758" s="23"/>
      <c r="X758" s="23"/>
      <c r="Y758" s="23"/>
      <c r="Z758" s="23"/>
      <c r="AA758" s="23"/>
      <c r="AB758" s="23"/>
      <c r="AC758" s="23"/>
      <c r="AD758" s="23"/>
      <c r="AE758" s="23"/>
    </row>
    <row r="759" spans="1:31">
      <c r="A759" s="23"/>
      <c r="B759" s="40"/>
      <c r="C759" s="40"/>
      <c r="D759" s="23"/>
      <c r="E759" s="23"/>
      <c r="F759" s="23"/>
      <c r="G759" s="23"/>
      <c r="H759" s="40"/>
      <c r="I759" s="40"/>
      <c r="J759" s="70"/>
      <c r="K759" s="23"/>
      <c r="L759" s="70"/>
      <c r="M759" s="70"/>
      <c r="N759" s="23"/>
      <c r="O759" s="23"/>
      <c r="P759" s="23"/>
      <c r="Q759" s="23"/>
      <c r="R759" s="72"/>
      <c r="S759" s="23"/>
      <c r="T759" s="23"/>
      <c r="U759" s="23"/>
      <c r="V759" s="23"/>
      <c r="W759" s="23"/>
      <c r="X759" s="23"/>
      <c r="Y759" s="23"/>
      <c r="Z759" s="23"/>
      <c r="AA759" s="23"/>
      <c r="AB759" s="23"/>
      <c r="AC759" s="23"/>
      <c r="AD759" s="23"/>
      <c r="AE759" s="23"/>
    </row>
    <row r="760" spans="1:31">
      <c r="A760" s="23"/>
      <c r="B760" s="40"/>
      <c r="C760" s="40"/>
      <c r="D760" s="23"/>
      <c r="E760" s="23"/>
      <c r="F760" s="23"/>
      <c r="G760" s="23"/>
      <c r="H760" s="40"/>
      <c r="I760" s="40"/>
      <c r="J760" s="70"/>
      <c r="K760" s="23"/>
      <c r="L760" s="70"/>
      <c r="M760" s="70"/>
      <c r="N760" s="23"/>
      <c r="O760" s="23"/>
      <c r="P760" s="23"/>
      <c r="Q760" s="23"/>
      <c r="R760" s="72"/>
      <c r="S760" s="23"/>
      <c r="T760" s="23"/>
      <c r="U760" s="23"/>
      <c r="V760" s="23"/>
      <c r="W760" s="23"/>
      <c r="X760" s="23"/>
      <c r="Y760" s="23"/>
      <c r="Z760" s="23"/>
      <c r="AA760" s="23"/>
      <c r="AB760" s="23"/>
      <c r="AC760" s="23"/>
      <c r="AD760" s="23"/>
      <c r="AE760" s="23"/>
    </row>
    <row r="761" spans="1:31">
      <c r="A761" s="23"/>
      <c r="B761" s="40"/>
      <c r="C761" s="40"/>
      <c r="D761" s="23"/>
      <c r="E761" s="23"/>
      <c r="F761" s="23"/>
      <c r="G761" s="23"/>
      <c r="H761" s="40"/>
      <c r="I761" s="40"/>
      <c r="J761" s="70"/>
      <c r="K761" s="23"/>
      <c r="L761" s="70"/>
      <c r="M761" s="70"/>
      <c r="N761" s="23"/>
      <c r="O761" s="23"/>
      <c r="P761" s="23"/>
      <c r="Q761" s="23"/>
      <c r="R761" s="72"/>
      <c r="S761" s="23"/>
      <c r="T761" s="23"/>
      <c r="U761" s="23"/>
      <c r="V761" s="23"/>
      <c r="W761" s="23"/>
      <c r="X761" s="23"/>
      <c r="Y761" s="23"/>
      <c r="Z761" s="23"/>
      <c r="AA761" s="23"/>
      <c r="AB761" s="23"/>
      <c r="AC761" s="23"/>
      <c r="AD761" s="23"/>
      <c r="AE761" s="23"/>
    </row>
    <row r="762" spans="1:31">
      <c r="A762" s="23"/>
      <c r="B762" s="40"/>
      <c r="C762" s="40"/>
      <c r="D762" s="23"/>
      <c r="E762" s="23"/>
      <c r="F762" s="23"/>
      <c r="G762" s="23"/>
      <c r="H762" s="40"/>
      <c r="I762" s="40"/>
      <c r="J762" s="70"/>
      <c r="K762" s="23"/>
      <c r="L762" s="70"/>
      <c r="M762" s="70"/>
      <c r="N762" s="23"/>
      <c r="O762" s="23"/>
      <c r="P762" s="23"/>
      <c r="Q762" s="23"/>
      <c r="R762" s="72"/>
      <c r="S762" s="23"/>
      <c r="T762" s="23"/>
      <c r="U762" s="23"/>
      <c r="V762" s="23"/>
      <c r="W762" s="23"/>
      <c r="X762" s="23"/>
      <c r="Y762" s="23"/>
      <c r="Z762" s="23"/>
      <c r="AA762" s="23"/>
      <c r="AB762" s="23"/>
      <c r="AC762" s="23"/>
      <c r="AD762" s="23"/>
      <c r="AE762" s="23"/>
    </row>
    <row r="763" spans="1:31" ht="24" customHeight="1">
      <c r="A763" s="23"/>
      <c r="B763" s="40"/>
      <c r="C763" s="40"/>
      <c r="D763" s="23"/>
      <c r="E763" s="23"/>
      <c r="F763" s="23"/>
      <c r="G763" s="23"/>
      <c r="H763" s="40"/>
      <c r="I763" s="40"/>
      <c r="J763" s="70"/>
      <c r="K763" s="23"/>
      <c r="L763" s="70"/>
      <c r="M763" s="70"/>
      <c r="N763" s="23"/>
      <c r="O763" s="23"/>
      <c r="P763" s="23"/>
      <c r="Q763" s="23"/>
      <c r="R763" s="72"/>
      <c r="S763" s="23"/>
      <c r="T763" s="23"/>
      <c r="U763" s="23"/>
      <c r="V763" s="23"/>
      <c r="W763" s="23"/>
      <c r="X763" s="23"/>
      <c r="Y763" s="23"/>
      <c r="Z763" s="23"/>
      <c r="AA763" s="23"/>
      <c r="AB763" s="23"/>
      <c r="AC763" s="23"/>
      <c r="AD763" s="23"/>
      <c r="AE763" s="23"/>
    </row>
    <row r="764" spans="1:31">
      <c r="A764" s="23"/>
      <c r="B764" s="40"/>
      <c r="C764" s="40"/>
      <c r="D764" s="23"/>
      <c r="E764" s="23"/>
      <c r="F764" s="23"/>
      <c r="G764" s="23"/>
      <c r="H764" s="40"/>
      <c r="I764" s="40"/>
      <c r="J764" s="70"/>
      <c r="K764" s="23"/>
      <c r="L764" s="70"/>
      <c r="M764" s="70"/>
      <c r="N764" s="23"/>
      <c r="O764" s="23"/>
      <c r="P764" s="23"/>
      <c r="Q764" s="23"/>
      <c r="R764" s="72"/>
      <c r="S764" s="23"/>
      <c r="T764" s="23"/>
      <c r="U764" s="23"/>
      <c r="V764" s="23"/>
      <c r="W764" s="23"/>
      <c r="X764" s="23"/>
      <c r="Y764" s="23"/>
      <c r="Z764" s="23"/>
      <c r="AA764" s="23"/>
      <c r="AB764" s="23"/>
      <c r="AC764" s="23"/>
      <c r="AD764" s="23"/>
      <c r="AE764" s="23"/>
    </row>
    <row r="765" spans="1:31">
      <c r="A765" s="23"/>
      <c r="B765" s="40"/>
      <c r="C765" s="40"/>
      <c r="D765" s="23"/>
      <c r="E765" s="23"/>
      <c r="F765" s="23"/>
      <c r="G765" s="23"/>
      <c r="H765" s="40"/>
      <c r="I765" s="40"/>
      <c r="J765" s="70"/>
      <c r="K765" s="23"/>
      <c r="L765" s="70"/>
      <c r="M765" s="70"/>
      <c r="N765" s="23"/>
      <c r="O765" s="23"/>
      <c r="P765" s="23"/>
      <c r="Q765" s="23"/>
      <c r="R765" s="72"/>
      <c r="S765" s="23"/>
      <c r="T765" s="23"/>
      <c r="U765" s="23"/>
      <c r="V765" s="23"/>
      <c r="W765" s="23"/>
      <c r="X765" s="23"/>
      <c r="Y765" s="23"/>
      <c r="Z765" s="23"/>
      <c r="AA765" s="23"/>
      <c r="AB765" s="23"/>
      <c r="AC765" s="23"/>
      <c r="AD765" s="23"/>
      <c r="AE765" s="23"/>
    </row>
    <row r="766" spans="1:31">
      <c r="A766" s="23"/>
      <c r="B766" s="40"/>
      <c r="C766" s="40"/>
      <c r="D766" s="23"/>
      <c r="E766" s="23"/>
      <c r="F766" s="23"/>
      <c r="G766" s="23"/>
      <c r="H766" s="40"/>
      <c r="I766" s="40"/>
      <c r="J766" s="70"/>
      <c r="K766" s="23"/>
      <c r="L766" s="70"/>
      <c r="M766" s="70"/>
      <c r="N766" s="23"/>
      <c r="O766" s="23"/>
      <c r="P766" s="23"/>
      <c r="Q766" s="23"/>
      <c r="R766" s="72"/>
      <c r="S766" s="23"/>
      <c r="T766" s="23"/>
      <c r="U766" s="23"/>
      <c r="V766" s="23"/>
      <c r="W766" s="23"/>
      <c r="X766" s="23"/>
      <c r="Y766" s="23"/>
      <c r="Z766" s="23"/>
      <c r="AA766" s="23"/>
      <c r="AB766" s="23"/>
      <c r="AC766" s="23"/>
      <c r="AD766" s="23"/>
      <c r="AE766" s="23"/>
    </row>
    <row r="767" spans="1:31">
      <c r="A767" s="23"/>
      <c r="B767" s="40"/>
      <c r="C767" s="40"/>
      <c r="D767" s="23"/>
      <c r="E767" s="23"/>
      <c r="F767" s="23"/>
      <c r="G767" s="23"/>
      <c r="H767" s="40"/>
      <c r="I767" s="40"/>
      <c r="J767" s="70"/>
      <c r="K767" s="23"/>
      <c r="L767" s="70"/>
      <c r="M767" s="70"/>
      <c r="N767" s="23"/>
      <c r="O767" s="23"/>
      <c r="P767" s="23"/>
      <c r="Q767" s="23"/>
      <c r="R767" s="72"/>
      <c r="S767" s="23"/>
      <c r="T767" s="23"/>
      <c r="U767" s="23"/>
      <c r="V767" s="23"/>
      <c r="W767" s="23"/>
      <c r="X767" s="23"/>
      <c r="Y767" s="23"/>
      <c r="Z767" s="23"/>
      <c r="AA767" s="23"/>
      <c r="AB767" s="23"/>
      <c r="AC767" s="23"/>
      <c r="AD767" s="23"/>
      <c r="AE767" s="23"/>
    </row>
    <row r="768" spans="1:31">
      <c r="A768" s="23"/>
      <c r="B768" s="40"/>
      <c r="C768" s="40"/>
      <c r="D768" s="23"/>
      <c r="E768" s="23"/>
      <c r="F768" s="23"/>
      <c r="G768" s="23"/>
      <c r="H768" s="23"/>
      <c r="I768" s="40"/>
      <c r="J768" s="70"/>
      <c r="K768" s="23"/>
      <c r="L768" s="70"/>
      <c r="M768" s="70"/>
      <c r="N768" s="23"/>
      <c r="O768" s="23"/>
      <c r="P768" s="23"/>
      <c r="Q768" s="23"/>
      <c r="R768" s="72"/>
      <c r="S768" s="23"/>
      <c r="T768" s="23"/>
      <c r="U768" s="23"/>
      <c r="V768" s="23"/>
      <c r="W768" s="23"/>
      <c r="X768" s="23"/>
      <c r="Y768" s="23"/>
      <c r="Z768" s="23"/>
      <c r="AA768" s="23"/>
      <c r="AB768" s="23"/>
      <c r="AC768" s="23"/>
      <c r="AD768" s="23"/>
      <c r="AE768" s="23"/>
    </row>
    <row r="769" spans="1:31">
      <c r="A769" s="23"/>
      <c r="B769" s="40"/>
      <c r="C769" s="40"/>
      <c r="D769" s="23"/>
      <c r="E769" s="23"/>
      <c r="F769" s="23"/>
      <c r="G769" s="23"/>
      <c r="H769" s="23"/>
      <c r="I769" s="40"/>
      <c r="J769" s="70"/>
      <c r="K769" s="23"/>
      <c r="L769" s="70"/>
      <c r="M769" s="70"/>
      <c r="N769" s="23"/>
      <c r="O769" s="23"/>
      <c r="P769" s="23"/>
      <c r="Q769" s="23"/>
      <c r="R769" s="72"/>
      <c r="S769" s="23"/>
      <c r="T769" s="23"/>
      <c r="U769" s="23"/>
      <c r="V769" s="23"/>
      <c r="W769" s="23"/>
      <c r="X769" s="23"/>
      <c r="Y769" s="23"/>
      <c r="Z769" s="23"/>
      <c r="AA769" s="23"/>
      <c r="AB769" s="23"/>
      <c r="AC769" s="23"/>
      <c r="AD769" s="23"/>
      <c r="AE769" s="23"/>
    </row>
    <row r="770" spans="1:31">
      <c r="A770" s="23"/>
      <c r="B770" s="40"/>
      <c r="C770" s="40"/>
      <c r="D770" s="23"/>
      <c r="E770" s="23"/>
      <c r="F770" s="23"/>
      <c r="G770" s="23"/>
      <c r="H770" s="23"/>
      <c r="I770" s="40"/>
      <c r="J770" s="70"/>
      <c r="K770" s="23"/>
      <c r="L770" s="70"/>
      <c r="M770" s="70"/>
      <c r="N770" s="23"/>
      <c r="O770" s="23"/>
      <c r="P770" s="23"/>
      <c r="Q770" s="23"/>
      <c r="R770" s="72"/>
      <c r="S770" s="23"/>
      <c r="T770" s="23"/>
      <c r="U770" s="23"/>
      <c r="V770" s="23"/>
      <c r="W770" s="23"/>
      <c r="X770" s="23"/>
      <c r="Y770" s="23"/>
      <c r="Z770" s="23"/>
      <c r="AA770" s="23"/>
      <c r="AB770" s="23"/>
      <c r="AC770" s="23"/>
      <c r="AD770" s="23"/>
      <c r="AE770" s="23"/>
    </row>
    <row r="771" spans="1:31">
      <c r="A771" s="23"/>
      <c r="B771" s="40"/>
      <c r="C771" s="40"/>
      <c r="D771" s="23"/>
      <c r="E771" s="23"/>
      <c r="F771" s="23"/>
      <c r="G771" s="23"/>
      <c r="H771" s="23"/>
      <c r="I771" s="40"/>
      <c r="J771" s="70"/>
      <c r="K771" s="23"/>
      <c r="L771" s="70"/>
      <c r="M771" s="70"/>
      <c r="N771" s="23"/>
      <c r="O771" s="23"/>
      <c r="P771" s="23"/>
      <c r="Q771" s="23"/>
      <c r="R771" s="72"/>
      <c r="S771" s="23"/>
      <c r="T771" s="23"/>
      <c r="U771" s="23"/>
      <c r="V771" s="23"/>
      <c r="W771" s="23"/>
      <c r="X771" s="23"/>
      <c r="Y771" s="23"/>
      <c r="Z771" s="23"/>
      <c r="AA771" s="23"/>
      <c r="AB771" s="23"/>
      <c r="AC771" s="23"/>
      <c r="AD771" s="23"/>
      <c r="AE771" s="23"/>
    </row>
    <row r="772" spans="1:31">
      <c r="A772" s="23"/>
      <c r="B772" s="40"/>
      <c r="C772" s="40"/>
      <c r="D772" s="23"/>
      <c r="E772" s="23"/>
      <c r="F772" s="23"/>
      <c r="G772" s="23"/>
      <c r="H772" s="23"/>
      <c r="I772" s="40"/>
      <c r="J772" s="70"/>
      <c r="K772" s="23"/>
      <c r="L772" s="70"/>
      <c r="M772" s="70"/>
      <c r="N772" s="23"/>
      <c r="O772" s="23"/>
      <c r="P772" s="23"/>
      <c r="Q772" s="23"/>
      <c r="R772" s="72"/>
      <c r="S772" s="23"/>
      <c r="T772" s="23"/>
      <c r="U772" s="23"/>
      <c r="V772" s="23"/>
      <c r="W772" s="23"/>
      <c r="X772" s="23"/>
      <c r="Y772" s="23"/>
      <c r="Z772" s="23"/>
      <c r="AA772" s="23"/>
      <c r="AB772" s="23"/>
      <c r="AC772" s="23"/>
      <c r="AD772" s="23"/>
      <c r="AE772" s="23"/>
    </row>
    <row r="773" spans="1:31">
      <c r="A773" s="23"/>
      <c r="B773" s="40"/>
      <c r="C773" s="40"/>
      <c r="D773" s="23"/>
      <c r="E773" s="23"/>
      <c r="F773" s="23"/>
      <c r="G773" s="23"/>
      <c r="H773" s="23"/>
      <c r="I773" s="40"/>
      <c r="J773" s="70"/>
      <c r="K773" s="23"/>
      <c r="L773" s="70"/>
      <c r="M773" s="70"/>
      <c r="N773" s="23"/>
      <c r="O773" s="23"/>
      <c r="P773" s="23"/>
      <c r="Q773" s="23"/>
      <c r="R773" s="72"/>
      <c r="S773" s="23"/>
      <c r="T773" s="23"/>
      <c r="U773" s="23"/>
      <c r="V773" s="23"/>
      <c r="W773" s="23"/>
      <c r="X773" s="23"/>
      <c r="Y773" s="23"/>
      <c r="Z773" s="23"/>
      <c r="AA773" s="23"/>
      <c r="AB773" s="23"/>
      <c r="AC773" s="23"/>
      <c r="AD773" s="23"/>
      <c r="AE773" s="23"/>
    </row>
    <row r="774" spans="1:31" ht="24" customHeight="1">
      <c r="A774" s="23"/>
      <c r="B774" s="40"/>
      <c r="C774" s="40"/>
      <c r="D774" s="23"/>
      <c r="E774" s="23"/>
      <c r="F774" s="23"/>
      <c r="G774" s="23"/>
      <c r="H774" s="40"/>
      <c r="I774" s="40"/>
      <c r="J774" s="70"/>
      <c r="K774" s="23"/>
      <c r="L774" s="70"/>
      <c r="M774" s="70"/>
      <c r="N774" s="23"/>
      <c r="O774" s="23"/>
      <c r="P774" s="23"/>
      <c r="Q774" s="23"/>
      <c r="R774" s="72"/>
      <c r="S774" s="23"/>
      <c r="T774" s="23"/>
      <c r="U774" s="23"/>
      <c r="V774" s="23"/>
      <c r="W774" s="23"/>
      <c r="X774" s="23"/>
      <c r="Y774" s="23"/>
      <c r="Z774" s="23"/>
      <c r="AA774" s="23"/>
      <c r="AB774" s="23"/>
      <c r="AC774" s="23"/>
      <c r="AD774" s="23"/>
      <c r="AE774" s="23"/>
    </row>
    <row r="775" spans="1:31">
      <c r="A775" s="23"/>
      <c r="B775" s="40"/>
      <c r="C775" s="40"/>
      <c r="D775" s="23"/>
      <c r="E775" s="23"/>
      <c r="F775" s="23"/>
      <c r="G775" s="23"/>
      <c r="H775" s="40"/>
      <c r="I775" s="40"/>
      <c r="J775" s="70"/>
      <c r="K775" s="23"/>
      <c r="L775" s="70"/>
      <c r="M775" s="70"/>
      <c r="N775" s="23"/>
      <c r="O775" s="23"/>
      <c r="P775" s="23"/>
      <c r="Q775" s="23"/>
      <c r="R775" s="72"/>
      <c r="S775" s="23"/>
      <c r="T775" s="23"/>
      <c r="U775" s="23"/>
      <c r="V775" s="23"/>
      <c r="W775" s="23"/>
      <c r="X775" s="23"/>
      <c r="Y775" s="23"/>
      <c r="Z775" s="23"/>
      <c r="AA775" s="23"/>
      <c r="AB775" s="23"/>
      <c r="AC775" s="23"/>
      <c r="AD775" s="23"/>
      <c r="AE775" s="23"/>
    </row>
    <row r="776" spans="1:31">
      <c r="A776" s="23"/>
      <c r="B776" s="40"/>
      <c r="C776" s="40"/>
      <c r="D776" s="23"/>
      <c r="E776" s="23"/>
      <c r="F776" s="23"/>
      <c r="G776" s="23"/>
      <c r="H776" s="40"/>
      <c r="I776" s="40"/>
      <c r="J776" s="70"/>
      <c r="K776" s="23"/>
      <c r="L776" s="70"/>
      <c r="M776" s="70"/>
      <c r="N776" s="23"/>
      <c r="O776" s="23"/>
      <c r="P776" s="23"/>
      <c r="Q776" s="23"/>
      <c r="R776" s="72"/>
      <c r="S776" s="23"/>
      <c r="T776" s="23"/>
      <c r="U776" s="23"/>
      <c r="V776" s="23"/>
      <c r="W776" s="23"/>
      <c r="X776" s="23"/>
      <c r="Y776" s="23"/>
      <c r="Z776" s="23"/>
      <c r="AA776" s="23"/>
      <c r="AB776" s="23"/>
      <c r="AC776" s="23"/>
      <c r="AD776" s="23"/>
      <c r="AE776" s="23"/>
    </row>
    <row r="777" spans="1:31">
      <c r="A777" s="23"/>
      <c r="B777" s="40"/>
      <c r="C777" s="40"/>
      <c r="D777" s="23"/>
      <c r="E777" s="23"/>
      <c r="F777" s="23"/>
      <c r="G777" s="23"/>
      <c r="H777" s="40"/>
      <c r="I777" s="40"/>
      <c r="J777" s="70"/>
      <c r="K777" s="23"/>
      <c r="L777" s="70"/>
      <c r="M777" s="70"/>
      <c r="N777" s="23"/>
      <c r="O777" s="23"/>
      <c r="P777" s="23"/>
      <c r="Q777" s="23"/>
      <c r="R777" s="72"/>
      <c r="S777" s="23"/>
      <c r="T777" s="23"/>
      <c r="U777" s="23"/>
      <c r="V777" s="23"/>
      <c r="W777" s="23"/>
      <c r="X777" s="23"/>
      <c r="Y777" s="23"/>
      <c r="Z777" s="23"/>
      <c r="AA777" s="23"/>
      <c r="AB777" s="23"/>
      <c r="AC777" s="23"/>
      <c r="AD777" s="23"/>
      <c r="AE777" s="23"/>
    </row>
    <row r="778" spans="1:31">
      <c r="A778" s="23"/>
      <c r="B778" s="40"/>
      <c r="C778" s="40"/>
      <c r="D778" s="23"/>
      <c r="E778" s="23"/>
      <c r="F778" s="23"/>
      <c r="G778" s="23"/>
      <c r="H778" s="40"/>
      <c r="I778" s="40"/>
      <c r="J778" s="70"/>
      <c r="K778" s="23"/>
      <c r="L778" s="70"/>
      <c r="M778" s="70"/>
      <c r="N778" s="23"/>
      <c r="O778" s="23"/>
      <c r="P778" s="23"/>
      <c r="Q778" s="23"/>
      <c r="R778" s="72"/>
      <c r="S778" s="23"/>
      <c r="T778" s="23"/>
      <c r="U778" s="23"/>
      <c r="V778" s="23"/>
      <c r="W778" s="23"/>
      <c r="X778" s="23"/>
      <c r="Y778" s="23"/>
      <c r="Z778" s="23"/>
      <c r="AA778" s="23"/>
      <c r="AB778" s="23"/>
      <c r="AC778" s="23"/>
      <c r="AD778" s="23"/>
      <c r="AE778" s="23"/>
    </row>
    <row r="779" spans="1:31" ht="24" customHeight="1">
      <c r="A779" s="23"/>
      <c r="B779" s="40"/>
      <c r="C779" s="40"/>
      <c r="D779" s="23"/>
      <c r="E779" s="23"/>
      <c r="F779" s="23"/>
      <c r="G779" s="23"/>
      <c r="H779" s="40"/>
      <c r="I779" s="40"/>
      <c r="J779" s="70"/>
      <c r="K779" s="23"/>
      <c r="L779" s="70"/>
      <c r="M779" s="70"/>
      <c r="N779" s="23"/>
      <c r="O779" s="23"/>
      <c r="P779" s="23"/>
      <c r="Q779" s="23"/>
      <c r="R779" s="72"/>
      <c r="S779" s="23"/>
      <c r="T779" s="23"/>
      <c r="U779" s="23"/>
      <c r="V779" s="23"/>
      <c r="W779" s="23"/>
      <c r="X779" s="23"/>
      <c r="Y779" s="23"/>
      <c r="Z779" s="23"/>
      <c r="AA779" s="23"/>
      <c r="AB779" s="23"/>
      <c r="AC779" s="23"/>
      <c r="AD779" s="23"/>
      <c r="AE779" s="23"/>
    </row>
    <row r="780" spans="1:31">
      <c r="A780" s="23"/>
      <c r="B780" s="40"/>
      <c r="C780" s="40"/>
      <c r="D780" s="23"/>
      <c r="E780" s="23"/>
      <c r="F780" s="23"/>
      <c r="G780" s="23"/>
      <c r="H780" s="40"/>
      <c r="I780" s="40"/>
      <c r="J780" s="70"/>
      <c r="K780" s="23"/>
      <c r="L780" s="70"/>
      <c r="M780" s="70"/>
      <c r="N780" s="23"/>
      <c r="O780" s="23"/>
      <c r="P780" s="23"/>
      <c r="Q780" s="23"/>
      <c r="R780" s="72"/>
      <c r="S780" s="23"/>
      <c r="T780" s="23"/>
      <c r="U780" s="23"/>
      <c r="V780" s="23"/>
      <c r="W780" s="23"/>
      <c r="X780" s="23"/>
      <c r="Y780" s="23"/>
      <c r="Z780" s="23"/>
      <c r="AA780" s="23"/>
      <c r="AB780" s="23"/>
      <c r="AC780" s="23"/>
      <c r="AD780" s="23"/>
      <c r="AE780" s="23"/>
    </row>
    <row r="781" spans="1:31">
      <c r="A781" s="23"/>
      <c r="B781" s="40"/>
      <c r="C781" s="40"/>
      <c r="D781" s="23"/>
      <c r="E781" s="23"/>
      <c r="F781" s="23"/>
      <c r="G781" s="23"/>
      <c r="H781" s="40"/>
      <c r="I781" s="40"/>
      <c r="J781" s="70"/>
      <c r="K781" s="23"/>
      <c r="L781" s="70"/>
      <c r="M781" s="70"/>
      <c r="N781" s="23"/>
      <c r="O781" s="23"/>
      <c r="P781" s="23"/>
      <c r="Q781" s="23"/>
      <c r="R781" s="72"/>
      <c r="S781" s="23"/>
      <c r="T781" s="23"/>
      <c r="U781" s="23"/>
      <c r="V781" s="23"/>
      <c r="W781" s="23"/>
      <c r="X781" s="23"/>
      <c r="Y781" s="23"/>
      <c r="Z781" s="23"/>
      <c r="AA781" s="23"/>
      <c r="AB781" s="23"/>
      <c r="AC781" s="23"/>
      <c r="AD781" s="23"/>
      <c r="AE781" s="23"/>
    </row>
    <row r="782" spans="1:31">
      <c r="A782" s="23"/>
      <c r="B782" s="40"/>
      <c r="C782" s="40"/>
      <c r="D782" s="23"/>
      <c r="E782" s="23"/>
      <c r="F782" s="23"/>
      <c r="G782" s="23"/>
      <c r="H782" s="40"/>
      <c r="I782" s="40"/>
      <c r="J782" s="70"/>
      <c r="K782" s="23"/>
      <c r="L782" s="70"/>
      <c r="M782" s="70"/>
      <c r="N782" s="23"/>
      <c r="O782" s="23"/>
      <c r="P782" s="23"/>
      <c r="Q782" s="23"/>
      <c r="R782" s="72"/>
      <c r="S782" s="23"/>
      <c r="T782" s="23"/>
      <c r="U782" s="23"/>
      <c r="V782" s="23"/>
      <c r="W782" s="23"/>
      <c r="X782" s="23"/>
      <c r="Y782" s="23"/>
      <c r="Z782" s="23"/>
      <c r="AA782" s="23"/>
      <c r="AB782" s="23"/>
      <c r="AC782" s="23"/>
      <c r="AD782" s="23"/>
      <c r="AE782" s="23"/>
    </row>
    <row r="783" spans="1:31">
      <c r="A783" s="23"/>
      <c r="B783" s="40"/>
      <c r="C783" s="40"/>
      <c r="D783" s="23"/>
      <c r="E783" s="23"/>
      <c r="F783" s="23"/>
      <c r="G783" s="23"/>
      <c r="H783" s="40"/>
      <c r="I783" s="40"/>
      <c r="J783" s="70"/>
      <c r="K783" s="23"/>
      <c r="L783" s="70"/>
      <c r="M783" s="70"/>
      <c r="N783" s="23"/>
      <c r="O783" s="23"/>
      <c r="P783" s="23"/>
      <c r="Q783" s="23"/>
      <c r="R783" s="72"/>
      <c r="S783" s="23"/>
      <c r="T783" s="23"/>
      <c r="U783" s="23"/>
      <c r="V783" s="23"/>
      <c r="W783" s="23"/>
      <c r="X783" s="23"/>
      <c r="Y783" s="23"/>
      <c r="Z783" s="23"/>
      <c r="AA783" s="23"/>
      <c r="AB783" s="23"/>
      <c r="AC783" s="23"/>
      <c r="AD783" s="23"/>
      <c r="AE783" s="23"/>
    </row>
    <row r="784" spans="1:31">
      <c r="A784" s="23"/>
      <c r="B784" s="40"/>
      <c r="C784" s="40"/>
      <c r="D784" s="23"/>
      <c r="E784" s="23"/>
      <c r="F784" s="23"/>
      <c r="G784" s="23"/>
      <c r="H784" s="23"/>
      <c r="I784" s="40"/>
      <c r="J784" s="70"/>
      <c r="K784" s="23"/>
      <c r="L784" s="70"/>
      <c r="M784" s="70"/>
      <c r="N784" s="23"/>
      <c r="O784" s="23"/>
      <c r="P784" s="23"/>
      <c r="Q784" s="23"/>
      <c r="R784" s="72"/>
      <c r="S784" s="23"/>
      <c r="T784" s="23"/>
      <c r="U784" s="23"/>
      <c r="V784" s="23"/>
      <c r="W784" s="23"/>
      <c r="X784" s="23"/>
      <c r="Y784" s="23"/>
      <c r="Z784" s="23"/>
      <c r="AA784" s="23"/>
      <c r="AB784" s="23"/>
      <c r="AC784" s="23"/>
      <c r="AD784" s="23"/>
      <c r="AE784" s="23"/>
    </row>
    <row r="785" spans="1:31">
      <c r="A785" s="23"/>
      <c r="B785" s="40"/>
      <c r="C785" s="40"/>
      <c r="D785" s="23"/>
      <c r="E785" s="23"/>
      <c r="F785" s="23"/>
      <c r="G785" s="23"/>
      <c r="H785" s="23"/>
      <c r="I785" s="40"/>
      <c r="J785" s="70"/>
      <c r="K785" s="23"/>
      <c r="L785" s="70"/>
      <c r="M785" s="70"/>
      <c r="N785" s="23"/>
      <c r="O785" s="23"/>
      <c r="P785" s="23"/>
      <c r="Q785" s="23"/>
      <c r="R785" s="72"/>
      <c r="S785" s="23"/>
      <c r="T785" s="23"/>
      <c r="U785" s="23"/>
      <c r="V785" s="23"/>
      <c r="W785" s="23"/>
      <c r="X785" s="23"/>
      <c r="Y785" s="23"/>
      <c r="Z785" s="23"/>
      <c r="AA785" s="23"/>
      <c r="AB785" s="23"/>
      <c r="AC785" s="23"/>
      <c r="AD785" s="23"/>
      <c r="AE785" s="23"/>
    </row>
    <row r="786" spans="1:31">
      <c r="A786" s="23"/>
      <c r="B786" s="40"/>
      <c r="C786" s="40"/>
      <c r="D786" s="23"/>
      <c r="E786" s="23"/>
      <c r="F786" s="23"/>
      <c r="G786" s="23"/>
      <c r="H786" s="23"/>
      <c r="I786" s="40"/>
      <c r="J786" s="70"/>
      <c r="K786" s="23"/>
      <c r="L786" s="70"/>
      <c r="M786" s="70"/>
      <c r="N786" s="23"/>
      <c r="O786" s="23"/>
      <c r="P786" s="23"/>
      <c r="Q786" s="23"/>
      <c r="R786" s="72"/>
      <c r="S786" s="23"/>
      <c r="T786" s="23"/>
      <c r="U786" s="23"/>
      <c r="V786" s="23"/>
      <c r="W786" s="23"/>
      <c r="X786" s="23"/>
      <c r="Y786" s="23"/>
      <c r="Z786" s="23"/>
      <c r="AA786" s="23"/>
      <c r="AB786" s="23"/>
      <c r="AC786" s="23"/>
      <c r="AD786" s="23"/>
      <c r="AE786" s="23"/>
    </row>
    <row r="787" spans="1:31">
      <c r="A787" s="23"/>
      <c r="B787" s="40"/>
      <c r="C787" s="40"/>
      <c r="D787" s="23"/>
      <c r="E787" s="23"/>
      <c r="F787" s="23"/>
      <c r="G787" s="23"/>
      <c r="H787" s="23"/>
      <c r="I787" s="40"/>
      <c r="J787" s="70"/>
      <c r="K787" s="23"/>
      <c r="L787" s="70"/>
      <c r="M787" s="70"/>
      <c r="N787" s="23"/>
      <c r="O787" s="23"/>
      <c r="P787" s="23"/>
      <c r="Q787" s="23"/>
      <c r="R787" s="72"/>
      <c r="S787" s="23"/>
      <c r="T787" s="23"/>
      <c r="U787" s="23"/>
      <c r="V787" s="23"/>
      <c r="W787" s="23"/>
      <c r="X787" s="23"/>
      <c r="Y787" s="23"/>
      <c r="Z787" s="23"/>
      <c r="AA787" s="23"/>
      <c r="AB787" s="23"/>
      <c r="AC787" s="23"/>
      <c r="AD787" s="23"/>
      <c r="AE787" s="23"/>
    </row>
    <row r="788" spans="1:31">
      <c r="A788" s="23"/>
      <c r="B788" s="40"/>
      <c r="C788" s="40"/>
      <c r="D788" s="23"/>
      <c r="E788" s="23"/>
      <c r="F788" s="23"/>
      <c r="G788" s="23"/>
      <c r="H788" s="23"/>
      <c r="I788" s="40"/>
      <c r="J788" s="70"/>
      <c r="K788" s="23"/>
      <c r="L788" s="70"/>
      <c r="M788" s="70"/>
      <c r="N788" s="23"/>
      <c r="O788" s="23"/>
      <c r="P788" s="23"/>
      <c r="Q788" s="23"/>
      <c r="R788" s="72"/>
      <c r="S788" s="23"/>
      <c r="T788" s="23"/>
      <c r="U788" s="23"/>
      <c r="V788" s="23"/>
      <c r="W788" s="23"/>
      <c r="X788" s="23"/>
      <c r="Y788" s="23"/>
      <c r="Z788" s="23"/>
      <c r="AA788" s="23"/>
      <c r="AB788" s="23"/>
      <c r="AC788" s="23"/>
      <c r="AD788" s="23"/>
      <c r="AE788" s="23"/>
    </row>
    <row r="789" spans="1:31">
      <c r="A789" s="23"/>
      <c r="B789" s="40"/>
      <c r="C789" s="40"/>
      <c r="D789" s="23"/>
      <c r="E789" s="23"/>
      <c r="F789" s="23"/>
      <c r="G789" s="23"/>
      <c r="H789" s="23"/>
      <c r="I789" s="40"/>
      <c r="J789" s="70"/>
      <c r="K789" s="23"/>
      <c r="L789" s="70"/>
      <c r="M789" s="70"/>
      <c r="N789" s="23"/>
      <c r="O789" s="23"/>
      <c r="P789" s="23"/>
      <c r="Q789" s="23"/>
      <c r="R789" s="72"/>
      <c r="S789" s="23"/>
      <c r="T789" s="23"/>
      <c r="U789" s="23"/>
      <c r="V789" s="23"/>
      <c r="W789" s="23"/>
      <c r="X789" s="23"/>
      <c r="Y789" s="23"/>
      <c r="Z789" s="23"/>
      <c r="AA789" s="23"/>
      <c r="AB789" s="23"/>
      <c r="AC789" s="23"/>
      <c r="AD789" s="23"/>
      <c r="AE789" s="23"/>
    </row>
    <row r="790" spans="1:31" ht="24" customHeight="1">
      <c r="A790" s="23"/>
      <c r="B790" s="40"/>
      <c r="C790" s="40"/>
      <c r="D790" s="23"/>
      <c r="E790" s="23"/>
      <c r="F790" s="23"/>
      <c r="G790" s="23"/>
      <c r="H790" s="40"/>
      <c r="I790" s="40"/>
      <c r="J790" s="70"/>
      <c r="K790" s="23"/>
      <c r="L790" s="70"/>
      <c r="M790" s="70"/>
      <c r="N790" s="23"/>
      <c r="O790" s="23"/>
      <c r="P790" s="23"/>
      <c r="Q790" s="23"/>
      <c r="R790" s="72"/>
      <c r="S790" s="23"/>
      <c r="T790" s="23"/>
      <c r="U790" s="23"/>
      <c r="V790" s="23"/>
      <c r="W790" s="23"/>
      <c r="X790" s="23"/>
      <c r="Y790" s="23"/>
      <c r="Z790" s="23"/>
      <c r="AA790" s="23"/>
      <c r="AB790" s="23"/>
      <c r="AC790" s="23"/>
      <c r="AD790" s="23"/>
      <c r="AE790" s="23"/>
    </row>
    <row r="791" spans="1:31">
      <c r="A791" s="23"/>
      <c r="B791" s="40"/>
      <c r="C791" s="40"/>
      <c r="D791" s="23"/>
      <c r="E791" s="23"/>
      <c r="F791" s="23"/>
      <c r="G791" s="23"/>
      <c r="H791" s="40"/>
      <c r="I791" s="40"/>
      <c r="J791" s="70"/>
      <c r="K791" s="23"/>
      <c r="L791" s="70"/>
      <c r="M791" s="70"/>
      <c r="N791" s="23"/>
      <c r="O791" s="23"/>
      <c r="P791" s="23"/>
      <c r="Q791" s="23"/>
      <c r="R791" s="72"/>
      <c r="S791" s="23"/>
      <c r="T791" s="23"/>
      <c r="U791" s="23"/>
      <c r="V791" s="23"/>
      <c r="W791" s="23"/>
      <c r="X791" s="23"/>
      <c r="Y791" s="23"/>
      <c r="Z791" s="23"/>
      <c r="AA791" s="23"/>
      <c r="AB791" s="23"/>
      <c r="AC791" s="23"/>
      <c r="AD791" s="23"/>
      <c r="AE791" s="23"/>
    </row>
    <row r="792" spans="1:31">
      <c r="A792" s="23"/>
      <c r="B792" s="40"/>
      <c r="C792" s="40"/>
      <c r="D792" s="23"/>
      <c r="E792" s="23"/>
      <c r="F792" s="23"/>
      <c r="G792" s="23"/>
      <c r="H792" s="40"/>
      <c r="I792" s="40"/>
      <c r="J792" s="70"/>
      <c r="K792" s="23"/>
      <c r="L792" s="70"/>
      <c r="M792" s="70"/>
      <c r="N792" s="23"/>
      <c r="O792" s="23"/>
      <c r="P792" s="23"/>
      <c r="Q792" s="23"/>
      <c r="R792" s="72"/>
      <c r="S792" s="23"/>
      <c r="T792" s="23"/>
      <c r="U792" s="23"/>
      <c r="V792" s="23"/>
      <c r="W792" s="23"/>
      <c r="X792" s="23"/>
      <c r="Y792" s="23"/>
      <c r="Z792" s="23"/>
      <c r="AA792" s="23"/>
      <c r="AB792" s="23"/>
      <c r="AC792" s="23"/>
      <c r="AD792" s="23"/>
      <c r="AE792" s="23"/>
    </row>
    <row r="793" spans="1:31">
      <c r="A793" s="23"/>
      <c r="B793" s="40"/>
      <c r="C793" s="40"/>
      <c r="D793" s="23"/>
      <c r="E793" s="23"/>
      <c r="F793" s="23"/>
      <c r="G793" s="23"/>
      <c r="H793" s="40"/>
      <c r="I793" s="40"/>
      <c r="J793" s="70"/>
      <c r="K793" s="23"/>
      <c r="L793" s="70"/>
      <c r="M793" s="70"/>
      <c r="N793" s="23"/>
      <c r="O793" s="23"/>
      <c r="P793" s="23"/>
      <c r="Q793" s="23"/>
      <c r="R793" s="72"/>
      <c r="S793" s="23"/>
      <c r="T793" s="23"/>
      <c r="U793" s="23"/>
      <c r="V793" s="23"/>
      <c r="W793" s="23"/>
      <c r="X793" s="23"/>
      <c r="Y793" s="23"/>
      <c r="Z793" s="23"/>
      <c r="AA793" s="23"/>
      <c r="AB793" s="23"/>
      <c r="AC793" s="23"/>
      <c r="AD793" s="23"/>
      <c r="AE793" s="23"/>
    </row>
    <row r="794" spans="1:31">
      <c r="A794" s="23"/>
      <c r="B794" s="40"/>
      <c r="C794" s="40"/>
      <c r="D794" s="23"/>
      <c r="E794" s="23"/>
      <c r="F794" s="23"/>
      <c r="G794" s="23"/>
      <c r="H794" s="40"/>
      <c r="I794" s="40"/>
      <c r="J794" s="70"/>
      <c r="K794" s="23"/>
      <c r="L794" s="70"/>
      <c r="M794" s="70"/>
      <c r="N794" s="23"/>
      <c r="O794" s="23"/>
      <c r="P794" s="23"/>
      <c r="Q794" s="23"/>
      <c r="R794" s="72"/>
      <c r="S794" s="23"/>
      <c r="T794" s="23"/>
      <c r="U794" s="23"/>
      <c r="V794" s="23"/>
      <c r="W794" s="23"/>
      <c r="X794" s="23"/>
      <c r="Y794" s="23"/>
      <c r="Z794" s="23"/>
      <c r="AA794" s="23"/>
      <c r="AB794" s="23"/>
      <c r="AC794" s="23"/>
      <c r="AD794" s="23"/>
      <c r="AE794" s="23"/>
    </row>
    <row r="795" spans="1:31" ht="24" customHeight="1">
      <c r="A795" s="23"/>
      <c r="B795" s="40"/>
      <c r="C795" s="40"/>
      <c r="D795" s="23"/>
      <c r="E795" s="23"/>
      <c r="F795" s="23"/>
      <c r="G795" s="23"/>
      <c r="H795" s="40"/>
      <c r="I795" s="40"/>
      <c r="J795" s="70"/>
      <c r="K795" s="23"/>
      <c r="L795" s="70"/>
      <c r="M795" s="70"/>
      <c r="N795" s="23"/>
      <c r="O795" s="23"/>
      <c r="P795" s="23"/>
      <c r="Q795" s="23"/>
      <c r="R795" s="72"/>
      <c r="S795" s="23"/>
      <c r="T795" s="23"/>
      <c r="U795" s="23"/>
      <c r="V795" s="23"/>
      <c r="W795" s="23"/>
      <c r="X795" s="23"/>
      <c r="Y795" s="23"/>
      <c r="Z795" s="23"/>
      <c r="AA795" s="23"/>
      <c r="AB795" s="23"/>
      <c r="AC795" s="23"/>
      <c r="AD795" s="23"/>
      <c r="AE795" s="23"/>
    </row>
    <row r="796" spans="1:31">
      <c r="A796" s="23"/>
      <c r="B796" s="40"/>
      <c r="C796" s="40"/>
      <c r="D796" s="23"/>
      <c r="E796" s="23"/>
      <c r="F796" s="23"/>
      <c r="G796" s="23"/>
      <c r="H796" s="40"/>
      <c r="I796" s="40"/>
      <c r="J796" s="70"/>
      <c r="K796" s="23"/>
      <c r="L796" s="70"/>
      <c r="M796" s="70"/>
      <c r="N796" s="23"/>
      <c r="O796" s="23"/>
      <c r="P796" s="23"/>
      <c r="Q796" s="23"/>
      <c r="R796" s="72"/>
      <c r="S796" s="23"/>
      <c r="T796" s="23"/>
      <c r="U796" s="23"/>
      <c r="V796" s="23"/>
      <c r="W796" s="23"/>
      <c r="X796" s="23"/>
      <c r="Y796" s="23"/>
      <c r="Z796" s="23"/>
      <c r="AA796" s="23"/>
      <c r="AB796" s="23"/>
      <c r="AC796" s="23"/>
      <c r="AD796" s="23"/>
      <c r="AE796" s="23"/>
    </row>
    <row r="797" spans="1:31">
      <c r="A797" s="23"/>
      <c r="B797" s="40"/>
      <c r="C797" s="40"/>
      <c r="D797" s="23"/>
      <c r="E797" s="23"/>
      <c r="F797" s="23"/>
      <c r="G797" s="23"/>
      <c r="H797" s="40"/>
      <c r="I797" s="40"/>
      <c r="J797" s="70"/>
      <c r="K797" s="23"/>
      <c r="L797" s="70"/>
      <c r="M797" s="70"/>
      <c r="N797" s="23"/>
      <c r="O797" s="23"/>
      <c r="P797" s="23"/>
      <c r="Q797" s="23"/>
      <c r="R797" s="72"/>
      <c r="S797" s="23"/>
      <c r="T797" s="23"/>
      <c r="U797" s="23"/>
      <c r="V797" s="23"/>
      <c r="W797" s="23"/>
      <c r="X797" s="23"/>
      <c r="Y797" s="23"/>
      <c r="Z797" s="23"/>
      <c r="AA797" s="23"/>
      <c r="AB797" s="23"/>
      <c r="AC797" s="23"/>
      <c r="AD797" s="23"/>
      <c r="AE797" s="23"/>
    </row>
    <row r="798" spans="1:31">
      <c r="A798" s="23"/>
      <c r="B798" s="40"/>
      <c r="C798" s="40"/>
      <c r="D798" s="23"/>
      <c r="E798" s="23"/>
      <c r="F798" s="23"/>
      <c r="G798" s="23"/>
      <c r="H798" s="40"/>
      <c r="I798" s="40"/>
      <c r="J798" s="70"/>
      <c r="K798" s="23"/>
      <c r="L798" s="70"/>
      <c r="M798" s="70"/>
      <c r="N798" s="23"/>
      <c r="O798" s="23"/>
      <c r="P798" s="23"/>
      <c r="Q798" s="23"/>
      <c r="R798" s="72"/>
      <c r="S798" s="23"/>
      <c r="T798" s="23"/>
      <c r="U798" s="23"/>
      <c r="V798" s="23"/>
      <c r="W798" s="23"/>
      <c r="X798" s="23"/>
      <c r="Y798" s="23"/>
      <c r="Z798" s="23"/>
      <c r="AA798" s="23"/>
      <c r="AB798" s="23"/>
      <c r="AC798" s="23"/>
      <c r="AD798" s="23"/>
      <c r="AE798" s="23"/>
    </row>
    <row r="799" spans="1:31">
      <c r="A799" s="23"/>
      <c r="B799" s="40"/>
      <c r="C799" s="40"/>
      <c r="D799" s="23"/>
      <c r="E799" s="23"/>
      <c r="F799" s="23"/>
      <c r="G799" s="23"/>
      <c r="H799" s="40"/>
      <c r="I799" s="40"/>
      <c r="J799" s="70"/>
      <c r="K799" s="23"/>
      <c r="L799" s="70"/>
      <c r="M799" s="70"/>
      <c r="N799" s="23"/>
      <c r="O799" s="23"/>
      <c r="P799" s="23"/>
      <c r="Q799" s="23"/>
      <c r="R799" s="72"/>
      <c r="S799" s="23"/>
      <c r="T799" s="23"/>
      <c r="U799" s="23"/>
      <c r="V799" s="23"/>
      <c r="W799" s="23"/>
      <c r="X799" s="23"/>
      <c r="Y799" s="23"/>
      <c r="Z799" s="23"/>
      <c r="AA799" s="23"/>
      <c r="AB799" s="23"/>
      <c r="AC799" s="23"/>
      <c r="AD799" s="23"/>
      <c r="AE799" s="23"/>
    </row>
    <row r="800" spans="1:31">
      <c r="A800" s="23"/>
      <c r="B800" s="40"/>
      <c r="C800" s="40"/>
      <c r="D800" s="23"/>
      <c r="E800" s="23"/>
      <c r="F800" s="23"/>
      <c r="G800" s="23"/>
      <c r="H800" s="40"/>
      <c r="I800" s="40"/>
      <c r="J800" s="70"/>
      <c r="K800" s="23"/>
      <c r="L800" s="70"/>
      <c r="M800" s="70"/>
      <c r="N800" s="23"/>
      <c r="O800" s="23"/>
      <c r="P800" s="23"/>
      <c r="Q800" s="23"/>
      <c r="R800" s="72"/>
      <c r="S800" s="23"/>
      <c r="T800" s="23"/>
      <c r="U800" s="23"/>
      <c r="V800" s="23"/>
      <c r="W800" s="23"/>
      <c r="X800" s="23"/>
      <c r="Y800" s="23"/>
      <c r="Z800" s="23"/>
      <c r="AA800" s="23"/>
      <c r="AB800" s="23"/>
      <c r="AC800" s="23"/>
      <c r="AD800" s="23"/>
      <c r="AE800" s="23"/>
    </row>
    <row r="801" spans="1:31">
      <c r="A801" s="23"/>
      <c r="B801" s="40"/>
      <c r="C801" s="40"/>
      <c r="D801" s="23"/>
      <c r="E801" s="23"/>
      <c r="F801" s="23"/>
      <c r="G801" s="23"/>
      <c r="H801" s="40"/>
      <c r="I801" s="40"/>
      <c r="J801" s="70"/>
      <c r="K801" s="23"/>
      <c r="L801" s="70"/>
      <c r="M801" s="70"/>
      <c r="N801" s="23"/>
      <c r="O801" s="23"/>
      <c r="P801" s="23"/>
      <c r="Q801" s="23"/>
      <c r="R801" s="72"/>
      <c r="S801" s="23"/>
      <c r="T801" s="23"/>
      <c r="U801" s="23"/>
      <c r="V801" s="23"/>
      <c r="W801" s="23"/>
      <c r="X801" s="23"/>
      <c r="Y801" s="23"/>
      <c r="Z801" s="23"/>
      <c r="AA801" s="23"/>
      <c r="AB801" s="23"/>
      <c r="AC801" s="23"/>
      <c r="AD801" s="23"/>
      <c r="AE801" s="23"/>
    </row>
    <row r="802" spans="1:31">
      <c r="A802" s="23"/>
      <c r="B802" s="40"/>
      <c r="C802" s="40"/>
      <c r="D802" s="23"/>
      <c r="E802" s="23"/>
      <c r="F802" s="23"/>
      <c r="G802" s="23"/>
      <c r="H802" s="40"/>
      <c r="I802" s="40"/>
      <c r="J802" s="70"/>
      <c r="K802" s="23"/>
      <c r="L802" s="70"/>
      <c r="M802" s="70"/>
      <c r="N802" s="23"/>
      <c r="O802" s="23"/>
      <c r="P802" s="23"/>
      <c r="Q802" s="23"/>
      <c r="R802" s="72"/>
      <c r="S802" s="23"/>
      <c r="T802" s="23"/>
      <c r="U802" s="23"/>
      <c r="V802" s="23"/>
      <c r="W802" s="23"/>
      <c r="X802" s="23"/>
      <c r="Y802" s="23"/>
      <c r="Z802" s="23"/>
      <c r="AA802" s="23"/>
      <c r="AB802" s="23"/>
      <c r="AC802" s="23"/>
      <c r="AD802" s="23"/>
      <c r="AE802" s="23"/>
    </row>
    <row r="803" spans="1:31">
      <c r="A803" s="23"/>
      <c r="B803" s="40"/>
      <c r="C803" s="40"/>
      <c r="D803" s="23"/>
      <c r="E803" s="23"/>
      <c r="F803" s="23"/>
      <c r="G803" s="23"/>
      <c r="H803" s="40"/>
      <c r="I803" s="40"/>
      <c r="J803" s="70"/>
      <c r="K803" s="23"/>
      <c r="L803" s="70"/>
      <c r="M803" s="70"/>
      <c r="N803" s="23"/>
      <c r="O803" s="23"/>
      <c r="P803" s="23"/>
      <c r="Q803" s="23"/>
      <c r="R803" s="72"/>
      <c r="S803" s="23"/>
      <c r="T803" s="23"/>
      <c r="U803" s="23"/>
      <c r="V803" s="23"/>
      <c r="W803" s="23"/>
      <c r="X803" s="23"/>
      <c r="Y803" s="23"/>
      <c r="Z803" s="23"/>
      <c r="AA803" s="23"/>
      <c r="AB803" s="23"/>
      <c r="AC803" s="23"/>
      <c r="AD803" s="23"/>
      <c r="AE803" s="23"/>
    </row>
    <row r="804" spans="1:31">
      <c r="A804" s="23"/>
      <c r="B804" s="40"/>
      <c r="C804" s="40"/>
      <c r="D804" s="23"/>
      <c r="E804" s="23"/>
      <c r="F804" s="23"/>
      <c r="G804" s="23"/>
      <c r="H804" s="40"/>
      <c r="I804" s="40"/>
      <c r="J804" s="70"/>
      <c r="K804" s="23"/>
      <c r="L804" s="70"/>
      <c r="M804" s="70"/>
      <c r="N804" s="23"/>
      <c r="O804" s="23"/>
      <c r="P804" s="23"/>
      <c r="Q804" s="23"/>
      <c r="R804" s="72"/>
      <c r="S804" s="23"/>
      <c r="T804" s="23"/>
      <c r="U804" s="23"/>
      <c r="V804" s="23"/>
      <c r="W804" s="23"/>
      <c r="X804" s="23"/>
      <c r="Y804" s="23"/>
      <c r="Z804" s="23"/>
      <c r="AA804" s="23"/>
      <c r="AB804" s="23"/>
      <c r="AC804" s="23"/>
      <c r="AD804" s="23"/>
      <c r="AE804" s="23"/>
    </row>
    <row r="805" spans="1:31">
      <c r="A805" s="23"/>
      <c r="B805" s="40"/>
      <c r="C805" s="40"/>
      <c r="D805" s="23"/>
      <c r="E805" s="23"/>
      <c r="F805" s="23"/>
      <c r="G805" s="23"/>
      <c r="H805" s="40"/>
      <c r="I805" s="40"/>
      <c r="J805" s="70"/>
      <c r="K805" s="23"/>
      <c r="L805" s="70"/>
      <c r="M805" s="70"/>
      <c r="N805" s="23"/>
      <c r="O805" s="23"/>
      <c r="P805" s="23"/>
      <c r="Q805" s="23"/>
      <c r="R805" s="72"/>
      <c r="S805" s="23"/>
      <c r="T805" s="23"/>
      <c r="U805" s="23"/>
      <c r="V805" s="23"/>
      <c r="W805" s="23"/>
      <c r="X805" s="23"/>
      <c r="Y805" s="23"/>
      <c r="Z805" s="23"/>
      <c r="AA805" s="23"/>
      <c r="AB805" s="23"/>
      <c r="AC805" s="23"/>
      <c r="AD805" s="23"/>
      <c r="AE805" s="23"/>
    </row>
    <row r="806" spans="1:31">
      <c r="A806" s="23"/>
      <c r="B806" s="40"/>
      <c r="C806" s="40"/>
      <c r="D806" s="23"/>
      <c r="E806" s="23"/>
      <c r="F806" s="23"/>
      <c r="G806" s="23"/>
      <c r="H806" s="23"/>
      <c r="I806" s="40"/>
      <c r="J806" s="70"/>
      <c r="K806" s="23"/>
      <c r="L806" s="70"/>
      <c r="M806" s="70"/>
      <c r="N806" s="23"/>
      <c r="O806" s="23"/>
      <c r="P806" s="23"/>
      <c r="Q806" s="23"/>
      <c r="R806" s="72"/>
      <c r="S806" s="23"/>
      <c r="T806" s="23"/>
      <c r="U806" s="23"/>
      <c r="V806" s="23"/>
      <c r="W806" s="23"/>
      <c r="X806" s="23"/>
      <c r="Y806" s="23"/>
      <c r="Z806" s="23"/>
      <c r="AA806" s="23"/>
      <c r="AB806" s="23"/>
      <c r="AC806" s="23"/>
      <c r="AD806" s="23"/>
      <c r="AE806" s="23"/>
    </row>
    <row r="807" spans="1:31">
      <c r="A807" s="23"/>
      <c r="B807" s="40"/>
      <c r="C807" s="40"/>
      <c r="D807" s="23"/>
      <c r="E807" s="23"/>
      <c r="F807" s="23"/>
      <c r="G807" s="23"/>
      <c r="H807" s="23"/>
      <c r="I807" s="40"/>
      <c r="J807" s="70"/>
      <c r="K807" s="23"/>
      <c r="L807" s="70"/>
      <c r="M807" s="70"/>
      <c r="N807" s="23"/>
      <c r="O807" s="23"/>
      <c r="P807" s="23"/>
      <c r="Q807" s="23"/>
      <c r="R807" s="72"/>
      <c r="S807" s="23"/>
      <c r="T807" s="23"/>
      <c r="U807" s="23"/>
      <c r="V807" s="23"/>
      <c r="W807" s="23"/>
      <c r="X807" s="23"/>
      <c r="Y807" s="23"/>
      <c r="Z807" s="23"/>
      <c r="AA807" s="23"/>
      <c r="AB807" s="23"/>
      <c r="AC807" s="23"/>
      <c r="AD807" s="23"/>
      <c r="AE807" s="23"/>
    </row>
    <row r="808" spans="1:31" ht="24" customHeight="1">
      <c r="A808" s="23"/>
      <c r="B808" s="40"/>
      <c r="C808" s="40"/>
      <c r="D808" s="23"/>
      <c r="E808" s="23"/>
      <c r="F808" s="23"/>
      <c r="G808" s="23"/>
      <c r="H808" s="40"/>
      <c r="I808" s="40"/>
      <c r="J808" s="70"/>
      <c r="K808" s="23"/>
      <c r="L808" s="70"/>
      <c r="M808" s="70"/>
      <c r="N808" s="23"/>
      <c r="O808" s="23"/>
      <c r="P808" s="23"/>
      <c r="Q808" s="23"/>
      <c r="R808" s="72"/>
      <c r="S808" s="23"/>
      <c r="T808" s="23"/>
      <c r="U808" s="23"/>
      <c r="V808" s="23"/>
      <c r="W808" s="23"/>
      <c r="X808" s="23"/>
      <c r="Y808" s="23"/>
      <c r="Z808" s="23"/>
      <c r="AA808" s="23"/>
      <c r="AB808" s="23"/>
      <c r="AC808" s="23"/>
      <c r="AD808" s="23"/>
      <c r="AE808" s="23"/>
    </row>
    <row r="809" spans="1:31">
      <c r="A809" s="23"/>
      <c r="B809" s="40"/>
      <c r="C809" s="40"/>
      <c r="D809" s="23"/>
      <c r="E809" s="23"/>
      <c r="F809" s="23"/>
      <c r="G809" s="23"/>
      <c r="H809" s="40"/>
      <c r="I809" s="40"/>
      <c r="J809" s="70"/>
      <c r="K809" s="23"/>
      <c r="L809" s="70"/>
      <c r="M809" s="70"/>
      <c r="N809" s="23"/>
      <c r="O809" s="23"/>
      <c r="P809" s="23"/>
      <c r="Q809" s="23"/>
      <c r="R809" s="72"/>
      <c r="S809" s="23"/>
      <c r="T809" s="23"/>
      <c r="U809" s="23"/>
      <c r="V809" s="23"/>
      <c r="W809" s="23"/>
      <c r="X809" s="23"/>
      <c r="Y809" s="23"/>
      <c r="Z809" s="23"/>
      <c r="AA809" s="23"/>
      <c r="AB809" s="23"/>
      <c r="AC809" s="23"/>
      <c r="AD809" s="23"/>
      <c r="AE809" s="23"/>
    </row>
    <row r="810" spans="1:31">
      <c r="A810" s="23"/>
      <c r="B810" s="40"/>
      <c r="C810" s="40"/>
      <c r="D810" s="23"/>
      <c r="E810" s="23"/>
      <c r="F810" s="23"/>
      <c r="G810" s="23"/>
      <c r="H810" s="40"/>
      <c r="I810" s="40"/>
      <c r="J810" s="70"/>
      <c r="K810" s="23"/>
      <c r="L810" s="70"/>
      <c r="M810" s="70"/>
      <c r="N810" s="23"/>
      <c r="O810" s="23"/>
      <c r="P810" s="23"/>
      <c r="Q810" s="23"/>
      <c r="R810" s="72"/>
      <c r="S810" s="23"/>
      <c r="T810" s="23"/>
      <c r="U810" s="23"/>
      <c r="V810" s="23"/>
      <c r="W810" s="23"/>
      <c r="X810" s="23"/>
      <c r="Y810" s="23"/>
      <c r="Z810" s="23"/>
      <c r="AA810" s="23"/>
      <c r="AB810" s="23"/>
      <c r="AC810" s="23"/>
      <c r="AD810" s="23"/>
      <c r="AE810" s="23"/>
    </row>
    <row r="811" spans="1:31">
      <c r="A811" s="23"/>
      <c r="B811" s="40"/>
      <c r="C811" s="40"/>
      <c r="D811" s="23"/>
      <c r="E811" s="23"/>
      <c r="F811" s="23"/>
      <c r="G811" s="23"/>
      <c r="H811" s="40"/>
      <c r="I811" s="40"/>
      <c r="J811" s="70"/>
      <c r="K811" s="23"/>
      <c r="L811" s="70"/>
      <c r="M811" s="70"/>
      <c r="N811" s="23"/>
      <c r="O811" s="23"/>
      <c r="P811" s="23"/>
      <c r="Q811" s="23"/>
      <c r="R811" s="72"/>
      <c r="S811" s="23"/>
      <c r="T811" s="23"/>
      <c r="U811" s="23"/>
      <c r="V811" s="23"/>
      <c r="W811" s="23"/>
      <c r="X811" s="23"/>
      <c r="Y811" s="23"/>
      <c r="Z811" s="23"/>
      <c r="AA811" s="23"/>
      <c r="AB811" s="23"/>
      <c r="AC811" s="23"/>
      <c r="AD811" s="23"/>
      <c r="AE811" s="23"/>
    </row>
    <row r="812" spans="1:31">
      <c r="A812" s="23"/>
      <c r="B812" s="40"/>
      <c r="C812" s="40"/>
      <c r="D812" s="23"/>
      <c r="E812" s="23"/>
      <c r="F812" s="23"/>
      <c r="G812" s="23"/>
      <c r="H812" s="40"/>
      <c r="I812" s="40"/>
      <c r="J812" s="70"/>
      <c r="K812" s="23"/>
      <c r="L812" s="70"/>
      <c r="M812" s="70"/>
      <c r="N812" s="23"/>
      <c r="O812" s="23"/>
      <c r="P812" s="23"/>
      <c r="Q812" s="23"/>
      <c r="R812" s="72"/>
      <c r="S812" s="23"/>
      <c r="T812" s="23"/>
      <c r="U812" s="23"/>
      <c r="V812" s="23"/>
      <c r="W812" s="23"/>
      <c r="X812" s="23"/>
      <c r="Y812" s="23"/>
      <c r="Z812" s="23"/>
      <c r="AA812" s="23"/>
      <c r="AB812" s="23"/>
      <c r="AC812" s="23"/>
      <c r="AD812" s="23"/>
      <c r="AE812" s="23"/>
    </row>
    <row r="813" spans="1:31">
      <c r="A813" s="23"/>
      <c r="B813" s="40"/>
      <c r="C813" s="40"/>
      <c r="D813" s="23"/>
      <c r="E813" s="23"/>
      <c r="F813" s="23"/>
      <c r="G813" s="23"/>
      <c r="H813" s="23"/>
      <c r="I813" s="40"/>
      <c r="J813" s="70"/>
      <c r="K813" s="23"/>
      <c r="L813" s="70"/>
      <c r="M813" s="70"/>
      <c r="N813" s="23"/>
      <c r="O813" s="23"/>
      <c r="P813" s="23"/>
      <c r="Q813" s="23"/>
      <c r="R813" s="72"/>
      <c r="S813" s="23"/>
      <c r="T813" s="23"/>
      <c r="U813" s="23"/>
      <c r="V813" s="23"/>
      <c r="W813" s="23"/>
      <c r="X813" s="23"/>
      <c r="Y813" s="23"/>
      <c r="Z813" s="23"/>
      <c r="AA813" s="23"/>
      <c r="AB813" s="23"/>
      <c r="AC813" s="23"/>
      <c r="AD813" s="23"/>
      <c r="AE813" s="23"/>
    </row>
    <row r="814" spans="1:31">
      <c r="A814" s="23"/>
      <c r="B814" s="40"/>
      <c r="C814" s="40"/>
      <c r="D814" s="23"/>
      <c r="E814" s="23"/>
      <c r="F814" s="23"/>
      <c r="G814" s="23"/>
      <c r="H814" s="23"/>
      <c r="I814" s="40"/>
      <c r="J814" s="70"/>
      <c r="K814" s="23"/>
      <c r="L814" s="70"/>
      <c r="M814" s="70"/>
      <c r="N814" s="23"/>
      <c r="O814" s="23"/>
      <c r="P814" s="23"/>
      <c r="Q814" s="23"/>
      <c r="R814" s="72"/>
      <c r="S814" s="23"/>
      <c r="T814" s="23"/>
      <c r="U814" s="23"/>
      <c r="V814" s="23"/>
      <c r="W814" s="23"/>
      <c r="X814" s="23"/>
      <c r="Y814" s="23"/>
      <c r="Z814" s="23"/>
      <c r="AA814" s="23"/>
      <c r="AB814" s="23"/>
      <c r="AC814" s="23"/>
      <c r="AD814" s="23"/>
      <c r="AE814" s="23"/>
    </row>
    <row r="815" spans="1:31" ht="24" customHeight="1">
      <c r="A815" s="23"/>
      <c r="B815" s="40"/>
      <c r="C815" s="40"/>
      <c r="D815" s="23"/>
      <c r="E815" s="23"/>
      <c r="F815" s="23"/>
      <c r="G815" s="23"/>
      <c r="H815" s="40"/>
      <c r="I815" s="40"/>
      <c r="J815" s="70"/>
      <c r="K815" s="23"/>
      <c r="L815" s="70"/>
      <c r="M815" s="70"/>
      <c r="N815" s="23"/>
      <c r="O815" s="23"/>
      <c r="P815" s="23"/>
      <c r="Q815" s="23"/>
      <c r="R815" s="72"/>
      <c r="S815" s="23"/>
      <c r="T815" s="23"/>
      <c r="U815" s="23"/>
      <c r="V815" s="23"/>
      <c r="W815" s="23"/>
      <c r="X815" s="23"/>
      <c r="Y815" s="23"/>
      <c r="Z815" s="23"/>
      <c r="AA815" s="23"/>
      <c r="AB815" s="23"/>
      <c r="AC815" s="23"/>
      <c r="AD815" s="23"/>
      <c r="AE815" s="23"/>
    </row>
    <row r="816" spans="1:31">
      <c r="A816" s="23"/>
      <c r="B816" s="40"/>
      <c r="C816" s="40"/>
      <c r="D816" s="23"/>
      <c r="E816" s="23"/>
      <c r="F816" s="23"/>
      <c r="G816" s="23"/>
      <c r="H816" s="40"/>
      <c r="I816" s="40"/>
      <c r="J816" s="70"/>
      <c r="K816" s="23"/>
      <c r="L816" s="70"/>
      <c r="M816" s="70"/>
      <c r="N816" s="23"/>
      <c r="O816" s="23"/>
      <c r="P816" s="23"/>
      <c r="Q816" s="23"/>
      <c r="R816" s="72"/>
      <c r="S816" s="23"/>
      <c r="T816" s="23"/>
      <c r="U816" s="23"/>
      <c r="V816" s="23"/>
      <c r="W816" s="23"/>
      <c r="X816" s="23"/>
      <c r="Y816" s="23"/>
      <c r="Z816" s="23"/>
      <c r="AA816" s="23"/>
      <c r="AB816" s="23"/>
      <c r="AC816" s="23"/>
      <c r="AD816" s="23"/>
      <c r="AE816" s="23"/>
    </row>
    <row r="817" spans="1:31">
      <c r="A817" s="23"/>
      <c r="B817" s="40"/>
      <c r="C817" s="40"/>
      <c r="D817" s="23"/>
      <c r="E817" s="23"/>
      <c r="F817" s="23"/>
      <c r="G817" s="23"/>
      <c r="H817" s="40"/>
      <c r="I817" s="40"/>
      <c r="J817" s="70"/>
      <c r="K817" s="23"/>
      <c r="L817" s="70"/>
      <c r="M817" s="70"/>
      <c r="N817" s="23"/>
      <c r="O817" s="23"/>
      <c r="P817" s="23"/>
      <c r="Q817" s="23"/>
      <c r="R817" s="72"/>
      <c r="S817" s="23"/>
      <c r="T817" s="23"/>
      <c r="U817" s="23"/>
      <c r="V817" s="23"/>
      <c r="W817" s="23"/>
      <c r="X817" s="23"/>
      <c r="Y817" s="23"/>
      <c r="Z817" s="23"/>
      <c r="AA817" s="23"/>
      <c r="AB817" s="23"/>
      <c r="AC817" s="23"/>
      <c r="AD817" s="23"/>
      <c r="AE817" s="23"/>
    </row>
    <row r="818" spans="1:31">
      <c r="A818" s="23"/>
      <c r="B818" s="40"/>
      <c r="C818" s="40"/>
      <c r="D818" s="23"/>
      <c r="E818" s="23"/>
      <c r="F818" s="23"/>
      <c r="G818" s="23"/>
      <c r="H818" s="40"/>
      <c r="I818" s="40"/>
      <c r="J818" s="70"/>
      <c r="K818" s="23"/>
      <c r="L818" s="70"/>
      <c r="M818" s="70"/>
      <c r="N818" s="23"/>
      <c r="O818" s="23"/>
      <c r="P818" s="23"/>
      <c r="Q818" s="23"/>
      <c r="R818" s="72"/>
      <c r="S818" s="23"/>
      <c r="T818" s="23"/>
      <c r="U818" s="23"/>
      <c r="V818" s="23"/>
      <c r="W818" s="23"/>
      <c r="X818" s="23"/>
      <c r="Y818" s="23"/>
      <c r="Z818" s="23"/>
      <c r="AA818" s="23"/>
      <c r="AB818" s="23"/>
      <c r="AC818" s="23"/>
      <c r="AD818" s="23"/>
      <c r="AE818" s="23"/>
    </row>
    <row r="819" spans="1:31">
      <c r="A819" s="23"/>
      <c r="B819" s="40"/>
      <c r="C819" s="40"/>
      <c r="D819" s="23"/>
      <c r="E819" s="23"/>
      <c r="F819" s="23"/>
      <c r="G819" s="23"/>
      <c r="H819" s="40"/>
      <c r="I819" s="40"/>
      <c r="J819" s="70"/>
      <c r="K819" s="23"/>
      <c r="L819" s="70"/>
      <c r="M819" s="70"/>
      <c r="N819" s="23"/>
      <c r="O819" s="23"/>
      <c r="P819" s="23"/>
      <c r="Q819" s="23"/>
      <c r="R819" s="72"/>
      <c r="S819" s="23"/>
      <c r="T819" s="23"/>
      <c r="U819" s="23"/>
      <c r="V819" s="23"/>
      <c r="W819" s="23"/>
      <c r="X819" s="23"/>
      <c r="Y819" s="23"/>
      <c r="Z819" s="23"/>
      <c r="AA819" s="23"/>
      <c r="AB819" s="23"/>
      <c r="AC819" s="23"/>
      <c r="AD819" s="23"/>
      <c r="AE819" s="23"/>
    </row>
    <row r="820" spans="1:31">
      <c r="A820" s="23"/>
      <c r="B820" s="40"/>
      <c r="C820" s="40"/>
      <c r="D820" s="23"/>
      <c r="E820" s="23"/>
      <c r="F820" s="23"/>
      <c r="G820" s="23"/>
      <c r="H820" s="40"/>
      <c r="I820" s="40"/>
      <c r="J820" s="70"/>
      <c r="K820" s="23"/>
      <c r="L820" s="70"/>
      <c r="M820" s="70"/>
      <c r="N820" s="23"/>
      <c r="O820" s="23"/>
      <c r="P820" s="23"/>
      <c r="Q820" s="23"/>
      <c r="R820" s="72"/>
      <c r="S820" s="23"/>
      <c r="T820" s="23"/>
      <c r="U820" s="23"/>
      <c r="V820" s="23"/>
      <c r="W820" s="23"/>
      <c r="X820" s="23"/>
      <c r="Y820" s="23"/>
      <c r="Z820" s="23"/>
      <c r="AA820" s="23"/>
      <c r="AB820" s="23"/>
      <c r="AC820" s="23"/>
      <c r="AD820" s="23"/>
      <c r="AE820" s="23"/>
    </row>
    <row r="821" spans="1:31">
      <c r="A821" s="23"/>
      <c r="B821" s="40"/>
      <c r="C821" s="40"/>
      <c r="D821" s="23"/>
      <c r="E821" s="23"/>
      <c r="F821" s="23"/>
      <c r="G821" s="23"/>
      <c r="H821" s="40"/>
      <c r="I821" s="40"/>
      <c r="J821" s="70"/>
      <c r="K821" s="23"/>
      <c r="L821" s="70"/>
      <c r="M821" s="70"/>
      <c r="N821" s="23"/>
      <c r="O821" s="23"/>
      <c r="P821" s="23"/>
      <c r="Q821" s="23"/>
      <c r="R821" s="72"/>
      <c r="S821" s="23"/>
      <c r="T821" s="23"/>
      <c r="U821" s="23"/>
      <c r="V821" s="23"/>
      <c r="W821" s="23"/>
      <c r="X821" s="23"/>
      <c r="Y821" s="23"/>
      <c r="Z821" s="23"/>
      <c r="AA821" s="23"/>
      <c r="AB821" s="23"/>
      <c r="AC821" s="23"/>
      <c r="AD821" s="23"/>
      <c r="AE821" s="23"/>
    </row>
    <row r="822" spans="1:31">
      <c r="A822" s="23"/>
      <c r="B822" s="40"/>
      <c r="C822" s="40"/>
      <c r="D822" s="23"/>
      <c r="E822" s="23"/>
      <c r="F822" s="23"/>
      <c r="G822" s="23"/>
      <c r="H822" s="23"/>
      <c r="I822" s="40"/>
      <c r="J822" s="70"/>
      <c r="K822" s="23"/>
      <c r="L822" s="70"/>
      <c r="M822" s="70"/>
      <c r="N822" s="23"/>
      <c r="O822" s="23"/>
      <c r="P822" s="23"/>
      <c r="Q822" s="23"/>
      <c r="R822" s="72"/>
      <c r="S822" s="23"/>
      <c r="T822" s="23"/>
      <c r="U822" s="23"/>
      <c r="V822" s="23"/>
      <c r="W822" s="23"/>
      <c r="X822" s="23"/>
      <c r="Y822" s="23"/>
      <c r="Z822" s="23"/>
      <c r="AA822" s="23"/>
      <c r="AB822" s="23"/>
      <c r="AC822" s="23"/>
      <c r="AD822" s="23"/>
      <c r="AE822" s="23"/>
    </row>
    <row r="823" spans="1:31">
      <c r="A823" s="23"/>
      <c r="B823" s="40"/>
      <c r="C823" s="40"/>
      <c r="D823" s="23"/>
      <c r="E823" s="23"/>
      <c r="F823" s="23"/>
      <c r="G823" s="23"/>
      <c r="H823" s="23"/>
      <c r="I823" s="40"/>
      <c r="J823" s="70"/>
      <c r="K823" s="23"/>
      <c r="L823" s="70"/>
      <c r="M823" s="70"/>
      <c r="N823" s="23"/>
      <c r="O823" s="23"/>
      <c r="P823" s="23"/>
      <c r="Q823" s="23"/>
      <c r="R823" s="72"/>
      <c r="S823" s="23"/>
      <c r="T823" s="23"/>
      <c r="U823" s="23"/>
      <c r="V823" s="23"/>
      <c r="W823" s="23"/>
      <c r="X823" s="23"/>
      <c r="Y823" s="23"/>
      <c r="Z823" s="23"/>
      <c r="AA823" s="23"/>
      <c r="AB823" s="23"/>
      <c r="AC823" s="23"/>
      <c r="AD823" s="23"/>
      <c r="AE823" s="23"/>
    </row>
    <row r="824" spans="1:31">
      <c r="A824" s="23"/>
      <c r="B824" s="40"/>
      <c r="C824" s="40"/>
      <c r="D824" s="23"/>
      <c r="E824" s="23"/>
      <c r="F824" s="23"/>
      <c r="G824" s="23"/>
      <c r="H824" s="23"/>
      <c r="I824" s="40"/>
      <c r="J824" s="70"/>
      <c r="K824" s="23"/>
      <c r="L824" s="70"/>
      <c r="M824" s="70"/>
      <c r="N824" s="23"/>
      <c r="O824" s="23"/>
      <c r="P824" s="23"/>
      <c r="Q824" s="23"/>
      <c r="R824" s="72"/>
      <c r="S824" s="23"/>
      <c r="T824" s="23"/>
      <c r="U824" s="23"/>
      <c r="V824" s="23"/>
      <c r="W824" s="23"/>
      <c r="X824" s="23"/>
      <c r="Y824" s="23"/>
      <c r="Z824" s="23"/>
      <c r="AA824" s="23"/>
      <c r="AB824" s="23"/>
      <c r="AC824" s="23"/>
      <c r="AD824" s="23"/>
      <c r="AE824" s="23"/>
    </row>
    <row r="825" spans="1:31">
      <c r="A825" s="23"/>
      <c r="B825" s="40"/>
      <c r="C825" s="40"/>
      <c r="D825" s="23"/>
      <c r="E825" s="23"/>
      <c r="F825" s="23"/>
      <c r="G825" s="23"/>
      <c r="H825" s="23"/>
      <c r="I825" s="40"/>
      <c r="J825" s="70"/>
      <c r="K825" s="23"/>
      <c r="L825" s="70"/>
      <c r="M825" s="70"/>
      <c r="N825" s="23"/>
      <c r="O825" s="23"/>
      <c r="P825" s="23"/>
      <c r="Q825" s="23"/>
      <c r="R825" s="72"/>
      <c r="S825" s="23"/>
      <c r="T825" s="23"/>
      <c r="U825" s="23"/>
      <c r="V825" s="23"/>
      <c r="W825" s="23"/>
      <c r="X825" s="23"/>
      <c r="Y825" s="23"/>
      <c r="Z825" s="23"/>
      <c r="AA825" s="23"/>
      <c r="AB825" s="23"/>
      <c r="AC825" s="23"/>
      <c r="AD825" s="23"/>
      <c r="AE825" s="23"/>
    </row>
    <row r="826" spans="1:31" ht="24" customHeight="1">
      <c r="A826" s="23"/>
      <c r="B826" s="40"/>
      <c r="C826" s="40"/>
      <c r="D826" s="23"/>
      <c r="E826" s="23"/>
      <c r="F826" s="23"/>
      <c r="G826" s="23"/>
      <c r="H826" s="40"/>
      <c r="I826" s="40"/>
      <c r="J826" s="70"/>
      <c r="K826" s="23"/>
      <c r="L826" s="70"/>
      <c r="M826" s="70"/>
      <c r="N826" s="23"/>
      <c r="O826" s="23"/>
      <c r="P826" s="23"/>
      <c r="Q826" s="23"/>
      <c r="R826" s="72"/>
      <c r="S826" s="23"/>
      <c r="T826" s="23"/>
      <c r="U826" s="23"/>
      <c r="V826" s="23"/>
      <c r="W826" s="23"/>
      <c r="X826" s="23"/>
      <c r="Y826" s="23"/>
      <c r="Z826" s="23"/>
      <c r="AA826" s="23"/>
      <c r="AB826" s="23"/>
      <c r="AC826" s="23"/>
      <c r="AD826" s="23"/>
      <c r="AE826" s="23"/>
    </row>
    <row r="827" spans="1:31">
      <c r="A827" s="23"/>
      <c r="B827" s="40"/>
      <c r="C827" s="40"/>
      <c r="D827" s="23"/>
      <c r="E827" s="23"/>
      <c r="F827" s="23"/>
      <c r="G827" s="23"/>
      <c r="H827" s="40"/>
      <c r="I827" s="40"/>
      <c r="J827" s="70"/>
      <c r="K827" s="23"/>
      <c r="L827" s="70"/>
      <c r="M827" s="70"/>
      <c r="N827" s="23"/>
      <c r="O827" s="23"/>
      <c r="P827" s="23"/>
      <c r="Q827" s="23"/>
      <c r="R827" s="72"/>
      <c r="S827" s="23"/>
      <c r="T827" s="23"/>
      <c r="U827" s="23"/>
      <c r="V827" s="23"/>
      <c r="W827" s="23"/>
      <c r="X827" s="23"/>
      <c r="Y827" s="23"/>
      <c r="Z827" s="23"/>
      <c r="AA827" s="23"/>
      <c r="AB827" s="23"/>
      <c r="AC827" s="23"/>
      <c r="AD827" s="23"/>
      <c r="AE827" s="23"/>
    </row>
    <row r="828" spans="1:31">
      <c r="A828" s="23"/>
      <c r="B828" s="40"/>
      <c r="C828" s="40"/>
      <c r="D828" s="23"/>
      <c r="E828" s="23"/>
      <c r="F828" s="23"/>
      <c r="G828" s="23"/>
      <c r="H828" s="40"/>
      <c r="I828" s="40"/>
      <c r="J828" s="70"/>
      <c r="K828" s="23"/>
      <c r="L828" s="70"/>
      <c r="M828" s="70"/>
      <c r="N828" s="23"/>
      <c r="O828" s="23"/>
      <c r="P828" s="23"/>
      <c r="Q828" s="23"/>
      <c r="R828" s="72"/>
      <c r="S828" s="23"/>
      <c r="T828" s="23"/>
      <c r="U828" s="23"/>
      <c r="V828" s="23"/>
      <c r="W828" s="23"/>
      <c r="X828" s="23"/>
      <c r="Y828" s="23"/>
      <c r="Z828" s="23"/>
      <c r="AA828" s="23"/>
      <c r="AB828" s="23"/>
      <c r="AC828" s="23"/>
      <c r="AD828" s="23"/>
      <c r="AE828" s="23"/>
    </row>
    <row r="829" spans="1:31">
      <c r="A829" s="23"/>
      <c r="B829" s="40"/>
      <c r="C829" s="40"/>
      <c r="D829" s="23"/>
      <c r="E829" s="23"/>
      <c r="F829" s="23"/>
      <c r="G829" s="23"/>
      <c r="H829" s="40"/>
      <c r="I829" s="40"/>
      <c r="J829" s="70"/>
      <c r="K829" s="23"/>
      <c r="L829" s="70"/>
      <c r="M829" s="70"/>
      <c r="N829" s="23"/>
      <c r="O829" s="23"/>
      <c r="P829" s="23"/>
      <c r="Q829" s="23"/>
      <c r="R829" s="72"/>
      <c r="S829" s="23"/>
      <c r="T829" s="23"/>
      <c r="U829" s="23"/>
      <c r="V829" s="23"/>
      <c r="W829" s="23"/>
      <c r="X829" s="23"/>
      <c r="Y829" s="23"/>
      <c r="Z829" s="23"/>
      <c r="AA829" s="23"/>
      <c r="AB829" s="23"/>
      <c r="AC829" s="23"/>
      <c r="AD829" s="23"/>
      <c r="AE829" s="23"/>
    </row>
    <row r="830" spans="1:31">
      <c r="A830" s="23"/>
      <c r="B830" s="40"/>
      <c r="C830" s="40"/>
      <c r="D830" s="23"/>
      <c r="E830" s="23"/>
      <c r="F830" s="23"/>
      <c r="G830" s="23"/>
      <c r="H830" s="40"/>
      <c r="I830" s="40"/>
      <c r="J830" s="70"/>
      <c r="K830" s="23"/>
      <c r="L830" s="70"/>
      <c r="M830" s="70"/>
      <c r="N830" s="23"/>
      <c r="O830" s="23"/>
      <c r="P830" s="23"/>
      <c r="Q830" s="23"/>
      <c r="R830" s="72"/>
      <c r="S830" s="23"/>
      <c r="T830" s="23"/>
      <c r="U830" s="23"/>
      <c r="V830" s="23"/>
      <c r="W830" s="23"/>
      <c r="X830" s="23"/>
      <c r="Y830" s="23"/>
      <c r="Z830" s="23"/>
      <c r="AA830" s="23"/>
      <c r="AB830" s="23"/>
      <c r="AC830" s="23"/>
      <c r="AD830" s="23"/>
      <c r="AE830" s="23"/>
    </row>
    <row r="831" spans="1:31">
      <c r="A831" s="23"/>
      <c r="B831" s="40"/>
      <c r="C831" s="40"/>
      <c r="D831" s="23"/>
      <c r="E831" s="23"/>
      <c r="F831" s="23"/>
      <c r="G831" s="23"/>
      <c r="H831" s="23"/>
      <c r="I831" s="40"/>
      <c r="J831" s="70"/>
      <c r="K831" s="23"/>
      <c r="L831" s="70"/>
      <c r="M831" s="70"/>
      <c r="N831" s="23"/>
      <c r="O831" s="23"/>
      <c r="P831" s="23"/>
      <c r="Q831" s="23"/>
      <c r="R831" s="72"/>
      <c r="S831" s="23"/>
      <c r="T831" s="23"/>
      <c r="U831" s="23"/>
      <c r="V831" s="23"/>
      <c r="W831" s="23"/>
      <c r="X831" s="23"/>
      <c r="Y831" s="23"/>
      <c r="Z831" s="23"/>
      <c r="AA831" s="23"/>
      <c r="AB831" s="23"/>
      <c r="AC831" s="23"/>
      <c r="AD831" s="23"/>
      <c r="AE831" s="23"/>
    </row>
    <row r="832" spans="1:31">
      <c r="A832" s="23"/>
      <c r="B832" s="40"/>
      <c r="C832" s="40"/>
      <c r="D832" s="23"/>
      <c r="E832" s="23"/>
      <c r="F832" s="23"/>
      <c r="G832" s="23"/>
      <c r="H832" s="23"/>
      <c r="I832" s="40"/>
      <c r="J832" s="70"/>
      <c r="K832" s="23"/>
      <c r="L832" s="70"/>
      <c r="M832" s="70"/>
      <c r="N832" s="23"/>
      <c r="O832" s="23"/>
      <c r="P832" s="23"/>
      <c r="Q832" s="23"/>
      <c r="R832" s="72"/>
      <c r="S832" s="23"/>
      <c r="T832" s="23"/>
      <c r="U832" s="23"/>
      <c r="V832" s="23"/>
      <c r="W832" s="23"/>
      <c r="X832" s="23"/>
      <c r="Y832" s="23"/>
      <c r="Z832" s="23"/>
      <c r="AA832" s="23"/>
      <c r="AB832" s="23"/>
      <c r="AC832" s="23"/>
      <c r="AD832" s="23"/>
      <c r="AE832" s="23"/>
    </row>
    <row r="833" spans="1:31" ht="24" customHeight="1">
      <c r="A833" s="23"/>
      <c r="B833" s="40"/>
      <c r="C833" s="40"/>
      <c r="D833" s="23"/>
      <c r="E833" s="23"/>
      <c r="F833" s="23"/>
      <c r="G833" s="23"/>
      <c r="H833" s="40"/>
      <c r="I833" s="40"/>
      <c r="J833" s="70"/>
      <c r="K833" s="23"/>
      <c r="L833" s="70"/>
      <c r="M833" s="70"/>
      <c r="N833" s="23"/>
      <c r="O833" s="23"/>
      <c r="P833" s="23"/>
      <c r="Q833" s="23"/>
      <c r="R833" s="72"/>
      <c r="S833" s="23"/>
      <c r="T833" s="23"/>
      <c r="U833" s="23"/>
      <c r="V833" s="23"/>
      <c r="W833" s="23"/>
      <c r="X833" s="23"/>
      <c r="Y833" s="23"/>
      <c r="Z833" s="23"/>
      <c r="AA833" s="23"/>
      <c r="AB833" s="23"/>
      <c r="AC833" s="23"/>
      <c r="AD833" s="23"/>
      <c r="AE833" s="23"/>
    </row>
    <row r="834" spans="1:31">
      <c r="A834" s="23"/>
      <c r="B834" s="40"/>
      <c r="C834" s="40"/>
      <c r="D834" s="23"/>
      <c r="E834" s="23"/>
      <c r="F834" s="23"/>
      <c r="G834" s="23"/>
      <c r="H834" s="40"/>
      <c r="I834" s="40"/>
      <c r="J834" s="70"/>
      <c r="K834" s="23"/>
      <c r="L834" s="70"/>
      <c r="M834" s="70"/>
      <c r="N834" s="23"/>
      <c r="O834" s="23"/>
      <c r="P834" s="23"/>
      <c r="Q834" s="23"/>
      <c r="R834" s="72"/>
      <c r="S834" s="23"/>
      <c r="T834" s="23"/>
      <c r="U834" s="23"/>
      <c r="V834" s="23"/>
      <c r="W834" s="23"/>
      <c r="X834" s="23"/>
      <c r="Y834" s="23"/>
      <c r="Z834" s="23"/>
      <c r="AA834" s="23"/>
      <c r="AB834" s="23"/>
      <c r="AC834" s="23"/>
      <c r="AD834" s="23"/>
      <c r="AE834" s="23"/>
    </row>
    <row r="835" spans="1:31">
      <c r="A835" s="23"/>
      <c r="B835" s="40"/>
      <c r="C835" s="40"/>
      <c r="D835" s="23"/>
      <c r="E835" s="23"/>
      <c r="F835" s="23"/>
      <c r="G835" s="23"/>
      <c r="H835" s="40"/>
      <c r="I835" s="40"/>
      <c r="J835" s="70"/>
      <c r="K835" s="23"/>
      <c r="L835" s="70"/>
      <c r="M835" s="70"/>
      <c r="N835" s="23"/>
      <c r="O835" s="23"/>
      <c r="P835" s="23"/>
      <c r="Q835" s="23"/>
      <c r="R835" s="72"/>
      <c r="S835" s="23"/>
      <c r="T835" s="23"/>
      <c r="U835" s="23"/>
      <c r="V835" s="23"/>
      <c r="W835" s="23"/>
      <c r="X835" s="23"/>
      <c r="Y835" s="23"/>
      <c r="Z835" s="23"/>
      <c r="AA835" s="23"/>
      <c r="AB835" s="23"/>
      <c r="AC835" s="23"/>
      <c r="AD835" s="23"/>
      <c r="AE835" s="23"/>
    </row>
    <row r="836" spans="1:31">
      <c r="A836" s="23"/>
      <c r="B836" s="40"/>
      <c r="C836" s="40"/>
      <c r="D836" s="23"/>
      <c r="E836" s="23"/>
      <c r="F836" s="23"/>
      <c r="G836" s="23"/>
      <c r="H836" s="40"/>
      <c r="I836" s="40"/>
      <c r="J836" s="70"/>
      <c r="K836" s="23"/>
      <c r="L836" s="70"/>
      <c r="M836" s="70"/>
      <c r="N836" s="23"/>
      <c r="O836" s="23"/>
      <c r="P836" s="23"/>
      <c r="Q836" s="23"/>
      <c r="R836" s="72"/>
      <c r="S836" s="23"/>
      <c r="T836" s="23"/>
      <c r="U836" s="23"/>
      <c r="V836" s="23"/>
      <c r="W836" s="23"/>
      <c r="X836" s="23"/>
      <c r="Y836" s="23"/>
      <c r="Z836" s="23"/>
      <c r="AA836" s="23"/>
      <c r="AB836" s="23"/>
      <c r="AC836" s="23"/>
      <c r="AD836" s="23"/>
      <c r="AE836" s="23"/>
    </row>
    <row r="837" spans="1:31">
      <c r="A837" s="23"/>
      <c r="B837" s="40"/>
      <c r="C837" s="40"/>
      <c r="D837" s="23"/>
      <c r="E837" s="23"/>
      <c r="F837" s="23"/>
      <c r="G837" s="23"/>
      <c r="H837" s="40"/>
      <c r="I837" s="40"/>
      <c r="J837" s="70"/>
      <c r="K837" s="23"/>
      <c r="L837" s="70"/>
      <c r="M837" s="70"/>
      <c r="N837" s="23"/>
      <c r="O837" s="23"/>
      <c r="P837" s="23"/>
      <c r="Q837" s="23"/>
      <c r="R837" s="72"/>
      <c r="S837" s="23"/>
      <c r="T837" s="23"/>
      <c r="U837" s="23"/>
      <c r="V837" s="23"/>
      <c r="W837" s="23"/>
      <c r="X837" s="23"/>
      <c r="Y837" s="23"/>
      <c r="Z837" s="23"/>
      <c r="AA837" s="23"/>
      <c r="AB837" s="23"/>
      <c r="AC837" s="23"/>
      <c r="AD837" s="23"/>
      <c r="AE837" s="23"/>
    </row>
    <row r="838" spans="1:31">
      <c r="A838" s="23"/>
      <c r="B838" s="40"/>
      <c r="C838" s="40"/>
      <c r="D838" s="23"/>
      <c r="E838" s="23"/>
      <c r="F838" s="23"/>
      <c r="G838" s="23"/>
      <c r="H838" s="40"/>
      <c r="I838" s="40"/>
      <c r="J838" s="70"/>
      <c r="K838" s="23"/>
      <c r="L838" s="70"/>
      <c r="M838" s="70"/>
      <c r="N838" s="23"/>
      <c r="O838" s="23"/>
      <c r="P838" s="23"/>
      <c r="Q838" s="23"/>
      <c r="R838" s="72"/>
      <c r="S838" s="23"/>
      <c r="T838" s="23"/>
      <c r="U838" s="23"/>
      <c r="V838" s="23"/>
      <c r="W838" s="23"/>
      <c r="X838" s="23"/>
      <c r="Y838" s="23"/>
      <c r="Z838" s="23"/>
      <c r="AA838" s="23"/>
      <c r="AB838" s="23"/>
      <c r="AC838" s="23"/>
      <c r="AD838" s="23"/>
      <c r="AE838" s="23"/>
    </row>
    <row r="839" spans="1:31">
      <c r="A839" s="23"/>
      <c r="B839" s="40"/>
      <c r="C839" s="40"/>
      <c r="D839" s="23"/>
      <c r="E839" s="23"/>
      <c r="F839" s="23"/>
      <c r="G839" s="23"/>
      <c r="H839" s="40"/>
      <c r="I839" s="40"/>
      <c r="J839" s="70"/>
      <c r="K839" s="23"/>
      <c r="L839" s="70"/>
      <c r="M839" s="70"/>
      <c r="N839" s="23"/>
      <c r="O839" s="23"/>
      <c r="P839" s="23"/>
      <c r="Q839" s="23"/>
      <c r="R839" s="72"/>
      <c r="S839" s="23"/>
      <c r="T839" s="23"/>
      <c r="U839" s="23"/>
      <c r="V839" s="23"/>
      <c r="W839" s="23"/>
      <c r="X839" s="23"/>
      <c r="Y839" s="23"/>
      <c r="Z839" s="23"/>
      <c r="AA839" s="23"/>
      <c r="AB839" s="23"/>
      <c r="AC839" s="23"/>
      <c r="AD839" s="23"/>
      <c r="AE839" s="23"/>
    </row>
    <row r="840" spans="1:31">
      <c r="A840" s="23"/>
      <c r="B840" s="40"/>
      <c r="C840" s="40"/>
      <c r="D840" s="23"/>
      <c r="E840" s="23"/>
      <c r="F840" s="23"/>
      <c r="G840" s="23"/>
      <c r="H840" s="23"/>
      <c r="I840" s="40"/>
      <c r="J840" s="70"/>
      <c r="K840" s="23"/>
      <c r="L840" s="70"/>
      <c r="M840" s="70"/>
      <c r="N840" s="23"/>
      <c r="O840" s="23"/>
      <c r="P840" s="23"/>
      <c r="Q840" s="23"/>
      <c r="R840" s="72"/>
      <c r="S840" s="23"/>
      <c r="T840" s="23"/>
      <c r="U840" s="23"/>
      <c r="V840" s="23"/>
      <c r="W840" s="23"/>
      <c r="X840" s="23"/>
      <c r="Y840" s="23"/>
      <c r="Z840" s="23"/>
      <c r="AA840" s="23"/>
      <c r="AB840" s="23"/>
      <c r="AC840" s="23"/>
      <c r="AD840" s="23"/>
      <c r="AE840" s="23"/>
    </row>
    <row r="841" spans="1:31">
      <c r="A841" s="23"/>
      <c r="B841" s="40"/>
      <c r="C841" s="40"/>
      <c r="D841" s="23"/>
      <c r="E841" s="23"/>
      <c r="F841" s="23"/>
      <c r="G841" s="23"/>
      <c r="H841" s="23"/>
      <c r="I841" s="40"/>
      <c r="J841" s="70"/>
      <c r="K841" s="23"/>
      <c r="L841" s="70"/>
      <c r="M841" s="70"/>
      <c r="N841" s="23"/>
      <c r="O841" s="23"/>
      <c r="P841" s="23"/>
      <c r="Q841" s="23"/>
      <c r="R841" s="72"/>
      <c r="S841" s="23"/>
      <c r="T841" s="23"/>
      <c r="U841" s="23"/>
      <c r="V841" s="23"/>
      <c r="W841" s="23"/>
      <c r="X841" s="23"/>
      <c r="Y841" s="23"/>
      <c r="Z841" s="23"/>
      <c r="AA841" s="23"/>
      <c r="AB841" s="23"/>
      <c r="AC841" s="23"/>
      <c r="AD841" s="23"/>
      <c r="AE841" s="23"/>
    </row>
    <row r="842" spans="1:31">
      <c r="A842" s="23"/>
      <c r="B842" s="40"/>
      <c r="C842" s="40"/>
      <c r="D842" s="23"/>
      <c r="E842" s="23"/>
      <c r="F842" s="23"/>
      <c r="G842" s="23"/>
      <c r="H842" s="23"/>
      <c r="I842" s="40"/>
      <c r="J842" s="70"/>
      <c r="K842" s="23"/>
      <c r="L842" s="70"/>
      <c r="M842" s="70"/>
      <c r="N842" s="23"/>
      <c r="O842" s="23"/>
      <c r="P842" s="23"/>
      <c r="Q842" s="23"/>
      <c r="R842" s="72"/>
      <c r="S842" s="23"/>
      <c r="T842" s="23"/>
      <c r="U842" s="23"/>
      <c r="V842" s="23"/>
      <c r="W842" s="23"/>
      <c r="X842" s="23"/>
      <c r="Y842" s="23"/>
      <c r="Z842" s="23"/>
      <c r="AA842" s="23"/>
      <c r="AB842" s="23"/>
      <c r="AC842" s="23"/>
      <c r="AD842" s="23"/>
      <c r="AE842" s="23"/>
    </row>
    <row r="843" spans="1:31">
      <c r="A843" s="23"/>
      <c r="B843" s="40"/>
      <c r="C843" s="40"/>
      <c r="D843" s="23"/>
      <c r="E843" s="23"/>
      <c r="F843" s="23"/>
      <c r="G843" s="23"/>
      <c r="H843" s="23"/>
      <c r="I843" s="40"/>
      <c r="J843" s="70"/>
      <c r="K843" s="23"/>
      <c r="L843" s="70"/>
      <c r="M843" s="70"/>
      <c r="N843" s="23"/>
      <c r="O843" s="23"/>
      <c r="P843" s="23"/>
      <c r="Q843" s="23"/>
      <c r="R843" s="72"/>
      <c r="S843" s="23"/>
      <c r="T843" s="23"/>
      <c r="U843" s="23"/>
      <c r="V843" s="23"/>
      <c r="W843" s="23"/>
      <c r="X843" s="23"/>
      <c r="Y843" s="23"/>
      <c r="Z843" s="23"/>
      <c r="AA843" s="23"/>
      <c r="AB843" s="23"/>
      <c r="AC843" s="23"/>
      <c r="AD843" s="23"/>
      <c r="AE843" s="23"/>
    </row>
    <row r="844" spans="1:31">
      <c r="A844" s="23"/>
      <c r="B844" s="40"/>
      <c r="C844" s="40"/>
      <c r="D844" s="23"/>
      <c r="E844" s="23"/>
      <c r="F844" s="23"/>
      <c r="G844" s="23"/>
      <c r="H844" s="23"/>
      <c r="I844" s="40"/>
      <c r="J844" s="70"/>
      <c r="K844" s="23"/>
      <c r="L844" s="70"/>
      <c r="M844" s="70"/>
      <c r="N844" s="23"/>
      <c r="O844" s="23"/>
      <c r="P844" s="23"/>
      <c r="Q844" s="23"/>
      <c r="R844" s="72"/>
      <c r="S844" s="23"/>
      <c r="T844" s="23"/>
      <c r="U844" s="23"/>
      <c r="V844" s="23"/>
      <c r="W844" s="23"/>
      <c r="X844" s="23"/>
      <c r="Y844" s="23"/>
      <c r="Z844" s="23"/>
      <c r="AA844" s="23"/>
      <c r="AB844" s="23"/>
      <c r="AC844" s="23"/>
      <c r="AD844" s="23"/>
      <c r="AE844" s="23"/>
    </row>
    <row r="845" spans="1:31">
      <c r="A845" s="23"/>
      <c r="B845" s="40"/>
      <c r="C845" s="40"/>
      <c r="D845" s="23"/>
      <c r="E845" s="23"/>
      <c r="F845" s="23"/>
      <c r="G845" s="23"/>
      <c r="H845" s="23"/>
      <c r="I845" s="40"/>
      <c r="J845" s="70"/>
      <c r="K845" s="23"/>
      <c r="L845" s="70"/>
      <c r="M845" s="70"/>
      <c r="N845" s="23"/>
      <c r="O845" s="23"/>
      <c r="P845" s="23"/>
      <c r="Q845" s="23"/>
      <c r="R845" s="72"/>
      <c r="S845" s="23"/>
      <c r="T845" s="23"/>
      <c r="U845" s="23"/>
      <c r="V845" s="23"/>
      <c r="W845" s="23"/>
      <c r="X845" s="23"/>
      <c r="Y845" s="23"/>
      <c r="Z845" s="23"/>
      <c r="AA845" s="23"/>
      <c r="AB845" s="23"/>
      <c r="AC845" s="23"/>
      <c r="AD845" s="23"/>
      <c r="AE845" s="23"/>
    </row>
    <row r="846" spans="1:31">
      <c r="A846" s="23"/>
      <c r="B846" s="40"/>
      <c r="C846" s="40"/>
      <c r="D846" s="23"/>
      <c r="E846" s="23"/>
      <c r="F846" s="23"/>
      <c r="G846" s="23"/>
      <c r="H846" s="23"/>
      <c r="I846" s="40"/>
      <c r="J846" s="70"/>
      <c r="K846" s="23"/>
      <c r="L846" s="70"/>
      <c r="M846" s="70"/>
      <c r="N846" s="23"/>
      <c r="O846" s="23"/>
      <c r="P846" s="23"/>
      <c r="Q846" s="23"/>
      <c r="R846" s="72"/>
      <c r="S846" s="23"/>
      <c r="T846" s="23"/>
      <c r="U846" s="23"/>
      <c r="V846" s="23"/>
      <c r="W846" s="23"/>
      <c r="X846" s="23"/>
      <c r="Y846" s="23"/>
      <c r="Z846" s="23"/>
      <c r="AA846" s="23"/>
      <c r="AB846" s="23"/>
      <c r="AC846" s="23"/>
      <c r="AD846" s="23"/>
      <c r="AE846" s="23"/>
    </row>
    <row r="847" spans="1:31">
      <c r="A847" s="23"/>
      <c r="B847" s="40"/>
      <c r="C847" s="40"/>
      <c r="D847" s="23"/>
      <c r="E847" s="23"/>
      <c r="F847" s="23"/>
      <c r="G847" s="23"/>
      <c r="H847" s="23"/>
      <c r="I847" s="40"/>
      <c r="J847" s="70"/>
      <c r="K847" s="23"/>
      <c r="L847" s="70"/>
      <c r="M847" s="70"/>
      <c r="N847" s="23"/>
      <c r="O847" s="23"/>
      <c r="P847" s="23"/>
      <c r="Q847" s="23"/>
      <c r="R847" s="72"/>
      <c r="S847" s="23"/>
      <c r="T847" s="23"/>
      <c r="U847" s="23"/>
      <c r="V847" s="23"/>
      <c r="W847" s="23"/>
      <c r="X847" s="23"/>
      <c r="Y847" s="23"/>
      <c r="Z847" s="23"/>
      <c r="AA847" s="23"/>
      <c r="AB847" s="23"/>
      <c r="AC847" s="23"/>
      <c r="AD847" s="23"/>
      <c r="AE847" s="23"/>
    </row>
    <row r="848" spans="1:31">
      <c r="A848" s="23"/>
      <c r="B848" s="40"/>
      <c r="C848" s="40"/>
      <c r="D848" s="23"/>
      <c r="E848" s="23"/>
      <c r="F848" s="23"/>
      <c r="G848" s="23"/>
      <c r="H848" s="23"/>
      <c r="I848" s="40"/>
      <c r="J848" s="70"/>
      <c r="K848" s="23"/>
      <c r="L848" s="70"/>
      <c r="M848" s="70"/>
      <c r="N848" s="23"/>
      <c r="O848" s="23"/>
      <c r="P848" s="23"/>
      <c r="Q848" s="23"/>
      <c r="R848" s="72"/>
      <c r="S848" s="23"/>
      <c r="T848" s="23"/>
      <c r="U848" s="23"/>
      <c r="V848" s="23"/>
      <c r="W848" s="23"/>
      <c r="X848" s="23"/>
      <c r="Y848" s="23"/>
      <c r="Z848" s="23"/>
      <c r="AA848" s="23"/>
      <c r="AB848" s="23"/>
      <c r="AC848" s="23"/>
      <c r="AD848" s="23"/>
      <c r="AE848" s="23"/>
    </row>
    <row r="849" spans="1:31">
      <c r="A849" s="23"/>
      <c r="B849" s="40"/>
      <c r="C849" s="40"/>
      <c r="D849" s="23"/>
      <c r="E849" s="23"/>
      <c r="F849" s="23"/>
      <c r="G849" s="23"/>
      <c r="H849" s="23"/>
      <c r="I849" s="40"/>
      <c r="J849" s="70"/>
      <c r="K849" s="23"/>
      <c r="L849" s="70"/>
      <c r="M849" s="70"/>
      <c r="N849" s="23"/>
      <c r="O849" s="23"/>
      <c r="P849" s="23"/>
      <c r="Q849" s="23"/>
      <c r="R849" s="72"/>
      <c r="S849" s="23"/>
      <c r="T849" s="23"/>
      <c r="U849" s="23"/>
      <c r="V849" s="23"/>
      <c r="W849" s="23"/>
      <c r="X849" s="23"/>
      <c r="Y849" s="23"/>
      <c r="Z849" s="23"/>
      <c r="AA849" s="23"/>
      <c r="AB849" s="23"/>
      <c r="AC849" s="23"/>
      <c r="AD849" s="23"/>
      <c r="AE849" s="23"/>
    </row>
    <row r="850" spans="1:31">
      <c r="A850" s="23"/>
      <c r="B850" s="40"/>
      <c r="C850" s="40"/>
      <c r="D850" s="23"/>
      <c r="E850" s="23"/>
      <c r="F850" s="23"/>
      <c r="G850" s="23"/>
      <c r="H850" s="23"/>
      <c r="I850" s="40"/>
      <c r="J850" s="70"/>
      <c r="K850" s="23"/>
      <c r="L850" s="70"/>
      <c r="M850" s="70"/>
      <c r="N850" s="23"/>
      <c r="O850" s="23"/>
      <c r="P850" s="23"/>
      <c r="Q850" s="23"/>
      <c r="R850" s="72"/>
      <c r="S850" s="23"/>
      <c r="T850" s="23"/>
      <c r="U850" s="23"/>
      <c r="V850" s="23"/>
      <c r="W850" s="23"/>
      <c r="X850" s="23"/>
      <c r="Y850" s="23"/>
      <c r="Z850" s="23"/>
      <c r="AA850" s="23"/>
      <c r="AB850" s="23"/>
      <c r="AC850" s="23"/>
      <c r="AD850" s="23"/>
      <c r="AE850" s="23"/>
    </row>
    <row r="851" spans="1:31">
      <c r="A851" s="23"/>
      <c r="B851" s="40"/>
      <c r="C851" s="40"/>
      <c r="D851" s="23"/>
      <c r="E851" s="23"/>
      <c r="F851" s="23"/>
      <c r="G851" s="23"/>
      <c r="H851" s="23"/>
      <c r="I851" s="40"/>
      <c r="J851" s="70"/>
      <c r="K851" s="23"/>
      <c r="L851" s="70"/>
      <c r="M851" s="70"/>
      <c r="N851" s="23"/>
      <c r="O851" s="23"/>
      <c r="P851" s="23"/>
      <c r="Q851" s="23"/>
      <c r="R851" s="72"/>
      <c r="S851" s="23"/>
      <c r="T851" s="23"/>
      <c r="U851" s="23"/>
      <c r="V851" s="23"/>
      <c r="W851" s="23"/>
      <c r="X851" s="23"/>
      <c r="Y851" s="23"/>
      <c r="Z851" s="23"/>
      <c r="AA851" s="23"/>
      <c r="AB851" s="23"/>
      <c r="AC851" s="23"/>
      <c r="AD851" s="23"/>
      <c r="AE851" s="23"/>
    </row>
    <row r="852" spans="1:31">
      <c r="A852" s="23"/>
      <c r="B852" s="40"/>
      <c r="C852" s="40"/>
      <c r="D852" s="23"/>
      <c r="E852" s="23"/>
      <c r="F852" s="23"/>
      <c r="G852" s="23"/>
      <c r="H852" s="23"/>
      <c r="I852" s="40"/>
      <c r="J852" s="70"/>
      <c r="K852" s="23"/>
      <c r="L852" s="70"/>
      <c r="M852" s="70"/>
      <c r="N852" s="23"/>
      <c r="O852" s="23"/>
      <c r="P852" s="23"/>
      <c r="Q852" s="23"/>
      <c r="R852" s="72"/>
      <c r="S852" s="23"/>
      <c r="T852" s="23"/>
      <c r="U852" s="23"/>
      <c r="V852" s="23"/>
      <c r="W852" s="23"/>
      <c r="X852" s="23"/>
      <c r="Y852" s="23"/>
      <c r="Z852" s="23"/>
      <c r="AA852" s="23"/>
      <c r="AB852" s="23"/>
      <c r="AC852" s="23"/>
      <c r="AD852" s="23"/>
      <c r="AE852" s="23"/>
    </row>
    <row r="853" spans="1:31">
      <c r="A853" s="23"/>
      <c r="B853" s="40"/>
      <c r="C853" s="40"/>
      <c r="D853" s="23"/>
      <c r="E853" s="23"/>
      <c r="F853" s="23"/>
      <c r="G853" s="23"/>
      <c r="H853" s="23"/>
      <c r="I853" s="40"/>
      <c r="J853" s="70"/>
      <c r="K853" s="23"/>
      <c r="L853" s="70"/>
      <c r="M853" s="70"/>
      <c r="N853" s="23"/>
      <c r="O853" s="23"/>
      <c r="P853" s="23"/>
      <c r="Q853" s="23"/>
      <c r="R853" s="72"/>
      <c r="S853" s="23"/>
      <c r="T853" s="23"/>
      <c r="U853" s="23"/>
      <c r="V853" s="23"/>
      <c r="W853" s="23"/>
      <c r="X853" s="23"/>
      <c r="Y853" s="23"/>
      <c r="Z853" s="23"/>
      <c r="AA853" s="23"/>
      <c r="AB853" s="23"/>
      <c r="AC853" s="23"/>
      <c r="AD853" s="23"/>
      <c r="AE853" s="23"/>
    </row>
    <row r="854" spans="1:31" ht="24" customHeight="1">
      <c r="A854" s="23"/>
      <c r="B854" s="40"/>
      <c r="C854" s="40"/>
      <c r="D854" s="23"/>
      <c r="E854" s="23"/>
      <c r="F854" s="23"/>
      <c r="G854" s="23"/>
      <c r="H854" s="40"/>
      <c r="I854" s="40"/>
      <c r="J854" s="70"/>
      <c r="K854" s="23"/>
      <c r="L854" s="70"/>
      <c r="M854" s="70"/>
      <c r="N854" s="23"/>
      <c r="O854" s="23"/>
      <c r="P854" s="23"/>
      <c r="Q854" s="23"/>
      <c r="R854" s="72"/>
      <c r="S854" s="23"/>
      <c r="T854" s="23"/>
      <c r="U854" s="23"/>
      <c r="V854" s="23"/>
      <c r="W854" s="23"/>
      <c r="X854" s="23"/>
      <c r="Y854" s="23"/>
      <c r="Z854" s="23"/>
      <c r="AA854" s="23"/>
      <c r="AB854" s="23"/>
      <c r="AC854" s="23"/>
      <c r="AD854" s="23"/>
      <c r="AE854" s="23"/>
    </row>
    <row r="855" spans="1:31">
      <c r="A855" s="23"/>
      <c r="B855" s="40"/>
      <c r="C855" s="40"/>
      <c r="D855" s="23"/>
      <c r="E855" s="23"/>
      <c r="F855" s="23"/>
      <c r="G855" s="23"/>
      <c r="H855" s="40"/>
      <c r="I855" s="40"/>
      <c r="J855" s="70"/>
      <c r="K855" s="23"/>
      <c r="L855" s="70"/>
      <c r="M855" s="70"/>
      <c r="N855" s="23"/>
      <c r="O855" s="23"/>
      <c r="P855" s="23"/>
      <c r="Q855" s="23"/>
      <c r="R855" s="72"/>
      <c r="S855" s="23"/>
      <c r="T855" s="23"/>
      <c r="U855" s="23"/>
      <c r="V855" s="23"/>
      <c r="W855" s="23"/>
      <c r="X855" s="23"/>
      <c r="Y855" s="23"/>
      <c r="Z855" s="23"/>
      <c r="AA855" s="23"/>
      <c r="AB855" s="23"/>
      <c r="AC855" s="23"/>
      <c r="AD855" s="23"/>
      <c r="AE855" s="23"/>
    </row>
    <row r="856" spans="1:31">
      <c r="A856" s="23"/>
      <c r="B856" s="40"/>
      <c r="C856" s="40"/>
      <c r="D856" s="23"/>
      <c r="E856" s="23"/>
      <c r="F856" s="23"/>
      <c r="G856" s="23"/>
      <c r="H856" s="40"/>
      <c r="I856" s="40"/>
      <c r="J856" s="70"/>
      <c r="K856" s="23"/>
      <c r="L856" s="70"/>
      <c r="M856" s="70"/>
      <c r="N856" s="23"/>
      <c r="O856" s="23"/>
      <c r="P856" s="23"/>
      <c r="Q856" s="23"/>
      <c r="R856" s="72"/>
      <c r="S856" s="23"/>
      <c r="T856" s="23"/>
      <c r="U856" s="23"/>
      <c r="V856" s="23"/>
      <c r="W856" s="23"/>
      <c r="X856" s="23"/>
      <c r="Y856" s="23"/>
      <c r="Z856" s="23"/>
      <c r="AA856" s="23"/>
      <c r="AB856" s="23"/>
      <c r="AC856" s="23"/>
      <c r="AD856" s="23"/>
      <c r="AE856" s="23"/>
    </row>
    <row r="857" spans="1:31">
      <c r="A857" s="23"/>
      <c r="B857" s="40"/>
      <c r="C857" s="40"/>
      <c r="D857" s="23"/>
      <c r="E857" s="23"/>
      <c r="F857" s="23"/>
      <c r="G857" s="23"/>
      <c r="H857" s="40"/>
      <c r="I857" s="40"/>
      <c r="J857" s="70"/>
      <c r="K857" s="23"/>
      <c r="L857" s="70"/>
      <c r="M857" s="70"/>
      <c r="N857" s="23"/>
      <c r="O857" s="23"/>
      <c r="P857" s="23"/>
      <c r="Q857" s="23"/>
      <c r="R857" s="72"/>
      <c r="S857" s="23"/>
      <c r="T857" s="23"/>
      <c r="U857" s="23"/>
      <c r="V857" s="23"/>
      <c r="W857" s="23"/>
      <c r="X857" s="23"/>
      <c r="Y857" s="23"/>
      <c r="Z857" s="23"/>
      <c r="AA857" s="23"/>
      <c r="AB857" s="23"/>
      <c r="AC857" s="23"/>
      <c r="AD857" s="23"/>
      <c r="AE857" s="23"/>
    </row>
    <row r="858" spans="1:31">
      <c r="A858" s="23"/>
      <c r="B858" s="40"/>
      <c r="C858" s="40"/>
      <c r="D858" s="23"/>
      <c r="E858" s="23"/>
      <c r="F858" s="23"/>
      <c r="G858" s="23"/>
      <c r="H858" s="40"/>
      <c r="I858" s="40"/>
      <c r="J858" s="70"/>
      <c r="K858" s="23"/>
      <c r="L858" s="70"/>
      <c r="M858" s="70"/>
      <c r="N858" s="23"/>
      <c r="O858" s="23"/>
      <c r="P858" s="23"/>
      <c r="Q858" s="23"/>
      <c r="R858" s="72"/>
      <c r="S858" s="23"/>
      <c r="T858" s="23"/>
      <c r="U858" s="23"/>
      <c r="V858" s="23"/>
      <c r="W858" s="23"/>
      <c r="X858" s="23"/>
      <c r="Y858" s="23"/>
      <c r="Z858" s="23"/>
      <c r="AA858" s="23"/>
      <c r="AB858" s="23"/>
      <c r="AC858" s="23"/>
      <c r="AD858" s="23"/>
      <c r="AE858" s="23"/>
    </row>
    <row r="859" spans="1:31">
      <c r="A859" s="23"/>
      <c r="B859" s="40"/>
      <c r="C859" s="40"/>
      <c r="D859" s="23"/>
      <c r="E859" s="23"/>
      <c r="F859" s="23"/>
      <c r="G859" s="23"/>
      <c r="H859" s="23"/>
      <c r="I859" s="40"/>
      <c r="J859" s="70"/>
      <c r="K859" s="23"/>
      <c r="L859" s="70"/>
      <c r="M859" s="70"/>
      <c r="N859" s="23"/>
      <c r="O859" s="23"/>
      <c r="P859" s="23"/>
      <c r="Q859" s="23"/>
      <c r="R859" s="72"/>
      <c r="S859" s="23"/>
      <c r="T859" s="23"/>
      <c r="U859" s="23"/>
      <c r="V859" s="23"/>
      <c r="W859" s="23"/>
      <c r="X859" s="23"/>
      <c r="Y859" s="23"/>
      <c r="Z859" s="23"/>
      <c r="AA859" s="23"/>
      <c r="AB859" s="23"/>
      <c r="AC859" s="23"/>
      <c r="AD859" s="23"/>
      <c r="AE859" s="23"/>
    </row>
    <row r="860" spans="1:31">
      <c r="A860" s="23"/>
      <c r="B860" s="40"/>
      <c r="C860" s="40"/>
      <c r="D860" s="23"/>
      <c r="E860" s="23"/>
      <c r="F860" s="23"/>
      <c r="G860" s="23"/>
      <c r="H860" s="23"/>
      <c r="I860" s="40"/>
      <c r="J860" s="70"/>
      <c r="K860" s="23"/>
      <c r="L860" s="70"/>
      <c r="M860" s="70"/>
      <c r="N860" s="23"/>
      <c r="O860" s="23"/>
      <c r="P860" s="23"/>
      <c r="Q860" s="23"/>
      <c r="R860" s="72"/>
      <c r="S860" s="23"/>
      <c r="T860" s="23"/>
      <c r="U860" s="23"/>
      <c r="V860" s="23"/>
      <c r="W860" s="23"/>
      <c r="X860" s="23"/>
      <c r="Y860" s="23"/>
      <c r="Z860" s="23"/>
      <c r="AA860" s="23"/>
      <c r="AB860" s="23"/>
      <c r="AC860" s="23"/>
      <c r="AD860" s="23"/>
      <c r="AE860" s="23"/>
    </row>
    <row r="861" spans="1:31" ht="24" customHeight="1">
      <c r="A861" s="23"/>
      <c r="B861" s="40"/>
      <c r="C861" s="40"/>
      <c r="D861" s="23"/>
      <c r="E861" s="23"/>
      <c r="F861" s="23"/>
      <c r="G861" s="23"/>
      <c r="H861" s="40"/>
      <c r="I861" s="40"/>
      <c r="J861" s="70"/>
      <c r="K861" s="23"/>
      <c r="L861" s="70"/>
      <c r="M861" s="70"/>
      <c r="N861" s="23"/>
      <c r="O861" s="23"/>
      <c r="P861" s="23"/>
      <c r="Q861" s="23"/>
      <c r="R861" s="72"/>
      <c r="S861" s="23"/>
      <c r="T861" s="23"/>
      <c r="U861" s="23"/>
      <c r="V861" s="23"/>
      <c r="W861" s="23"/>
      <c r="X861" s="23"/>
      <c r="Y861" s="23"/>
      <c r="Z861" s="23"/>
      <c r="AA861" s="23"/>
      <c r="AB861" s="23"/>
      <c r="AC861" s="23"/>
      <c r="AD861" s="23"/>
      <c r="AE861" s="23"/>
    </row>
    <row r="862" spans="1:31">
      <c r="A862" s="23"/>
      <c r="B862" s="40"/>
      <c r="C862" s="40"/>
      <c r="D862" s="23"/>
      <c r="E862" s="23"/>
      <c r="F862" s="23"/>
      <c r="G862" s="23"/>
      <c r="H862" s="40"/>
      <c r="I862" s="40"/>
      <c r="J862" s="70"/>
      <c r="K862" s="23"/>
      <c r="L862" s="70"/>
      <c r="M862" s="70"/>
      <c r="N862" s="23"/>
      <c r="O862" s="23"/>
      <c r="P862" s="23"/>
      <c r="Q862" s="23"/>
      <c r="R862" s="72"/>
      <c r="S862" s="23"/>
      <c r="T862" s="23"/>
      <c r="U862" s="23"/>
      <c r="V862" s="23"/>
      <c r="W862" s="23"/>
      <c r="X862" s="23"/>
      <c r="Y862" s="23"/>
      <c r="Z862" s="23"/>
      <c r="AA862" s="23"/>
      <c r="AB862" s="23"/>
      <c r="AC862" s="23"/>
      <c r="AD862" s="23"/>
      <c r="AE862" s="23"/>
    </row>
    <row r="863" spans="1:31">
      <c r="A863" s="23"/>
      <c r="B863" s="40"/>
      <c r="C863" s="40"/>
      <c r="D863" s="23"/>
      <c r="E863" s="23"/>
      <c r="F863" s="23"/>
      <c r="G863" s="23"/>
      <c r="H863" s="40"/>
      <c r="I863" s="40"/>
      <c r="J863" s="70"/>
      <c r="K863" s="23"/>
      <c r="L863" s="70"/>
      <c r="M863" s="70"/>
      <c r="N863" s="23"/>
      <c r="O863" s="23"/>
      <c r="P863" s="23"/>
      <c r="Q863" s="23"/>
      <c r="R863" s="72"/>
      <c r="S863" s="23"/>
      <c r="T863" s="23"/>
      <c r="U863" s="23"/>
      <c r="V863" s="23"/>
      <c r="W863" s="23"/>
      <c r="X863" s="23"/>
      <c r="Y863" s="23"/>
      <c r="Z863" s="23"/>
      <c r="AA863" s="23"/>
      <c r="AB863" s="23"/>
      <c r="AC863" s="23"/>
      <c r="AD863" s="23"/>
      <c r="AE863" s="23"/>
    </row>
    <row r="864" spans="1:31">
      <c r="A864" s="23"/>
      <c r="B864" s="40"/>
      <c r="C864" s="40"/>
      <c r="D864" s="23"/>
      <c r="E864" s="23"/>
      <c r="F864" s="23"/>
      <c r="G864" s="23"/>
      <c r="H864" s="40"/>
      <c r="I864" s="40"/>
      <c r="J864" s="70"/>
      <c r="K864" s="23"/>
      <c r="L864" s="70"/>
      <c r="M864" s="70"/>
      <c r="N864" s="23"/>
      <c r="O864" s="23"/>
      <c r="P864" s="23"/>
      <c r="Q864" s="23"/>
      <c r="R864" s="72"/>
      <c r="S864" s="23"/>
      <c r="T864" s="23"/>
      <c r="U864" s="23"/>
      <c r="V864" s="23"/>
      <c r="W864" s="23"/>
      <c r="X864" s="23"/>
      <c r="Y864" s="23"/>
      <c r="Z864" s="23"/>
      <c r="AA864" s="23"/>
      <c r="AB864" s="23"/>
      <c r="AC864" s="23"/>
      <c r="AD864" s="23"/>
      <c r="AE864" s="23"/>
    </row>
    <row r="865" spans="1:31">
      <c r="A865" s="23"/>
      <c r="B865" s="40"/>
      <c r="C865" s="40"/>
      <c r="D865" s="23"/>
      <c r="E865" s="23"/>
      <c r="F865" s="23"/>
      <c r="G865" s="23"/>
      <c r="H865" s="40"/>
      <c r="I865" s="40"/>
      <c r="J865" s="70"/>
      <c r="K865" s="23"/>
      <c r="L865" s="70"/>
      <c r="M865" s="70"/>
      <c r="N865" s="23"/>
      <c r="O865" s="23"/>
      <c r="P865" s="23"/>
      <c r="Q865" s="23"/>
      <c r="R865" s="72"/>
      <c r="S865" s="23"/>
      <c r="T865" s="23"/>
      <c r="U865" s="23"/>
      <c r="V865" s="23"/>
      <c r="W865" s="23"/>
      <c r="X865" s="23"/>
      <c r="Y865" s="23"/>
      <c r="Z865" s="23"/>
      <c r="AA865" s="23"/>
      <c r="AB865" s="23"/>
      <c r="AC865" s="23"/>
      <c r="AD865" s="23"/>
      <c r="AE865" s="23"/>
    </row>
    <row r="866" spans="1:31">
      <c r="A866" s="23"/>
      <c r="B866" s="40"/>
      <c r="C866" s="40"/>
      <c r="D866" s="23"/>
      <c r="E866" s="23"/>
      <c r="F866" s="23"/>
      <c r="G866" s="23"/>
      <c r="H866" s="40"/>
      <c r="I866" s="40"/>
      <c r="J866" s="70"/>
      <c r="K866" s="23"/>
      <c r="L866" s="70"/>
      <c r="M866" s="70"/>
      <c r="N866" s="23"/>
      <c r="O866" s="23"/>
      <c r="P866" s="23"/>
      <c r="Q866" s="23"/>
      <c r="R866" s="72"/>
      <c r="S866" s="23"/>
      <c r="T866" s="23"/>
      <c r="U866" s="23"/>
      <c r="V866" s="23"/>
      <c r="W866" s="23"/>
      <c r="X866" s="23"/>
      <c r="Y866" s="23"/>
      <c r="Z866" s="23"/>
      <c r="AA866" s="23"/>
      <c r="AB866" s="23"/>
      <c r="AC866" s="23"/>
      <c r="AD866" s="23"/>
      <c r="AE866" s="23"/>
    </row>
    <row r="867" spans="1:31">
      <c r="A867" s="23"/>
      <c r="B867" s="40"/>
      <c r="C867" s="40"/>
      <c r="D867" s="23"/>
      <c r="E867" s="23"/>
      <c r="F867" s="23"/>
      <c r="G867" s="23"/>
      <c r="H867" s="40"/>
      <c r="I867" s="40"/>
      <c r="J867" s="70"/>
      <c r="K867" s="23"/>
      <c r="L867" s="70"/>
      <c r="M867" s="70"/>
      <c r="N867" s="23"/>
      <c r="O867" s="23"/>
      <c r="P867" s="23"/>
      <c r="Q867" s="23"/>
      <c r="R867" s="72"/>
      <c r="S867" s="23"/>
      <c r="T867" s="23"/>
      <c r="U867" s="23"/>
      <c r="V867" s="23"/>
      <c r="W867" s="23"/>
      <c r="X867" s="23"/>
      <c r="Y867" s="23"/>
      <c r="Z867" s="23"/>
      <c r="AA867" s="23"/>
      <c r="AB867" s="23"/>
      <c r="AC867" s="23"/>
      <c r="AD867" s="23"/>
      <c r="AE867" s="23"/>
    </row>
    <row r="868" spans="1:31">
      <c r="A868" s="23"/>
      <c r="B868" s="40"/>
      <c r="C868" s="40"/>
      <c r="D868" s="23"/>
      <c r="E868" s="23"/>
      <c r="F868" s="23"/>
      <c r="G868" s="23"/>
      <c r="H868" s="23"/>
      <c r="I868" s="40"/>
      <c r="J868" s="70"/>
      <c r="K868" s="23"/>
      <c r="L868" s="70"/>
      <c r="M868" s="70"/>
      <c r="N868" s="23"/>
      <c r="O868" s="23"/>
      <c r="P868" s="23"/>
      <c r="Q868" s="23"/>
      <c r="R868" s="72"/>
      <c r="S868" s="23"/>
      <c r="T868" s="23"/>
      <c r="U868" s="23"/>
      <c r="V868" s="23"/>
      <c r="W868" s="23"/>
      <c r="X868" s="23"/>
      <c r="Y868" s="23"/>
      <c r="Z868" s="23"/>
      <c r="AA868" s="23"/>
      <c r="AB868" s="23"/>
      <c r="AC868" s="23"/>
      <c r="AD868" s="23"/>
      <c r="AE868" s="23"/>
    </row>
    <row r="869" spans="1:31">
      <c r="A869" s="23"/>
      <c r="B869" s="40"/>
      <c r="C869" s="40"/>
      <c r="D869" s="23"/>
      <c r="E869" s="23"/>
      <c r="F869" s="23"/>
      <c r="G869" s="23"/>
      <c r="H869" s="23"/>
      <c r="I869" s="40"/>
      <c r="J869" s="70"/>
      <c r="K869" s="23"/>
      <c r="L869" s="70"/>
      <c r="M869" s="70"/>
      <c r="N869" s="23"/>
      <c r="O869" s="23"/>
      <c r="P869" s="23"/>
      <c r="Q869" s="23"/>
      <c r="R869" s="72"/>
      <c r="S869" s="23"/>
      <c r="T869" s="23"/>
      <c r="U869" s="23"/>
      <c r="V869" s="23"/>
      <c r="W869" s="23"/>
      <c r="X869" s="23"/>
      <c r="Y869" s="23"/>
      <c r="Z869" s="23"/>
      <c r="AA869" s="23"/>
      <c r="AB869" s="23"/>
      <c r="AC869" s="23"/>
      <c r="AD869" s="23"/>
      <c r="AE869" s="23"/>
    </row>
    <row r="870" spans="1:31">
      <c r="A870" s="23"/>
      <c r="B870" s="40"/>
      <c r="C870" s="40"/>
      <c r="D870" s="23"/>
      <c r="E870" s="23"/>
      <c r="F870" s="23"/>
      <c r="G870" s="23"/>
      <c r="H870" s="23"/>
      <c r="I870" s="40"/>
      <c r="J870" s="70"/>
      <c r="K870" s="23"/>
      <c r="L870" s="70"/>
      <c r="M870" s="70"/>
      <c r="N870" s="23"/>
      <c r="O870" s="23"/>
      <c r="P870" s="23"/>
      <c r="Q870" s="23"/>
      <c r="R870" s="72"/>
      <c r="S870" s="23"/>
      <c r="T870" s="23"/>
      <c r="U870" s="23"/>
      <c r="V870" s="23"/>
      <c r="W870" s="23"/>
      <c r="X870" s="23"/>
      <c r="Y870" s="23"/>
      <c r="Z870" s="23"/>
      <c r="AA870" s="23"/>
      <c r="AB870" s="23"/>
      <c r="AC870" s="23"/>
      <c r="AD870" s="23"/>
      <c r="AE870" s="23"/>
    </row>
    <row r="871" spans="1:31">
      <c r="A871" s="23"/>
      <c r="B871" s="40"/>
      <c r="C871" s="40"/>
      <c r="D871" s="23"/>
      <c r="E871" s="23"/>
      <c r="F871" s="23"/>
      <c r="G871" s="23"/>
      <c r="H871" s="23"/>
      <c r="I871" s="40"/>
      <c r="J871" s="70"/>
      <c r="K871" s="23"/>
      <c r="L871" s="70"/>
      <c r="M871" s="70"/>
      <c r="N871" s="23"/>
      <c r="O871" s="23"/>
      <c r="P871" s="23"/>
      <c r="Q871" s="23"/>
      <c r="R871" s="72"/>
      <c r="S871" s="23"/>
      <c r="T871" s="23"/>
      <c r="U871" s="23"/>
      <c r="V871" s="23"/>
      <c r="W871" s="23"/>
      <c r="X871" s="23"/>
      <c r="Y871" s="23"/>
      <c r="Z871" s="23"/>
      <c r="AA871" s="23"/>
      <c r="AB871" s="23"/>
      <c r="AC871" s="23"/>
      <c r="AD871" s="23"/>
      <c r="AE871" s="23"/>
    </row>
    <row r="872" spans="1:31" ht="24" customHeight="1">
      <c r="A872" s="23"/>
      <c r="B872" s="40"/>
      <c r="C872" s="40"/>
      <c r="D872" s="23"/>
      <c r="E872" s="23"/>
      <c r="F872" s="23"/>
      <c r="G872" s="23"/>
      <c r="H872" s="40"/>
      <c r="I872" s="40"/>
      <c r="J872" s="70"/>
      <c r="K872" s="23"/>
      <c r="L872" s="70"/>
      <c r="M872" s="70"/>
      <c r="N872" s="23"/>
      <c r="O872" s="23"/>
      <c r="P872" s="23"/>
      <c r="Q872" s="23"/>
      <c r="R872" s="72"/>
      <c r="S872" s="23"/>
      <c r="T872" s="23"/>
      <c r="U872" s="23"/>
      <c r="V872" s="23"/>
      <c r="W872" s="23"/>
      <c r="X872" s="23"/>
      <c r="Y872" s="23"/>
      <c r="Z872" s="23"/>
      <c r="AA872" s="23"/>
      <c r="AB872" s="23"/>
      <c r="AC872" s="23"/>
      <c r="AD872" s="23"/>
      <c r="AE872" s="23"/>
    </row>
    <row r="873" spans="1:31">
      <c r="A873" s="23"/>
      <c r="B873" s="40"/>
      <c r="C873" s="40"/>
      <c r="D873" s="23"/>
      <c r="E873" s="23"/>
      <c r="F873" s="23"/>
      <c r="G873" s="23"/>
      <c r="H873" s="40"/>
      <c r="I873" s="40"/>
      <c r="J873" s="70"/>
      <c r="K873" s="23"/>
      <c r="L873" s="70"/>
      <c r="M873" s="70"/>
      <c r="N873" s="23"/>
      <c r="O873" s="23"/>
      <c r="P873" s="23"/>
      <c r="Q873" s="23"/>
      <c r="R873" s="72"/>
      <c r="S873" s="23"/>
      <c r="T873" s="23"/>
      <c r="U873" s="23"/>
      <c r="V873" s="23"/>
      <c r="W873" s="23"/>
      <c r="X873" s="23"/>
      <c r="Y873" s="23"/>
      <c r="Z873" s="23"/>
      <c r="AA873" s="23"/>
      <c r="AB873" s="23"/>
      <c r="AC873" s="23"/>
      <c r="AD873" s="23"/>
      <c r="AE873" s="23"/>
    </row>
    <row r="874" spans="1:31">
      <c r="A874" s="23"/>
      <c r="B874" s="40"/>
      <c r="C874" s="40"/>
      <c r="D874" s="23"/>
      <c r="E874" s="23"/>
      <c r="F874" s="23"/>
      <c r="G874" s="23"/>
      <c r="H874" s="40"/>
      <c r="I874" s="40"/>
      <c r="J874" s="70"/>
      <c r="K874" s="23"/>
      <c r="L874" s="70"/>
      <c r="M874" s="70"/>
      <c r="N874" s="23"/>
      <c r="O874" s="23"/>
      <c r="P874" s="23"/>
      <c r="Q874" s="23"/>
      <c r="R874" s="72"/>
      <c r="S874" s="23"/>
      <c r="T874" s="23"/>
      <c r="U874" s="23"/>
      <c r="V874" s="23"/>
      <c r="W874" s="23"/>
      <c r="X874" s="23"/>
      <c r="Y874" s="23"/>
      <c r="Z874" s="23"/>
      <c r="AA874" s="23"/>
      <c r="AB874" s="23"/>
      <c r="AC874" s="23"/>
      <c r="AD874" s="23"/>
      <c r="AE874" s="23"/>
    </row>
    <row r="875" spans="1:31">
      <c r="A875" s="23"/>
      <c r="B875" s="40"/>
      <c r="C875" s="40"/>
      <c r="D875" s="23"/>
      <c r="E875" s="23"/>
      <c r="F875" s="23"/>
      <c r="G875" s="23"/>
      <c r="H875" s="40"/>
      <c r="I875" s="40"/>
      <c r="J875" s="70"/>
      <c r="K875" s="23"/>
      <c r="L875" s="70"/>
      <c r="M875" s="70"/>
      <c r="N875" s="23"/>
      <c r="O875" s="23"/>
      <c r="P875" s="23"/>
      <c r="Q875" s="23"/>
      <c r="R875" s="72"/>
      <c r="S875" s="23"/>
      <c r="T875" s="23"/>
      <c r="U875" s="23"/>
      <c r="V875" s="23"/>
      <c r="W875" s="23"/>
      <c r="X875" s="23"/>
      <c r="Y875" s="23"/>
      <c r="Z875" s="23"/>
      <c r="AA875" s="23"/>
      <c r="AB875" s="23"/>
      <c r="AC875" s="23"/>
      <c r="AD875" s="23"/>
      <c r="AE875" s="23"/>
    </row>
    <row r="876" spans="1:31">
      <c r="A876" s="23"/>
      <c r="B876" s="40"/>
      <c r="C876" s="40"/>
      <c r="D876" s="23"/>
      <c r="E876" s="23"/>
      <c r="F876" s="23"/>
      <c r="G876" s="23"/>
      <c r="H876" s="40"/>
      <c r="I876" s="40"/>
      <c r="J876" s="70"/>
      <c r="K876" s="23"/>
      <c r="L876" s="70"/>
      <c r="M876" s="70"/>
      <c r="N876" s="23"/>
      <c r="O876" s="23"/>
      <c r="P876" s="23"/>
      <c r="Q876" s="23"/>
      <c r="R876" s="72"/>
      <c r="S876" s="23"/>
      <c r="T876" s="23"/>
      <c r="U876" s="23"/>
      <c r="V876" s="23"/>
      <c r="W876" s="23"/>
      <c r="X876" s="23"/>
      <c r="Y876" s="23"/>
      <c r="Z876" s="23"/>
      <c r="AA876" s="23"/>
      <c r="AB876" s="23"/>
      <c r="AC876" s="23"/>
      <c r="AD876" s="23"/>
      <c r="AE876" s="23"/>
    </row>
    <row r="877" spans="1:31">
      <c r="A877" s="23"/>
      <c r="B877" s="40"/>
      <c r="C877" s="40"/>
      <c r="D877" s="23"/>
      <c r="E877" s="23"/>
      <c r="F877" s="23"/>
      <c r="G877" s="23"/>
      <c r="H877" s="23"/>
      <c r="I877" s="40"/>
      <c r="J877" s="70"/>
      <c r="K877" s="23"/>
      <c r="L877" s="70"/>
      <c r="M877" s="70"/>
      <c r="N877" s="23"/>
      <c r="O877" s="23"/>
      <c r="P877" s="23"/>
      <c r="Q877" s="23"/>
      <c r="R877" s="72"/>
      <c r="S877" s="23"/>
      <c r="T877" s="23"/>
      <c r="U877" s="23"/>
      <c r="V877" s="23"/>
      <c r="W877" s="23"/>
      <c r="X877" s="23"/>
      <c r="Y877" s="23"/>
      <c r="Z877" s="23"/>
      <c r="AA877" s="23"/>
      <c r="AB877" s="23"/>
      <c r="AC877" s="23"/>
      <c r="AD877" s="23"/>
      <c r="AE877" s="23"/>
    </row>
    <row r="878" spans="1:31">
      <c r="A878" s="23"/>
      <c r="B878" s="40"/>
      <c r="C878" s="40"/>
      <c r="D878" s="23"/>
      <c r="E878" s="23"/>
      <c r="F878" s="23"/>
      <c r="G878" s="23"/>
      <c r="H878" s="23"/>
      <c r="I878" s="40"/>
      <c r="J878" s="70"/>
      <c r="K878" s="23"/>
      <c r="L878" s="70"/>
      <c r="M878" s="70"/>
      <c r="N878" s="23"/>
      <c r="O878" s="23"/>
      <c r="P878" s="23"/>
      <c r="Q878" s="23"/>
      <c r="R878" s="72"/>
      <c r="S878" s="23"/>
      <c r="T878" s="23"/>
      <c r="U878" s="23"/>
      <c r="V878" s="23"/>
      <c r="W878" s="23"/>
      <c r="X878" s="23"/>
      <c r="Y878" s="23"/>
      <c r="Z878" s="23"/>
      <c r="AA878" s="23"/>
      <c r="AB878" s="23"/>
      <c r="AC878" s="23"/>
      <c r="AD878" s="23"/>
      <c r="AE878" s="23"/>
    </row>
    <row r="879" spans="1:31" ht="24" customHeight="1">
      <c r="A879" s="23"/>
      <c r="B879" s="40"/>
      <c r="C879" s="40"/>
      <c r="D879" s="23"/>
      <c r="E879" s="23"/>
      <c r="F879" s="23"/>
      <c r="G879" s="23"/>
      <c r="H879" s="40"/>
      <c r="I879" s="40"/>
      <c r="J879" s="70"/>
      <c r="K879" s="23"/>
      <c r="L879" s="70"/>
      <c r="M879" s="70"/>
      <c r="N879" s="23"/>
      <c r="O879" s="23"/>
      <c r="P879" s="23"/>
      <c r="Q879" s="23"/>
      <c r="R879" s="72"/>
      <c r="S879" s="23"/>
      <c r="T879" s="23"/>
      <c r="U879" s="23"/>
      <c r="V879" s="23"/>
      <c r="W879" s="23"/>
      <c r="X879" s="23"/>
      <c r="Y879" s="23"/>
      <c r="Z879" s="23"/>
      <c r="AA879" s="23"/>
      <c r="AB879" s="23"/>
      <c r="AC879" s="23"/>
      <c r="AD879" s="23"/>
      <c r="AE879" s="23"/>
    </row>
    <row r="880" spans="1:31">
      <c r="A880" s="23"/>
      <c r="B880" s="40"/>
      <c r="C880" s="40"/>
      <c r="D880" s="23"/>
      <c r="E880" s="23"/>
      <c r="F880" s="23"/>
      <c r="G880" s="23"/>
      <c r="H880" s="40"/>
      <c r="I880" s="40"/>
      <c r="J880" s="70"/>
      <c r="K880" s="23"/>
      <c r="L880" s="70"/>
      <c r="M880" s="70"/>
      <c r="N880" s="23"/>
      <c r="O880" s="23"/>
      <c r="P880" s="23"/>
      <c r="Q880" s="23"/>
      <c r="R880" s="72"/>
      <c r="S880" s="23"/>
      <c r="T880" s="23"/>
      <c r="U880" s="23"/>
      <c r="V880" s="23"/>
      <c r="W880" s="23"/>
      <c r="X880" s="23"/>
      <c r="Y880" s="23"/>
      <c r="Z880" s="23"/>
      <c r="AA880" s="23"/>
      <c r="AB880" s="23"/>
      <c r="AC880" s="23"/>
      <c r="AD880" s="23"/>
      <c r="AE880" s="23"/>
    </row>
    <row r="881" spans="1:31">
      <c r="A881" s="23"/>
      <c r="B881" s="40"/>
      <c r="C881" s="40"/>
      <c r="D881" s="23"/>
      <c r="E881" s="23"/>
      <c r="F881" s="23"/>
      <c r="G881" s="23"/>
      <c r="H881" s="40"/>
      <c r="I881" s="40"/>
      <c r="J881" s="70"/>
      <c r="K881" s="23"/>
      <c r="L881" s="70"/>
      <c r="M881" s="70"/>
      <c r="N881" s="23"/>
      <c r="O881" s="23"/>
      <c r="P881" s="23"/>
      <c r="Q881" s="23"/>
      <c r="R881" s="72"/>
      <c r="S881" s="23"/>
      <c r="T881" s="23"/>
      <c r="U881" s="23"/>
      <c r="V881" s="23"/>
      <c r="W881" s="23"/>
      <c r="X881" s="23"/>
      <c r="Y881" s="23"/>
      <c r="Z881" s="23"/>
      <c r="AA881" s="23"/>
      <c r="AB881" s="23"/>
      <c r="AC881" s="23"/>
      <c r="AD881" s="23"/>
      <c r="AE881" s="23"/>
    </row>
    <row r="882" spans="1:31">
      <c r="A882" s="23"/>
      <c r="B882" s="40"/>
      <c r="C882" s="40"/>
      <c r="D882" s="23"/>
      <c r="E882" s="23"/>
      <c r="F882" s="23"/>
      <c r="G882" s="23"/>
      <c r="H882" s="40"/>
      <c r="I882" s="40"/>
      <c r="J882" s="70"/>
      <c r="K882" s="23"/>
      <c r="L882" s="70"/>
      <c r="M882" s="70"/>
      <c r="N882" s="23"/>
      <c r="O882" s="23"/>
      <c r="P882" s="23"/>
      <c r="Q882" s="23"/>
      <c r="R882" s="72"/>
      <c r="S882" s="23"/>
      <c r="T882" s="23"/>
      <c r="U882" s="23"/>
      <c r="V882" s="23"/>
      <c r="W882" s="23"/>
      <c r="X882" s="23"/>
      <c r="Y882" s="23"/>
      <c r="Z882" s="23"/>
      <c r="AA882" s="23"/>
      <c r="AB882" s="23"/>
      <c r="AC882" s="23"/>
      <c r="AD882" s="23"/>
      <c r="AE882" s="23"/>
    </row>
    <row r="883" spans="1:31">
      <c r="A883" s="23"/>
      <c r="B883" s="40"/>
      <c r="C883" s="40"/>
      <c r="D883" s="23"/>
      <c r="E883" s="23"/>
      <c r="F883" s="23"/>
      <c r="G883" s="23"/>
      <c r="H883" s="40"/>
      <c r="I883" s="40"/>
      <c r="J883" s="70"/>
      <c r="K883" s="23"/>
      <c r="L883" s="70"/>
      <c r="M883" s="70"/>
      <c r="N883" s="23"/>
      <c r="O883" s="23"/>
      <c r="P883" s="23"/>
      <c r="Q883" s="23"/>
      <c r="R883" s="72"/>
      <c r="S883" s="23"/>
      <c r="T883" s="23"/>
      <c r="U883" s="23"/>
      <c r="V883" s="23"/>
      <c r="W883" s="23"/>
      <c r="X883" s="23"/>
      <c r="Y883" s="23"/>
      <c r="Z883" s="23"/>
      <c r="AA883" s="23"/>
      <c r="AB883" s="23"/>
      <c r="AC883" s="23"/>
      <c r="AD883" s="23"/>
      <c r="AE883" s="23"/>
    </row>
    <row r="884" spans="1:31">
      <c r="A884" s="23"/>
      <c r="B884" s="40"/>
      <c r="C884" s="40"/>
      <c r="D884" s="23"/>
      <c r="E884" s="23"/>
      <c r="F884" s="23"/>
      <c r="G884" s="23"/>
      <c r="H884" s="40"/>
      <c r="I884" s="40"/>
      <c r="J884" s="70"/>
      <c r="K884" s="23"/>
      <c r="L884" s="70"/>
      <c r="M884" s="70"/>
      <c r="N884" s="23"/>
      <c r="O884" s="23"/>
      <c r="P884" s="23"/>
      <c r="Q884" s="23"/>
      <c r="R884" s="72"/>
      <c r="S884" s="23"/>
      <c r="T884" s="23"/>
      <c r="U884" s="23"/>
      <c r="V884" s="23"/>
      <c r="W884" s="23"/>
      <c r="X884" s="23"/>
      <c r="Y884" s="23"/>
      <c r="Z884" s="23"/>
      <c r="AA884" s="23"/>
      <c r="AB884" s="23"/>
      <c r="AC884" s="23"/>
      <c r="AD884" s="23"/>
      <c r="AE884" s="23"/>
    </row>
    <row r="885" spans="1:31">
      <c r="A885" s="23"/>
      <c r="B885" s="40"/>
      <c r="C885" s="40"/>
      <c r="D885" s="23"/>
      <c r="E885" s="23"/>
      <c r="F885" s="23"/>
      <c r="G885" s="23"/>
      <c r="H885" s="40"/>
      <c r="I885" s="40"/>
      <c r="J885" s="70"/>
      <c r="K885" s="23"/>
      <c r="L885" s="70"/>
      <c r="M885" s="70"/>
      <c r="N885" s="23"/>
      <c r="O885" s="23"/>
      <c r="P885" s="23"/>
      <c r="Q885" s="23"/>
      <c r="R885" s="72"/>
      <c r="S885" s="23"/>
      <c r="T885" s="23"/>
      <c r="U885" s="23"/>
      <c r="V885" s="23"/>
      <c r="W885" s="23"/>
      <c r="X885" s="23"/>
      <c r="Y885" s="23"/>
      <c r="Z885" s="23"/>
      <c r="AA885" s="23"/>
      <c r="AB885" s="23"/>
      <c r="AC885" s="23"/>
      <c r="AD885" s="23"/>
      <c r="AE885" s="23"/>
    </row>
    <row r="886" spans="1:31">
      <c r="A886" s="23"/>
      <c r="B886" s="40"/>
      <c r="C886" s="40"/>
      <c r="D886" s="23"/>
      <c r="E886" s="23"/>
      <c r="F886" s="23"/>
      <c r="G886" s="23"/>
      <c r="H886" s="23"/>
      <c r="I886" s="40"/>
      <c r="J886" s="70"/>
      <c r="K886" s="23"/>
      <c r="L886" s="70"/>
      <c r="M886" s="70"/>
      <c r="N886" s="23"/>
      <c r="O886" s="23"/>
      <c r="P886" s="23"/>
      <c r="Q886" s="23"/>
      <c r="R886" s="72"/>
      <c r="S886" s="23"/>
      <c r="T886" s="23"/>
      <c r="U886" s="23"/>
      <c r="V886" s="23"/>
      <c r="W886" s="23"/>
      <c r="X886" s="23"/>
      <c r="Y886" s="23"/>
      <c r="Z886" s="23"/>
      <c r="AA886" s="23"/>
      <c r="AB886" s="23"/>
      <c r="AC886" s="23"/>
      <c r="AD886" s="23"/>
      <c r="AE886" s="23"/>
    </row>
    <row r="887" spans="1:31">
      <c r="A887" s="23"/>
      <c r="B887" s="40"/>
      <c r="C887" s="40"/>
      <c r="D887" s="23"/>
      <c r="E887" s="23"/>
      <c r="F887" s="23"/>
      <c r="G887" s="23"/>
      <c r="H887" s="23"/>
      <c r="I887" s="40"/>
      <c r="J887" s="70"/>
      <c r="K887" s="23"/>
      <c r="L887" s="70"/>
      <c r="M887" s="70"/>
      <c r="N887" s="23"/>
      <c r="O887" s="23"/>
      <c r="P887" s="23"/>
      <c r="Q887" s="23"/>
      <c r="R887" s="72"/>
      <c r="S887" s="23"/>
      <c r="T887" s="23"/>
      <c r="U887" s="23"/>
      <c r="V887" s="23"/>
      <c r="W887" s="23"/>
      <c r="X887" s="23"/>
      <c r="Y887" s="23"/>
      <c r="Z887" s="23"/>
      <c r="AA887" s="23"/>
      <c r="AB887" s="23"/>
      <c r="AC887" s="23"/>
      <c r="AD887" s="23"/>
      <c r="AE887" s="23"/>
    </row>
    <row r="888" spans="1:31">
      <c r="A888" s="23"/>
      <c r="B888" s="40"/>
      <c r="C888" s="40"/>
      <c r="D888" s="23"/>
      <c r="E888" s="23"/>
      <c r="F888" s="23"/>
      <c r="G888" s="23"/>
      <c r="H888" s="23"/>
      <c r="I888" s="40"/>
      <c r="J888" s="70"/>
      <c r="K888" s="23"/>
      <c r="L888" s="70"/>
      <c r="M888" s="70"/>
      <c r="N888" s="23"/>
      <c r="O888" s="23"/>
      <c r="P888" s="23"/>
      <c r="Q888" s="23"/>
      <c r="R888" s="72"/>
      <c r="S888" s="23"/>
      <c r="T888" s="23"/>
      <c r="U888" s="23"/>
      <c r="V888" s="23"/>
      <c r="W888" s="23"/>
      <c r="X888" s="23"/>
      <c r="Y888" s="23"/>
      <c r="Z888" s="23"/>
      <c r="AA888" s="23"/>
      <c r="AB888" s="23"/>
      <c r="AC888" s="23"/>
      <c r="AD888" s="23"/>
      <c r="AE888" s="23"/>
    </row>
    <row r="889" spans="1:31">
      <c r="A889" s="23"/>
      <c r="B889" s="40"/>
      <c r="C889" s="40"/>
      <c r="D889" s="23"/>
      <c r="E889" s="23"/>
      <c r="F889" s="23"/>
      <c r="G889" s="23"/>
      <c r="H889" s="23"/>
      <c r="I889" s="40"/>
      <c r="J889" s="70"/>
      <c r="K889" s="23"/>
      <c r="L889" s="70"/>
      <c r="M889" s="70"/>
      <c r="N889" s="23"/>
      <c r="O889" s="23"/>
      <c r="P889" s="23"/>
      <c r="Q889" s="23"/>
      <c r="R889" s="72"/>
      <c r="S889" s="23"/>
      <c r="T889" s="23"/>
      <c r="U889" s="23"/>
      <c r="V889" s="23"/>
      <c r="W889" s="23"/>
      <c r="X889" s="23"/>
      <c r="Y889" s="23"/>
      <c r="Z889" s="23"/>
      <c r="AA889" s="23"/>
      <c r="AB889" s="23"/>
      <c r="AC889" s="23"/>
      <c r="AD889" s="23"/>
      <c r="AE889" s="23"/>
    </row>
    <row r="890" spans="1:31">
      <c r="A890" s="23"/>
      <c r="B890" s="40"/>
      <c r="C890" s="40"/>
      <c r="D890" s="23"/>
      <c r="E890" s="23"/>
      <c r="F890" s="23"/>
      <c r="G890" s="23"/>
      <c r="H890" s="23"/>
      <c r="I890" s="40"/>
      <c r="J890" s="70"/>
      <c r="K890" s="23"/>
      <c r="L890" s="70"/>
      <c r="M890" s="70"/>
      <c r="N890" s="23"/>
      <c r="O890" s="23"/>
      <c r="P890" s="23"/>
      <c r="Q890" s="23"/>
      <c r="R890" s="72"/>
      <c r="S890" s="23"/>
      <c r="T890" s="23"/>
      <c r="U890" s="23"/>
      <c r="V890" s="23"/>
      <c r="W890" s="23"/>
      <c r="X890" s="23"/>
      <c r="Y890" s="23"/>
      <c r="Z890" s="23"/>
      <c r="AA890" s="23"/>
      <c r="AB890" s="23"/>
      <c r="AC890" s="23"/>
      <c r="AD890" s="23"/>
      <c r="AE890" s="23"/>
    </row>
    <row r="891" spans="1:31">
      <c r="A891" s="23"/>
      <c r="B891" s="40"/>
      <c r="C891" s="40"/>
      <c r="D891" s="23"/>
      <c r="E891" s="23"/>
      <c r="F891" s="23"/>
      <c r="G891" s="23"/>
      <c r="H891" s="23"/>
      <c r="I891" s="40"/>
      <c r="J891" s="70"/>
      <c r="K891" s="23"/>
      <c r="L891" s="70"/>
      <c r="M891" s="70"/>
      <c r="N891" s="23"/>
      <c r="O891" s="23"/>
      <c r="P891" s="23"/>
      <c r="Q891" s="23"/>
      <c r="R891" s="72"/>
      <c r="S891" s="23"/>
      <c r="T891" s="23"/>
      <c r="U891" s="23"/>
      <c r="V891" s="23"/>
      <c r="W891" s="23"/>
      <c r="X891" s="23"/>
      <c r="Y891" s="23"/>
      <c r="Z891" s="23"/>
      <c r="AA891" s="23"/>
      <c r="AB891" s="23"/>
      <c r="AC891" s="23"/>
      <c r="AD891" s="23"/>
      <c r="AE891" s="23"/>
    </row>
    <row r="892" spans="1:31">
      <c r="A892" s="23"/>
      <c r="B892" s="40"/>
      <c r="C892" s="40"/>
      <c r="D892" s="23"/>
      <c r="E892" s="23"/>
      <c r="F892" s="23"/>
      <c r="G892" s="23"/>
      <c r="H892" s="23"/>
      <c r="I892" s="40"/>
      <c r="J892" s="70"/>
      <c r="K892" s="23"/>
      <c r="L892" s="70"/>
      <c r="M892" s="70"/>
      <c r="N892" s="23"/>
      <c r="O892" s="23"/>
      <c r="P892" s="23"/>
      <c r="Q892" s="23"/>
      <c r="R892" s="72"/>
      <c r="S892" s="23"/>
      <c r="T892" s="23"/>
      <c r="U892" s="23"/>
      <c r="V892" s="23"/>
      <c r="W892" s="23"/>
      <c r="X892" s="23"/>
      <c r="Y892" s="23"/>
      <c r="Z892" s="23"/>
      <c r="AA892" s="23"/>
      <c r="AB892" s="23"/>
      <c r="AC892" s="23"/>
      <c r="AD892" s="23"/>
      <c r="AE892" s="23"/>
    </row>
    <row r="893" spans="1:31">
      <c r="A893" s="23"/>
      <c r="B893" s="40"/>
      <c r="C893" s="40"/>
      <c r="D893" s="23"/>
      <c r="E893" s="23"/>
      <c r="F893" s="23"/>
      <c r="G893" s="23"/>
      <c r="H893" s="23"/>
      <c r="I893" s="40"/>
      <c r="J893" s="70"/>
      <c r="K893" s="23"/>
      <c r="L893" s="70"/>
      <c r="M893" s="70"/>
      <c r="N893" s="23"/>
      <c r="O893" s="23"/>
      <c r="P893" s="23"/>
      <c r="Q893" s="23"/>
      <c r="R893" s="72"/>
      <c r="S893" s="23"/>
      <c r="T893" s="23"/>
      <c r="U893" s="23"/>
      <c r="V893" s="23"/>
      <c r="W893" s="23"/>
      <c r="X893" s="23"/>
      <c r="Y893" s="23"/>
      <c r="Z893" s="23"/>
      <c r="AA893" s="23"/>
      <c r="AB893" s="23"/>
      <c r="AC893" s="23"/>
      <c r="AD893" s="23"/>
      <c r="AE893" s="23"/>
    </row>
    <row r="894" spans="1:31">
      <c r="A894" s="23"/>
      <c r="B894" s="40"/>
      <c r="C894" s="40"/>
      <c r="D894" s="23"/>
      <c r="E894" s="23"/>
      <c r="F894" s="23"/>
      <c r="G894" s="23"/>
      <c r="H894" s="23"/>
      <c r="I894" s="40"/>
      <c r="J894" s="70"/>
      <c r="K894" s="23"/>
      <c r="L894" s="70"/>
      <c r="M894" s="70"/>
      <c r="N894" s="23"/>
      <c r="O894" s="23"/>
      <c r="P894" s="23"/>
      <c r="Q894" s="23"/>
      <c r="R894" s="72"/>
      <c r="S894" s="23"/>
      <c r="T894" s="23"/>
      <c r="U894" s="23"/>
      <c r="V894" s="23"/>
      <c r="W894" s="23"/>
      <c r="X894" s="23"/>
      <c r="Y894" s="23"/>
      <c r="Z894" s="23"/>
      <c r="AA894" s="23"/>
      <c r="AB894" s="23"/>
      <c r="AC894" s="23"/>
      <c r="AD894" s="23"/>
      <c r="AE894" s="23"/>
    </row>
    <row r="895" spans="1:31">
      <c r="A895" s="23"/>
      <c r="B895" s="40"/>
      <c r="C895" s="40"/>
      <c r="D895" s="23"/>
      <c r="E895" s="23"/>
      <c r="F895" s="23"/>
      <c r="G895" s="23"/>
      <c r="H895" s="23"/>
      <c r="I895" s="40"/>
      <c r="J895" s="70"/>
      <c r="K895" s="23"/>
      <c r="L895" s="70"/>
      <c r="M895" s="70"/>
      <c r="N895" s="23"/>
      <c r="O895" s="23"/>
      <c r="P895" s="23"/>
      <c r="Q895" s="23"/>
      <c r="R895" s="72"/>
      <c r="S895" s="23"/>
      <c r="T895" s="23"/>
      <c r="U895" s="23"/>
      <c r="V895" s="23"/>
      <c r="W895" s="23"/>
      <c r="X895" s="23"/>
      <c r="Y895" s="23"/>
      <c r="Z895" s="23"/>
      <c r="AA895" s="23"/>
      <c r="AB895" s="23"/>
      <c r="AC895" s="23"/>
      <c r="AD895" s="23"/>
      <c r="AE895" s="23"/>
    </row>
    <row r="896" spans="1:31">
      <c r="A896" s="23"/>
      <c r="B896" s="40"/>
      <c r="C896" s="40"/>
      <c r="D896" s="23"/>
      <c r="E896" s="23"/>
      <c r="F896" s="23"/>
      <c r="G896" s="23"/>
      <c r="H896" s="23"/>
      <c r="I896" s="40"/>
      <c r="J896" s="70"/>
      <c r="K896" s="23"/>
      <c r="L896" s="70"/>
      <c r="M896" s="70"/>
      <c r="N896" s="23"/>
      <c r="O896" s="23"/>
      <c r="P896" s="23"/>
      <c r="Q896" s="23"/>
      <c r="R896" s="72"/>
      <c r="S896" s="23"/>
      <c r="T896" s="23"/>
      <c r="U896" s="23"/>
      <c r="V896" s="23"/>
      <c r="W896" s="23"/>
      <c r="X896" s="23"/>
      <c r="Y896" s="23"/>
      <c r="Z896" s="23"/>
      <c r="AA896" s="23"/>
      <c r="AB896" s="23"/>
      <c r="AC896" s="23"/>
      <c r="AD896" s="23"/>
      <c r="AE896" s="23"/>
    </row>
    <row r="897" spans="1:31">
      <c r="A897" s="23"/>
      <c r="B897" s="40"/>
      <c r="C897" s="40"/>
      <c r="D897" s="23"/>
      <c r="E897" s="23"/>
      <c r="F897" s="23"/>
      <c r="G897" s="23"/>
      <c r="H897" s="23"/>
      <c r="I897" s="40"/>
      <c r="J897" s="70"/>
      <c r="K897" s="23"/>
      <c r="L897" s="70"/>
      <c r="M897" s="70"/>
      <c r="N897" s="23"/>
      <c r="O897" s="23"/>
      <c r="P897" s="23"/>
      <c r="Q897" s="23"/>
      <c r="R897" s="72"/>
      <c r="S897" s="23"/>
      <c r="T897" s="23"/>
      <c r="U897" s="23"/>
      <c r="V897" s="23"/>
      <c r="W897" s="23"/>
      <c r="X897" s="23"/>
      <c r="Y897" s="23"/>
      <c r="Z897" s="23"/>
      <c r="AA897" s="23"/>
      <c r="AB897" s="23"/>
      <c r="AC897" s="23"/>
      <c r="AD897" s="23"/>
      <c r="AE897" s="23"/>
    </row>
    <row r="898" spans="1:31">
      <c r="A898" s="23"/>
      <c r="B898" s="40"/>
      <c r="C898" s="40"/>
      <c r="D898" s="23"/>
      <c r="E898" s="23"/>
      <c r="F898" s="23"/>
      <c r="G898" s="23"/>
      <c r="H898" s="23"/>
      <c r="I898" s="40"/>
      <c r="J898" s="70"/>
      <c r="K898" s="23"/>
      <c r="L898" s="70"/>
      <c r="M898" s="70"/>
      <c r="N898" s="23"/>
      <c r="O898" s="23"/>
      <c r="P898" s="23"/>
      <c r="Q898" s="23"/>
      <c r="R898" s="72"/>
      <c r="S898" s="23"/>
      <c r="T898" s="23"/>
      <c r="U898" s="23"/>
      <c r="V898" s="23"/>
      <c r="W898" s="23"/>
      <c r="X898" s="23"/>
      <c r="Y898" s="23"/>
      <c r="Z898" s="23"/>
      <c r="AA898" s="23"/>
      <c r="AB898" s="23"/>
      <c r="AC898" s="23"/>
      <c r="AD898" s="23"/>
      <c r="AE898" s="23"/>
    </row>
    <row r="899" spans="1:31" ht="24" customHeight="1">
      <c r="A899" s="23"/>
      <c r="B899" s="40"/>
      <c r="C899" s="40"/>
      <c r="D899" s="23"/>
      <c r="E899" s="23"/>
      <c r="F899" s="23"/>
      <c r="G899" s="40"/>
      <c r="H899" s="40"/>
      <c r="I899" s="40"/>
      <c r="J899" s="70"/>
      <c r="K899" s="23"/>
      <c r="L899" s="70"/>
      <c r="M899" s="70"/>
      <c r="N899" s="23"/>
      <c r="O899" s="23"/>
      <c r="P899" s="23"/>
      <c r="Q899" s="23"/>
      <c r="R899" s="72"/>
      <c r="S899" s="23"/>
      <c r="T899" s="23"/>
      <c r="U899" s="23"/>
      <c r="V899" s="23"/>
      <c r="W899" s="23"/>
      <c r="X899" s="23"/>
      <c r="Y899" s="23"/>
      <c r="Z899" s="23"/>
      <c r="AA899" s="23"/>
      <c r="AB899" s="23"/>
      <c r="AC899" s="23"/>
      <c r="AD899" s="23"/>
      <c r="AE899" s="23"/>
    </row>
    <row r="900" spans="1:31">
      <c r="A900" s="23"/>
      <c r="B900" s="40"/>
      <c r="C900" s="40"/>
      <c r="D900" s="23"/>
      <c r="E900" s="23"/>
      <c r="F900" s="23"/>
      <c r="G900" s="23"/>
      <c r="H900" s="40"/>
      <c r="I900" s="40"/>
      <c r="J900" s="70"/>
      <c r="K900" s="23"/>
      <c r="L900" s="70"/>
      <c r="M900" s="70"/>
      <c r="N900" s="23"/>
      <c r="O900" s="23"/>
      <c r="P900" s="23"/>
      <c r="Q900" s="23"/>
      <c r="R900" s="72"/>
      <c r="S900" s="23"/>
      <c r="T900" s="23"/>
      <c r="U900" s="23"/>
      <c r="V900" s="23"/>
      <c r="W900" s="23"/>
      <c r="X900" s="23"/>
      <c r="Y900" s="23"/>
      <c r="Z900" s="23"/>
      <c r="AA900" s="23"/>
      <c r="AB900" s="23"/>
      <c r="AC900" s="23"/>
      <c r="AD900" s="23"/>
      <c r="AE900" s="23"/>
    </row>
    <row r="901" spans="1:31">
      <c r="A901" s="23"/>
      <c r="B901" s="40"/>
      <c r="C901" s="40"/>
      <c r="D901" s="23"/>
      <c r="E901" s="23"/>
      <c r="F901" s="23"/>
      <c r="G901" s="23"/>
      <c r="H901" s="40"/>
      <c r="I901" s="40"/>
      <c r="J901" s="70"/>
      <c r="K901" s="23"/>
      <c r="L901" s="70"/>
      <c r="M901" s="70"/>
      <c r="N901" s="23"/>
      <c r="O901" s="23"/>
      <c r="P901" s="23"/>
      <c r="Q901" s="23"/>
      <c r="R901" s="72"/>
      <c r="S901" s="23"/>
      <c r="T901" s="23"/>
      <c r="U901" s="23"/>
      <c r="V901" s="23"/>
      <c r="W901" s="23"/>
      <c r="X901" s="23"/>
      <c r="Y901" s="23"/>
      <c r="Z901" s="23"/>
      <c r="AA901" s="23"/>
      <c r="AB901" s="23"/>
      <c r="AC901" s="23"/>
      <c r="AD901" s="23"/>
      <c r="AE901" s="23"/>
    </row>
    <row r="902" spans="1:31">
      <c r="A902" s="23"/>
      <c r="B902" s="40"/>
      <c r="C902" s="40"/>
      <c r="D902" s="23"/>
      <c r="E902" s="23"/>
      <c r="F902" s="23"/>
      <c r="G902" s="40"/>
      <c r="H902" s="40"/>
      <c r="I902" s="40"/>
      <c r="J902" s="70"/>
      <c r="K902" s="23"/>
      <c r="L902" s="70"/>
      <c r="M902" s="70"/>
      <c r="N902" s="23"/>
      <c r="O902" s="23"/>
      <c r="P902" s="23"/>
      <c r="Q902" s="23"/>
      <c r="R902" s="72"/>
      <c r="S902" s="23"/>
      <c r="T902" s="23"/>
      <c r="U902" s="23"/>
      <c r="V902" s="23"/>
      <c r="W902" s="23"/>
      <c r="X902" s="23"/>
      <c r="Y902" s="23"/>
      <c r="Z902" s="23"/>
      <c r="AA902" s="23"/>
      <c r="AB902" s="23"/>
      <c r="AC902" s="23"/>
      <c r="AD902" s="23"/>
      <c r="AE902" s="23"/>
    </row>
    <row r="903" spans="1:31">
      <c r="A903" s="23"/>
      <c r="B903" s="40"/>
      <c r="C903" s="40"/>
      <c r="D903" s="23"/>
      <c r="E903" s="23"/>
      <c r="F903" s="23"/>
      <c r="G903" s="23"/>
      <c r="H903" s="40"/>
      <c r="I903" s="40"/>
      <c r="J903" s="70"/>
      <c r="K903" s="23"/>
      <c r="L903" s="70"/>
      <c r="M903" s="70"/>
      <c r="N903" s="23"/>
      <c r="O903" s="23"/>
      <c r="P903" s="23"/>
      <c r="Q903" s="23"/>
      <c r="R903" s="72"/>
      <c r="S903" s="23"/>
      <c r="T903" s="23"/>
      <c r="U903" s="23"/>
      <c r="V903" s="23"/>
      <c r="W903" s="23"/>
      <c r="X903" s="23"/>
      <c r="Y903" s="23"/>
      <c r="Z903" s="23"/>
      <c r="AA903" s="23"/>
      <c r="AB903" s="23"/>
      <c r="AC903" s="23"/>
      <c r="AD903" s="23"/>
      <c r="AE903" s="23"/>
    </row>
    <row r="904" spans="1:31">
      <c r="A904" s="23"/>
      <c r="B904" s="40"/>
      <c r="C904" s="40"/>
      <c r="D904" s="23"/>
      <c r="E904" s="23"/>
      <c r="F904" s="23"/>
      <c r="G904" s="23"/>
      <c r="H904" s="23"/>
      <c r="I904" s="40"/>
      <c r="J904" s="70"/>
      <c r="K904" s="23"/>
      <c r="L904" s="70"/>
      <c r="M904" s="70"/>
      <c r="N904" s="23"/>
      <c r="O904" s="23"/>
      <c r="P904" s="23"/>
      <c r="Q904" s="23"/>
      <c r="R904" s="72"/>
      <c r="S904" s="23"/>
      <c r="T904" s="23"/>
      <c r="U904" s="23"/>
      <c r="V904" s="23"/>
      <c r="W904" s="23"/>
      <c r="X904" s="23"/>
      <c r="Y904" s="23"/>
      <c r="Z904" s="23"/>
      <c r="AA904" s="23"/>
      <c r="AB904" s="23"/>
      <c r="AC904" s="23"/>
      <c r="AD904" s="23"/>
      <c r="AE904" s="23"/>
    </row>
    <row r="905" spans="1:31">
      <c r="A905" s="23"/>
      <c r="B905" s="40"/>
      <c r="C905" s="40"/>
      <c r="D905" s="23"/>
      <c r="E905" s="23"/>
      <c r="F905" s="23"/>
      <c r="G905" s="40"/>
      <c r="H905" s="23"/>
      <c r="I905" s="40"/>
      <c r="J905" s="70"/>
      <c r="K905" s="23"/>
      <c r="L905" s="70"/>
      <c r="M905" s="70"/>
      <c r="N905" s="23"/>
      <c r="O905" s="23"/>
      <c r="P905" s="23"/>
      <c r="Q905" s="23"/>
      <c r="R905" s="72"/>
      <c r="S905" s="23"/>
      <c r="T905" s="23"/>
      <c r="U905" s="23"/>
      <c r="V905" s="23"/>
      <c r="W905" s="23"/>
      <c r="X905" s="23"/>
      <c r="Y905" s="23"/>
      <c r="Z905" s="23"/>
      <c r="AA905" s="23"/>
      <c r="AB905" s="23"/>
      <c r="AC905" s="23"/>
      <c r="AD905" s="23"/>
      <c r="AE905" s="23"/>
    </row>
    <row r="906" spans="1:31" ht="24" customHeight="1">
      <c r="A906" s="23"/>
      <c r="B906" s="40"/>
      <c r="C906" s="40"/>
      <c r="D906" s="23"/>
      <c r="E906" s="23"/>
      <c r="F906" s="23"/>
      <c r="G906" s="23"/>
      <c r="H906" s="40"/>
      <c r="I906" s="40"/>
      <c r="J906" s="70"/>
      <c r="K906" s="23"/>
      <c r="L906" s="70"/>
      <c r="M906" s="70"/>
      <c r="N906" s="23"/>
      <c r="O906" s="23"/>
      <c r="P906" s="23"/>
      <c r="Q906" s="23"/>
      <c r="R906" s="72"/>
      <c r="S906" s="23"/>
      <c r="T906" s="23"/>
      <c r="U906" s="23"/>
      <c r="V906" s="23"/>
      <c r="W906" s="23"/>
      <c r="X906" s="23"/>
      <c r="Y906" s="23"/>
      <c r="Z906" s="23"/>
      <c r="AA906" s="23"/>
      <c r="AB906" s="23"/>
      <c r="AC906" s="23"/>
      <c r="AD906" s="23"/>
      <c r="AE906" s="23"/>
    </row>
    <row r="907" spans="1:31">
      <c r="A907" s="23"/>
      <c r="B907" s="40"/>
      <c r="C907" s="40"/>
      <c r="D907" s="23"/>
      <c r="E907" s="23"/>
      <c r="F907" s="23"/>
      <c r="G907" s="23"/>
      <c r="H907" s="40"/>
      <c r="I907" s="40"/>
      <c r="J907" s="70"/>
      <c r="K907" s="23"/>
      <c r="L907" s="70"/>
      <c r="M907" s="70"/>
      <c r="N907" s="23"/>
      <c r="O907" s="23"/>
      <c r="P907" s="23"/>
      <c r="Q907" s="23"/>
      <c r="R907" s="72"/>
      <c r="S907" s="23"/>
      <c r="T907" s="23"/>
      <c r="U907" s="23"/>
      <c r="V907" s="23"/>
      <c r="W907" s="23"/>
      <c r="X907" s="23"/>
      <c r="Y907" s="23"/>
      <c r="Z907" s="23"/>
      <c r="AA907" s="23"/>
      <c r="AB907" s="23"/>
      <c r="AC907" s="23"/>
      <c r="AD907" s="23"/>
      <c r="AE907" s="23"/>
    </row>
    <row r="908" spans="1:31">
      <c r="A908" s="23"/>
      <c r="B908" s="40"/>
      <c r="C908" s="40"/>
      <c r="D908" s="23"/>
      <c r="E908" s="23"/>
      <c r="F908" s="23"/>
      <c r="G908" s="40"/>
      <c r="H908" s="40"/>
      <c r="I908" s="40"/>
      <c r="J908" s="70"/>
      <c r="K908" s="23"/>
      <c r="L908" s="70"/>
      <c r="M908" s="70"/>
      <c r="N908" s="23"/>
      <c r="O908" s="23"/>
      <c r="P908" s="23"/>
      <c r="Q908" s="23"/>
      <c r="R908" s="72"/>
      <c r="S908" s="23"/>
      <c r="T908" s="23"/>
      <c r="U908" s="23"/>
      <c r="V908" s="23"/>
      <c r="W908" s="23"/>
      <c r="X908" s="23"/>
      <c r="Y908" s="23"/>
      <c r="Z908" s="23"/>
      <c r="AA908" s="23"/>
      <c r="AB908" s="23"/>
      <c r="AC908" s="23"/>
      <c r="AD908" s="23"/>
      <c r="AE908" s="23"/>
    </row>
    <row r="909" spans="1:31">
      <c r="A909" s="23"/>
      <c r="B909" s="40"/>
      <c r="C909" s="40"/>
      <c r="D909" s="23"/>
      <c r="E909" s="23"/>
      <c r="F909" s="23"/>
      <c r="G909" s="23"/>
      <c r="H909" s="40"/>
      <c r="I909" s="40"/>
      <c r="J909" s="70"/>
      <c r="K909" s="23"/>
      <c r="L909" s="70"/>
      <c r="M909" s="70"/>
      <c r="N909" s="23"/>
      <c r="O909" s="23"/>
      <c r="P909" s="23"/>
      <c r="Q909" s="23"/>
      <c r="R909" s="72"/>
      <c r="S909" s="23"/>
      <c r="T909" s="23"/>
      <c r="U909" s="23"/>
      <c r="V909" s="23"/>
      <c r="W909" s="23"/>
      <c r="X909" s="23"/>
      <c r="Y909" s="23"/>
      <c r="Z909" s="23"/>
      <c r="AA909" s="23"/>
      <c r="AB909" s="23"/>
      <c r="AC909" s="23"/>
      <c r="AD909" s="23"/>
      <c r="AE909" s="23"/>
    </row>
    <row r="910" spans="1:31">
      <c r="A910" s="23"/>
      <c r="B910" s="40"/>
      <c r="C910" s="40"/>
      <c r="D910" s="23"/>
      <c r="E910" s="23"/>
      <c r="F910" s="23"/>
      <c r="G910" s="23"/>
      <c r="H910" s="40"/>
      <c r="I910" s="40"/>
      <c r="J910" s="70"/>
      <c r="K910" s="23"/>
      <c r="L910" s="70"/>
      <c r="M910" s="70"/>
      <c r="N910" s="23"/>
      <c r="O910" s="23"/>
      <c r="P910" s="23"/>
      <c r="Q910" s="23"/>
      <c r="R910" s="72"/>
      <c r="S910" s="23"/>
      <c r="T910" s="23"/>
      <c r="U910" s="23"/>
      <c r="V910" s="23"/>
      <c r="W910" s="23"/>
      <c r="X910" s="23"/>
      <c r="Y910" s="23"/>
      <c r="Z910" s="23"/>
      <c r="AA910" s="23"/>
      <c r="AB910" s="23"/>
      <c r="AC910" s="23"/>
      <c r="AD910" s="23"/>
      <c r="AE910" s="23"/>
    </row>
    <row r="911" spans="1:31">
      <c r="A911" s="23"/>
      <c r="B911" s="40"/>
      <c r="C911" s="40"/>
      <c r="D911" s="23"/>
      <c r="E911" s="23"/>
      <c r="F911" s="23"/>
      <c r="G911" s="40"/>
      <c r="H911" s="40"/>
      <c r="I911" s="40"/>
      <c r="J911" s="70"/>
      <c r="K911" s="23"/>
      <c r="L911" s="70"/>
      <c r="M911" s="70"/>
      <c r="N911" s="23"/>
      <c r="O911" s="23"/>
      <c r="P911" s="23"/>
      <c r="Q911" s="23"/>
      <c r="R911" s="72"/>
      <c r="S911" s="23"/>
      <c r="T911" s="23"/>
      <c r="U911" s="23"/>
      <c r="V911" s="23"/>
      <c r="W911" s="23"/>
      <c r="X911" s="23"/>
      <c r="Y911" s="23"/>
      <c r="Z911" s="23"/>
      <c r="AA911" s="23"/>
      <c r="AB911" s="23"/>
      <c r="AC911" s="23"/>
      <c r="AD911" s="23"/>
      <c r="AE911" s="23"/>
    </row>
    <row r="912" spans="1:31">
      <c r="A912" s="23"/>
      <c r="B912" s="40"/>
      <c r="C912" s="40"/>
      <c r="D912" s="23"/>
      <c r="E912" s="23"/>
      <c r="F912" s="23"/>
      <c r="G912" s="23"/>
      <c r="H912" s="40"/>
      <c r="I912" s="40"/>
      <c r="J912" s="70"/>
      <c r="K912" s="23"/>
      <c r="L912" s="70"/>
      <c r="M912" s="70"/>
      <c r="N912" s="23"/>
      <c r="O912" s="23"/>
      <c r="P912" s="23"/>
      <c r="Q912" s="23"/>
      <c r="R912" s="72"/>
      <c r="S912" s="23"/>
      <c r="T912" s="23"/>
      <c r="U912" s="23"/>
      <c r="V912" s="23"/>
      <c r="W912" s="23"/>
      <c r="X912" s="23"/>
      <c r="Y912" s="23"/>
      <c r="Z912" s="23"/>
      <c r="AA912" s="23"/>
      <c r="AB912" s="23"/>
      <c r="AC912" s="23"/>
      <c r="AD912" s="23"/>
      <c r="AE912" s="23"/>
    </row>
    <row r="913" spans="1:31">
      <c r="A913" s="23"/>
      <c r="B913" s="40"/>
      <c r="C913" s="40"/>
      <c r="D913" s="23"/>
      <c r="E913" s="23"/>
      <c r="F913" s="23"/>
      <c r="G913" s="23"/>
      <c r="H913" s="23"/>
      <c r="I913" s="40"/>
      <c r="J913" s="70"/>
      <c r="K913" s="23"/>
      <c r="L913" s="70"/>
      <c r="M913" s="70"/>
      <c r="N913" s="23"/>
      <c r="O913" s="23"/>
      <c r="P913" s="23"/>
      <c r="Q913" s="23"/>
      <c r="R913" s="72"/>
      <c r="S913" s="23"/>
      <c r="T913" s="23"/>
      <c r="U913" s="23"/>
      <c r="V913" s="23"/>
      <c r="W913" s="23"/>
      <c r="X913" s="23"/>
      <c r="Y913" s="23"/>
      <c r="Z913" s="23"/>
      <c r="AA913" s="23"/>
      <c r="AB913" s="23"/>
      <c r="AC913" s="23"/>
      <c r="AD913" s="23"/>
      <c r="AE913" s="23"/>
    </row>
    <row r="914" spans="1:31">
      <c r="A914" s="23"/>
      <c r="B914" s="40"/>
      <c r="C914" s="40"/>
      <c r="D914" s="23"/>
      <c r="E914" s="23"/>
      <c r="F914" s="23"/>
      <c r="G914" s="40"/>
      <c r="H914" s="23"/>
      <c r="I914" s="40"/>
      <c r="J914" s="70"/>
      <c r="K914" s="23"/>
      <c r="L914" s="70"/>
      <c r="M914" s="70"/>
      <c r="N914" s="23"/>
      <c r="O914" s="23"/>
      <c r="P914" s="23"/>
      <c r="Q914" s="23"/>
      <c r="R914" s="72"/>
      <c r="S914" s="23"/>
      <c r="T914" s="23"/>
      <c r="U914" s="23"/>
      <c r="V914" s="23"/>
      <c r="W914" s="23"/>
      <c r="X914" s="23"/>
      <c r="Y914" s="23"/>
      <c r="Z914" s="23"/>
      <c r="AA914" s="23"/>
      <c r="AB914" s="23"/>
      <c r="AC914" s="23"/>
      <c r="AD914" s="23"/>
      <c r="AE914" s="23"/>
    </row>
    <row r="915" spans="1:31">
      <c r="A915" s="23"/>
      <c r="B915" s="40"/>
      <c r="C915" s="40"/>
      <c r="D915" s="23"/>
      <c r="E915" s="23"/>
      <c r="F915" s="23"/>
      <c r="G915" s="23"/>
      <c r="H915" s="23"/>
      <c r="I915" s="40"/>
      <c r="J915" s="70"/>
      <c r="K915" s="23"/>
      <c r="L915" s="70"/>
      <c r="M915" s="70"/>
      <c r="N915" s="23"/>
      <c r="O915" s="23"/>
      <c r="P915" s="23"/>
      <c r="Q915" s="23"/>
      <c r="R915" s="72"/>
      <c r="S915" s="23"/>
      <c r="T915" s="23"/>
      <c r="U915" s="23"/>
      <c r="V915" s="23"/>
      <c r="W915" s="23"/>
      <c r="X915" s="23"/>
      <c r="Y915" s="23"/>
      <c r="Z915" s="23"/>
      <c r="AA915" s="23"/>
      <c r="AB915" s="23"/>
      <c r="AC915" s="23"/>
      <c r="AD915" s="23"/>
      <c r="AE915" s="23"/>
    </row>
    <row r="916" spans="1:31" ht="24" customHeight="1">
      <c r="A916" s="23"/>
      <c r="B916" s="40"/>
      <c r="C916" s="40"/>
      <c r="D916" s="23"/>
      <c r="E916" s="23"/>
      <c r="F916" s="23"/>
      <c r="G916" s="23"/>
      <c r="H916" s="40"/>
      <c r="I916" s="40"/>
      <c r="J916" s="70"/>
      <c r="K916" s="23"/>
      <c r="L916" s="70"/>
      <c r="M916" s="70"/>
      <c r="N916" s="23"/>
      <c r="O916" s="23"/>
      <c r="P916" s="23"/>
      <c r="Q916" s="23"/>
      <c r="R916" s="72"/>
      <c r="S916" s="23"/>
      <c r="T916" s="23"/>
      <c r="U916" s="23"/>
      <c r="V916" s="23"/>
      <c r="W916" s="23"/>
      <c r="X916" s="23"/>
      <c r="Y916" s="23"/>
      <c r="Z916" s="23"/>
      <c r="AA916" s="23"/>
      <c r="AB916" s="23"/>
      <c r="AC916" s="23"/>
      <c r="AD916" s="23"/>
      <c r="AE916" s="23"/>
    </row>
    <row r="917" spans="1:31">
      <c r="A917" s="23"/>
      <c r="B917" s="40"/>
      <c r="C917" s="40"/>
      <c r="D917" s="23"/>
      <c r="E917" s="23"/>
      <c r="F917" s="23"/>
      <c r="G917" s="40"/>
      <c r="H917" s="40"/>
      <c r="I917" s="40"/>
      <c r="J917" s="70"/>
      <c r="K917" s="23"/>
      <c r="L917" s="70"/>
      <c r="M917" s="70"/>
      <c r="N917" s="23"/>
      <c r="O917" s="23"/>
      <c r="P917" s="23"/>
      <c r="Q917" s="23"/>
      <c r="R917" s="72"/>
      <c r="S917" s="23"/>
      <c r="T917" s="23"/>
      <c r="U917" s="23"/>
      <c r="V917" s="23"/>
      <c r="W917" s="23"/>
      <c r="X917" s="23"/>
      <c r="Y917" s="23"/>
      <c r="Z917" s="23"/>
      <c r="AA917" s="23"/>
      <c r="AB917" s="23"/>
      <c r="AC917" s="23"/>
      <c r="AD917" s="23"/>
      <c r="AE917" s="23"/>
    </row>
    <row r="918" spans="1:31">
      <c r="A918" s="23"/>
      <c r="B918" s="40"/>
      <c r="C918" s="40"/>
      <c r="D918" s="23"/>
      <c r="E918" s="23"/>
      <c r="F918" s="23"/>
      <c r="G918" s="23"/>
      <c r="H918" s="40"/>
      <c r="I918" s="40"/>
      <c r="J918" s="70"/>
      <c r="K918" s="23"/>
      <c r="L918" s="70"/>
      <c r="M918" s="70"/>
      <c r="N918" s="23"/>
      <c r="O918" s="23"/>
      <c r="P918" s="23"/>
      <c r="Q918" s="23"/>
      <c r="R918" s="72"/>
      <c r="S918" s="23"/>
      <c r="T918" s="23"/>
      <c r="U918" s="23"/>
      <c r="V918" s="23"/>
      <c r="W918" s="23"/>
      <c r="X918" s="23"/>
      <c r="Y918" s="23"/>
      <c r="Z918" s="23"/>
      <c r="AA918" s="23"/>
      <c r="AB918" s="23"/>
      <c r="AC918" s="23"/>
      <c r="AD918" s="23"/>
      <c r="AE918" s="23"/>
    </row>
    <row r="919" spans="1:31">
      <c r="A919" s="23"/>
      <c r="B919" s="40"/>
      <c r="C919" s="40"/>
      <c r="D919" s="23"/>
      <c r="E919" s="23"/>
      <c r="F919" s="23"/>
      <c r="G919" s="23"/>
      <c r="H919" s="40"/>
      <c r="I919" s="40"/>
      <c r="J919" s="70"/>
      <c r="K919" s="23"/>
      <c r="L919" s="70"/>
      <c r="M919" s="70"/>
      <c r="N919" s="23"/>
      <c r="O919" s="23"/>
      <c r="P919" s="23"/>
      <c r="Q919" s="23"/>
      <c r="R919" s="72"/>
      <c r="S919" s="23"/>
      <c r="T919" s="23"/>
      <c r="U919" s="23"/>
      <c r="V919" s="23"/>
      <c r="W919" s="23"/>
      <c r="X919" s="23"/>
      <c r="Y919" s="23"/>
      <c r="Z919" s="23"/>
      <c r="AA919" s="23"/>
      <c r="AB919" s="23"/>
      <c r="AC919" s="23"/>
      <c r="AD919" s="23"/>
      <c r="AE919" s="23"/>
    </row>
    <row r="920" spans="1:31">
      <c r="A920" s="23"/>
      <c r="B920" s="40"/>
      <c r="C920" s="40"/>
      <c r="D920" s="23"/>
      <c r="E920" s="23"/>
      <c r="F920" s="23"/>
      <c r="G920" s="40"/>
      <c r="H920" s="40"/>
      <c r="I920" s="40"/>
      <c r="J920" s="70"/>
      <c r="K920" s="23"/>
      <c r="L920" s="70"/>
      <c r="M920" s="70"/>
      <c r="N920" s="23"/>
      <c r="O920" s="23"/>
      <c r="P920" s="23"/>
      <c r="Q920" s="23"/>
      <c r="R920" s="72"/>
      <c r="S920" s="23"/>
      <c r="T920" s="23"/>
      <c r="U920" s="23"/>
      <c r="V920" s="23"/>
      <c r="W920" s="23"/>
      <c r="X920" s="23"/>
      <c r="Y920" s="23"/>
      <c r="Z920" s="23"/>
      <c r="AA920" s="23"/>
      <c r="AB920" s="23"/>
      <c r="AC920" s="23"/>
      <c r="AD920" s="23"/>
      <c r="AE920" s="23"/>
    </row>
    <row r="921" spans="1:31">
      <c r="A921" s="23"/>
      <c r="B921" s="40"/>
      <c r="C921" s="40"/>
      <c r="D921" s="23"/>
      <c r="E921" s="23"/>
      <c r="F921" s="23"/>
      <c r="G921" s="23"/>
      <c r="H921" s="23"/>
      <c r="I921" s="40"/>
      <c r="J921" s="70"/>
      <c r="K921" s="23"/>
      <c r="L921" s="70"/>
      <c r="M921" s="70"/>
      <c r="N921" s="23"/>
      <c r="O921" s="23"/>
      <c r="P921" s="23"/>
      <c r="Q921" s="23"/>
      <c r="R921" s="72"/>
      <c r="S921" s="23"/>
      <c r="T921" s="23"/>
      <c r="U921" s="23"/>
      <c r="V921" s="23"/>
      <c r="W921" s="23"/>
      <c r="X921" s="23"/>
      <c r="Y921" s="23"/>
      <c r="Z921" s="23"/>
      <c r="AA921" s="23"/>
      <c r="AB921" s="23"/>
      <c r="AC921" s="23"/>
      <c r="AD921" s="23"/>
      <c r="AE921" s="23"/>
    </row>
    <row r="922" spans="1:31">
      <c r="A922" s="23"/>
      <c r="B922" s="40"/>
      <c r="C922" s="40"/>
      <c r="D922" s="23"/>
      <c r="E922" s="23"/>
      <c r="F922" s="23"/>
      <c r="G922" s="23"/>
      <c r="H922" s="23"/>
      <c r="I922" s="40"/>
      <c r="J922" s="70"/>
      <c r="K922" s="23"/>
      <c r="L922" s="70"/>
      <c r="M922" s="70"/>
      <c r="N922" s="23"/>
      <c r="O922" s="23"/>
      <c r="P922" s="23"/>
      <c r="Q922" s="23"/>
      <c r="R922" s="72"/>
      <c r="S922" s="23"/>
      <c r="T922" s="23"/>
      <c r="U922" s="23"/>
      <c r="V922" s="23"/>
      <c r="W922" s="23"/>
      <c r="X922" s="23"/>
      <c r="Y922" s="23"/>
      <c r="Z922" s="23"/>
      <c r="AA922" s="23"/>
      <c r="AB922" s="23"/>
      <c r="AC922" s="23"/>
      <c r="AD922" s="23"/>
      <c r="AE922" s="23"/>
    </row>
    <row r="923" spans="1:31" ht="24" customHeight="1">
      <c r="A923" s="23"/>
      <c r="B923" s="40"/>
      <c r="C923" s="40"/>
      <c r="D923" s="23"/>
      <c r="E923" s="23"/>
      <c r="F923" s="23"/>
      <c r="G923" s="40"/>
      <c r="H923" s="40"/>
      <c r="I923" s="40"/>
      <c r="J923" s="70"/>
      <c r="K923" s="23"/>
      <c r="L923" s="70"/>
      <c r="M923" s="70"/>
      <c r="N923" s="23"/>
      <c r="O923" s="23"/>
      <c r="P923" s="23"/>
      <c r="Q923" s="23"/>
      <c r="R923" s="72"/>
      <c r="S923" s="23"/>
      <c r="T923" s="23"/>
      <c r="U923" s="23"/>
      <c r="V923" s="23"/>
      <c r="W923" s="23"/>
      <c r="X923" s="23"/>
      <c r="Y923" s="23"/>
      <c r="Z923" s="23"/>
      <c r="AA923" s="23"/>
      <c r="AB923" s="23"/>
      <c r="AC923" s="23"/>
      <c r="AD923" s="23"/>
      <c r="AE923" s="23"/>
    </row>
    <row r="924" spans="1:31">
      <c r="A924" s="23"/>
      <c r="B924" s="40"/>
      <c r="C924" s="40"/>
      <c r="D924" s="23"/>
      <c r="E924" s="23"/>
      <c r="F924" s="23"/>
      <c r="G924" s="23"/>
      <c r="H924" s="40"/>
      <c r="I924" s="40"/>
      <c r="J924" s="70"/>
      <c r="K924" s="23"/>
      <c r="L924" s="70"/>
      <c r="M924" s="70"/>
      <c r="N924" s="23"/>
      <c r="O924" s="23"/>
      <c r="P924" s="23"/>
      <c r="Q924" s="23"/>
      <c r="R924" s="72"/>
      <c r="S924" s="23"/>
      <c r="T924" s="23"/>
      <c r="U924" s="23"/>
      <c r="V924" s="23"/>
      <c r="W924" s="23"/>
      <c r="X924" s="23"/>
      <c r="Y924" s="23"/>
      <c r="Z924" s="23"/>
      <c r="AA924" s="23"/>
      <c r="AB924" s="23"/>
      <c r="AC924" s="23"/>
      <c r="AD924" s="23"/>
      <c r="AE924" s="23"/>
    </row>
    <row r="925" spans="1:31">
      <c r="A925" s="23"/>
      <c r="B925" s="40"/>
      <c r="C925" s="40"/>
      <c r="D925" s="23"/>
      <c r="E925" s="23"/>
      <c r="F925" s="23"/>
      <c r="G925" s="23"/>
      <c r="H925" s="40"/>
      <c r="I925" s="40"/>
      <c r="J925" s="70"/>
      <c r="K925" s="23"/>
      <c r="L925" s="70"/>
      <c r="M925" s="70"/>
      <c r="N925" s="23"/>
      <c r="O925" s="23"/>
      <c r="P925" s="23"/>
      <c r="Q925" s="23"/>
      <c r="R925" s="72"/>
      <c r="S925" s="23"/>
      <c r="T925" s="23"/>
      <c r="U925" s="23"/>
      <c r="V925" s="23"/>
      <c r="W925" s="23"/>
      <c r="X925" s="23"/>
      <c r="Y925" s="23"/>
      <c r="Z925" s="23"/>
      <c r="AA925" s="23"/>
      <c r="AB925" s="23"/>
      <c r="AC925" s="23"/>
      <c r="AD925" s="23"/>
      <c r="AE925" s="23"/>
    </row>
    <row r="926" spans="1:31">
      <c r="A926" s="23"/>
      <c r="B926" s="40"/>
      <c r="C926" s="40"/>
      <c r="D926" s="23"/>
      <c r="E926" s="23"/>
      <c r="F926" s="23"/>
      <c r="G926" s="40"/>
      <c r="H926" s="40"/>
      <c r="I926" s="40"/>
      <c r="J926" s="70"/>
      <c r="K926" s="23"/>
      <c r="L926" s="70"/>
      <c r="M926" s="70"/>
      <c r="N926" s="23"/>
      <c r="O926" s="23"/>
      <c r="P926" s="23"/>
      <c r="Q926" s="23"/>
      <c r="R926" s="72"/>
      <c r="S926" s="23"/>
      <c r="T926" s="23"/>
      <c r="U926" s="23"/>
      <c r="V926" s="23"/>
      <c r="W926" s="23"/>
      <c r="X926" s="23"/>
      <c r="Y926" s="23"/>
      <c r="Z926" s="23"/>
      <c r="AA926" s="23"/>
      <c r="AB926" s="23"/>
      <c r="AC926" s="23"/>
      <c r="AD926" s="23"/>
      <c r="AE926" s="23"/>
    </row>
    <row r="927" spans="1:31">
      <c r="A927" s="23"/>
      <c r="B927" s="40"/>
      <c r="C927" s="40"/>
      <c r="D927" s="23"/>
      <c r="E927" s="23"/>
      <c r="F927" s="23"/>
      <c r="G927" s="23"/>
      <c r="H927" s="40"/>
      <c r="I927" s="40"/>
      <c r="J927" s="70"/>
      <c r="K927" s="23"/>
      <c r="L927" s="70"/>
      <c r="M927" s="70"/>
      <c r="N927" s="23"/>
      <c r="O927" s="23"/>
      <c r="P927" s="23"/>
      <c r="Q927" s="23"/>
      <c r="R927" s="72"/>
      <c r="S927" s="23"/>
      <c r="T927" s="23"/>
      <c r="U927" s="23"/>
      <c r="V927" s="23"/>
      <c r="W927" s="23"/>
      <c r="X927" s="23"/>
      <c r="Y927" s="23"/>
      <c r="Z927" s="23"/>
      <c r="AA927" s="23"/>
      <c r="AB927" s="23"/>
      <c r="AC927" s="23"/>
      <c r="AD927" s="23"/>
      <c r="AE927" s="23"/>
    </row>
    <row r="928" spans="1:31">
      <c r="A928" s="23"/>
      <c r="B928" s="40"/>
      <c r="C928" s="40"/>
      <c r="D928" s="23"/>
      <c r="E928" s="23"/>
      <c r="F928" s="23"/>
      <c r="G928" s="23"/>
      <c r="H928" s="40"/>
      <c r="I928" s="40"/>
      <c r="J928" s="70"/>
      <c r="K928" s="23"/>
      <c r="L928" s="70"/>
      <c r="M928" s="70"/>
      <c r="N928" s="23"/>
      <c r="O928" s="23"/>
      <c r="P928" s="23"/>
      <c r="Q928" s="23"/>
      <c r="R928" s="72"/>
      <c r="S928" s="23"/>
      <c r="T928" s="23"/>
      <c r="U928" s="23"/>
      <c r="V928" s="23"/>
      <c r="W928" s="23"/>
      <c r="X928" s="23"/>
      <c r="Y928" s="23"/>
      <c r="Z928" s="23"/>
      <c r="AA928" s="23"/>
      <c r="AB928" s="23"/>
      <c r="AC928" s="23"/>
      <c r="AD928" s="23"/>
      <c r="AE928" s="23"/>
    </row>
    <row r="929" spans="1:31">
      <c r="A929" s="23"/>
      <c r="B929" s="40"/>
      <c r="C929" s="40"/>
      <c r="D929" s="23"/>
      <c r="E929" s="23"/>
      <c r="F929" s="23"/>
      <c r="G929" s="40"/>
      <c r="H929" s="40"/>
      <c r="I929" s="40"/>
      <c r="J929" s="70"/>
      <c r="K929" s="23"/>
      <c r="L929" s="70"/>
      <c r="M929" s="70"/>
      <c r="N929" s="23"/>
      <c r="O929" s="23"/>
      <c r="P929" s="23"/>
      <c r="Q929" s="23"/>
      <c r="R929" s="72"/>
      <c r="S929" s="23"/>
      <c r="T929" s="23"/>
      <c r="U929" s="23"/>
      <c r="V929" s="23"/>
      <c r="W929" s="23"/>
      <c r="X929" s="23"/>
      <c r="Y929" s="23"/>
      <c r="Z929" s="23"/>
      <c r="AA929" s="23"/>
      <c r="AB929" s="23"/>
      <c r="AC929" s="23"/>
      <c r="AD929" s="23"/>
      <c r="AE929" s="23"/>
    </row>
    <row r="930" spans="1:31">
      <c r="A930" s="23"/>
      <c r="B930" s="40"/>
      <c r="C930" s="40"/>
      <c r="D930" s="23"/>
      <c r="E930" s="23"/>
      <c r="F930" s="23"/>
      <c r="G930" s="23"/>
      <c r="H930" s="23"/>
      <c r="I930" s="40"/>
      <c r="J930" s="70"/>
      <c r="K930" s="23"/>
      <c r="L930" s="70"/>
      <c r="M930" s="70"/>
      <c r="N930" s="23"/>
      <c r="O930" s="23"/>
      <c r="P930" s="23"/>
      <c r="Q930" s="23"/>
      <c r="R930" s="72"/>
      <c r="S930" s="23"/>
      <c r="T930" s="23"/>
      <c r="U930" s="23"/>
      <c r="V930" s="23"/>
      <c r="W930" s="23"/>
      <c r="X930" s="23"/>
      <c r="Y930" s="23"/>
      <c r="Z930" s="23"/>
      <c r="AA930" s="23"/>
      <c r="AB930" s="23"/>
      <c r="AC930" s="23"/>
      <c r="AD930" s="23"/>
      <c r="AE930" s="23"/>
    </row>
    <row r="931" spans="1:31">
      <c r="A931" s="23"/>
      <c r="B931" s="40"/>
      <c r="C931" s="40"/>
      <c r="D931" s="23"/>
      <c r="E931" s="23"/>
      <c r="F931" s="23"/>
      <c r="G931" s="23"/>
      <c r="H931" s="23"/>
      <c r="I931" s="40"/>
      <c r="J931" s="70"/>
      <c r="K931" s="23"/>
      <c r="L931" s="70"/>
      <c r="M931" s="70"/>
      <c r="N931" s="23"/>
      <c r="O931" s="23"/>
      <c r="P931" s="23"/>
      <c r="Q931" s="23"/>
      <c r="R931" s="72"/>
      <c r="S931" s="23"/>
      <c r="T931" s="23"/>
      <c r="U931" s="23"/>
      <c r="V931" s="23"/>
      <c r="W931" s="23"/>
      <c r="X931" s="23"/>
      <c r="Y931" s="23"/>
      <c r="Z931" s="23"/>
      <c r="AA931" s="23"/>
      <c r="AB931" s="23"/>
      <c r="AC931" s="23"/>
      <c r="AD931" s="23"/>
      <c r="AE931" s="23"/>
    </row>
    <row r="932" spans="1:31">
      <c r="A932" s="23"/>
      <c r="B932" s="40"/>
      <c r="C932" s="40"/>
      <c r="D932" s="23"/>
      <c r="E932" s="23"/>
      <c r="F932" s="23"/>
      <c r="G932" s="40"/>
      <c r="H932" s="23"/>
      <c r="I932" s="40"/>
      <c r="J932" s="70"/>
      <c r="K932" s="23"/>
      <c r="L932" s="70"/>
      <c r="M932" s="70"/>
      <c r="N932" s="23"/>
      <c r="O932" s="23"/>
      <c r="P932" s="23"/>
      <c r="Q932" s="23"/>
      <c r="R932" s="72"/>
      <c r="S932" s="23"/>
      <c r="T932" s="23"/>
      <c r="U932" s="23"/>
      <c r="V932" s="23"/>
      <c r="W932" s="23"/>
      <c r="X932" s="23"/>
      <c r="Y932" s="23"/>
      <c r="Z932" s="23"/>
      <c r="AA932" s="23"/>
      <c r="AB932" s="23"/>
      <c r="AC932" s="23"/>
      <c r="AD932" s="23"/>
      <c r="AE932" s="23"/>
    </row>
    <row r="933" spans="1:31">
      <c r="A933" s="23"/>
      <c r="B933" s="40"/>
      <c r="C933" s="40"/>
      <c r="D933" s="23"/>
      <c r="E933" s="23"/>
      <c r="F933" s="23"/>
      <c r="G933" s="23"/>
      <c r="H933" s="23"/>
      <c r="I933" s="40"/>
      <c r="J933" s="70"/>
      <c r="K933" s="23"/>
      <c r="L933" s="70"/>
      <c r="M933" s="70"/>
      <c r="N933" s="23"/>
      <c r="O933" s="23"/>
      <c r="P933" s="23"/>
      <c r="Q933" s="23"/>
      <c r="R933" s="72"/>
      <c r="S933" s="23"/>
      <c r="T933" s="23"/>
      <c r="U933" s="23"/>
      <c r="V933" s="23"/>
      <c r="W933" s="23"/>
      <c r="X933" s="23"/>
      <c r="Y933" s="23"/>
      <c r="Z933" s="23"/>
      <c r="AA933" s="23"/>
      <c r="AB933" s="23"/>
      <c r="AC933" s="23"/>
      <c r="AD933" s="23"/>
      <c r="AE933" s="23"/>
    </row>
    <row r="934" spans="1:31">
      <c r="A934" s="23"/>
      <c r="B934" s="40"/>
      <c r="C934" s="40"/>
      <c r="D934" s="23"/>
      <c r="E934" s="23"/>
      <c r="F934" s="23"/>
      <c r="G934" s="23"/>
      <c r="H934" s="23"/>
      <c r="I934" s="40"/>
      <c r="J934" s="70"/>
      <c r="K934" s="23"/>
      <c r="L934" s="70"/>
      <c r="M934" s="70"/>
      <c r="N934" s="23"/>
      <c r="O934" s="23"/>
      <c r="P934" s="23"/>
      <c r="Q934" s="23"/>
      <c r="R934" s="72"/>
      <c r="S934" s="23"/>
      <c r="T934" s="23"/>
      <c r="U934" s="23"/>
      <c r="V934" s="23"/>
      <c r="W934" s="23"/>
      <c r="X934" s="23"/>
      <c r="Y934" s="23"/>
      <c r="Z934" s="23"/>
      <c r="AA934" s="23"/>
      <c r="AB934" s="23"/>
      <c r="AC934" s="23"/>
      <c r="AD934" s="23"/>
      <c r="AE934" s="23"/>
    </row>
    <row r="935" spans="1:31">
      <c r="A935" s="23"/>
      <c r="B935" s="40"/>
      <c r="C935" s="40"/>
      <c r="D935" s="23"/>
      <c r="E935" s="23"/>
      <c r="F935" s="23"/>
      <c r="G935" s="40"/>
      <c r="H935" s="23"/>
      <c r="I935" s="40"/>
      <c r="J935" s="70"/>
      <c r="K935" s="23"/>
      <c r="L935" s="70"/>
      <c r="M935" s="70"/>
      <c r="N935" s="23"/>
      <c r="O935" s="23"/>
      <c r="P935" s="23"/>
      <c r="Q935" s="23"/>
      <c r="R935" s="72"/>
      <c r="S935" s="23"/>
      <c r="T935" s="23"/>
      <c r="U935" s="23"/>
      <c r="V935" s="23"/>
      <c r="W935" s="23"/>
      <c r="X935" s="23"/>
      <c r="Y935" s="23"/>
      <c r="Z935" s="23"/>
      <c r="AA935" s="23"/>
      <c r="AB935" s="23"/>
      <c r="AC935" s="23"/>
      <c r="AD935" s="23"/>
      <c r="AE935" s="23"/>
    </row>
    <row r="936" spans="1:31">
      <c r="A936" s="23"/>
      <c r="B936" s="40"/>
      <c r="C936" s="40"/>
      <c r="D936" s="23"/>
      <c r="E936" s="23"/>
      <c r="F936" s="23"/>
      <c r="G936" s="23"/>
      <c r="H936" s="23"/>
      <c r="I936" s="40"/>
      <c r="J936" s="70"/>
      <c r="K936" s="23"/>
      <c r="L936" s="70"/>
      <c r="M936" s="70"/>
      <c r="N936" s="23"/>
      <c r="O936" s="23"/>
      <c r="P936" s="23"/>
      <c r="Q936" s="23"/>
      <c r="R936" s="72"/>
      <c r="S936" s="23"/>
      <c r="T936" s="23"/>
      <c r="U936" s="23"/>
      <c r="V936" s="23"/>
      <c r="W936" s="23"/>
      <c r="X936" s="23"/>
      <c r="Y936" s="23"/>
      <c r="Z936" s="23"/>
      <c r="AA936" s="23"/>
      <c r="AB936" s="23"/>
      <c r="AC936" s="23"/>
      <c r="AD936" s="23"/>
      <c r="AE936" s="23"/>
    </row>
    <row r="937" spans="1:31">
      <c r="A937" s="23"/>
      <c r="B937" s="40"/>
      <c r="C937" s="40"/>
      <c r="D937" s="23"/>
      <c r="E937" s="23"/>
      <c r="F937" s="23"/>
      <c r="G937" s="23"/>
      <c r="H937" s="23"/>
      <c r="I937" s="40"/>
      <c r="J937" s="70"/>
      <c r="K937" s="23"/>
      <c r="L937" s="70"/>
      <c r="M937" s="70"/>
      <c r="N937" s="23"/>
      <c r="O937" s="23"/>
      <c r="P937" s="23"/>
      <c r="Q937" s="23"/>
      <c r="R937" s="72"/>
      <c r="S937" s="23"/>
      <c r="T937" s="23"/>
      <c r="U937" s="23"/>
      <c r="V937" s="23"/>
      <c r="W937" s="23"/>
      <c r="X937" s="23"/>
      <c r="Y937" s="23"/>
      <c r="Z937" s="23"/>
      <c r="AA937" s="23"/>
      <c r="AB937" s="23"/>
      <c r="AC937" s="23"/>
      <c r="AD937" s="23"/>
      <c r="AE937" s="23"/>
    </row>
    <row r="938" spans="1:31">
      <c r="A938" s="23"/>
      <c r="B938" s="40"/>
      <c r="C938" s="40"/>
      <c r="D938" s="23"/>
      <c r="E938" s="23"/>
      <c r="F938" s="23"/>
      <c r="G938" s="40"/>
      <c r="H938" s="23"/>
      <c r="I938" s="40"/>
      <c r="J938" s="70"/>
      <c r="K938" s="23"/>
      <c r="L938" s="70"/>
      <c r="M938" s="70"/>
      <c r="N938" s="23"/>
      <c r="O938" s="23"/>
      <c r="P938" s="23"/>
      <c r="Q938" s="23"/>
      <c r="R938" s="72"/>
      <c r="S938" s="23"/>
      <c r="T938" s="23"/>
      <c r="U938" s="23"/>
      <c r="V938" s="23"/>
      <c r="W938" s="23"/>
      <c r="X938" s="23"/>
      <c r="Y938" s="23"/>
      <c r="Z938" s="23"/>
      <c r="AA938" s="23"/>
      <c r="AB938" s="23"/>
      <c r="AC938" s="23"/>
      <c r="AD938" s="23"/>
      <c r="AE938" s="23"/>
    </row>
    <row r="939" spans="1:31">
      <c r="A939" s="23"/>
      <c r="B939" s="40"/>
      <c r="C939" s="40"/>
      <c r="D939" s="23"/>
      <c r="E939" s="23"/>
      <c r="F939" s="23"/>
      <c r="G939" s="23"/>
      <c r="H939" s="23"/>
      <c r="I939" s="40"/>
      <c r="J939" s="70"/>
      <c r="K939" s="23"/>
      <c r="L939" s="70"/>
      <c r="M939" s="70"/>
      <c r="N939" s="23"/>
      <c r="O939" s="23"/>
      <c r="P939" s="23"/>
      <c r="Q939" s="23"/>
      <c r="R939" s="72"/>
      <c r="S939" s="23"/>
      <c r="T939" s="23"/>
      <c r="U939" s="23"/>
      <c r="V939" s="23"/>
      <c r="W939" s="23"/>
      <c r="X939" s="23"/>
      <c r="Y939" s="23"/>
      <c r="Z939" s="23"/>
      <c r="AA939" s="23"/>
      <c r="AB939" s="23"/>
      <c r="AC939" s="23"/>
      <c r="AD939" s="23"/>
      <c r="AE939" s="23"/>
    </row>
    <row r="940" spans="1:31">
      <c r="A940" s="23"/>
      <c r="B940" s="40"/>
      <c r="C940" s="40"/>
      <c r="D940" s="23"/>
      <c r="E940" s="23"/>
      <c r="F940" s="23"/>
      <c r="G940" s="23"/>
      <c r="H940" s="23"/>
      <c r="I940" s="40"/>
      <c r="J940" s="70"/>
      <c r="K940" s="23"/>
      <c r="L940" s="70"/>
      <c r="M940" s="70"/>
      <c r="N940" s="23"/>
      <c r="O940" s="23"/>
      <c r="P940" s="23"/>
      <c r="Q940" s="23"/>
      <c r="R940" s="72"/>
      <c r="S940" s="23"/>
      <c r="T940" s="23"/>
      <c r="U940" s="23"/>
      <c r="V940" s="23"/>
      <c r="W940" s="23"/>
      <c r="X940" s="23"/>
      <c r="Y940" s="23"/>
      <c r="Z940" s="23"/>
      <c r="AA940" s="23"/>
      <c r="AB940" s="23"/>
      <c r="AC940" s="23"/>
      <c r="AD940" s="23"/>
      <c r="AE940" s="23"/>
    </row>
    <row r="941" spans="1:31">
      <c r="A941" s="23"/>
      <c r="B941" s="40"/>
      <c r="C941" s="40"/>
      <c r="D941" s="23"/>
      <c r="E941" s="23"/>
      <c r="F941" s="23"/>
      <c r="G941" s="40"/>
      <c r="H941" s="23"/>
      <c r="I941" s="40"/>
      <c r="J941" s="70"/>
      <c r="K941" s="23"/>
      <c r="L941" s="70"/>
      <c r="M941" s="70"/>
      <c r="N941" s="23"/>
      <c r="O941" s="23"/>
      <c r="P941" s="23"/>
      <c r="Q941" s="23"/>
      <c r="R941" s="72"/>
      <c r="S941" s="23"/>
      <c r="T941" s="23"/>
      <c r="U941" s="23"/>
      <c r="V941" s="23"/>
      <c r="W941" s="23"/>
      <c r="X941" s="23"/>
      <c r="Y941" s="23"/>
      <c r="Z941" s="23"/>
      <c r="AA941" s="23"/>
      <c r="AB941" s="23"/>
      <c r="AC941" s="23"/>
      <c r="AD941" s="23"/>
      <c r="AE941" s="23"/>
    </row>
    <row r="942" spans="1:31">
      <c r="A942" s="23"/>
      <c r="B942" s="40"/>
      <c r="C942" s="40"/>
      <c r="D942" s="23"/>
      <c r="E942" s="23"/>
      <c r="F942" s="23"/>
      <c r="G942" s="23"/>
      <c r="H942" s="23"/>
      <c r="I942" s="40"/>
      <c r="J942" s="70"/>
      <c r="K942" s="23"/>
      <c r="L942" s="70"/>
      <c r="M942" s="70"/>
      <c r="N942" s="23"/>
      <c r="O942" s="23"/>
      <c r="P942" s="23"/>
      <c r="Q942" s="23"/>
      <c r="R942" s="72"/>
      <c r="S942" s="23"/>
      <c r="T942" s="23"/>
      <c r="U942" s="23"/>
      <c r="V942" s="23"/>
      <c r="W942" s="23"/>
      <c r="X942" s="23"/>
      <c r="Y942" s="23"/>
      <c r="Z942" s="23"/>
      <c r="AA942" s="23"/>
      <c r="AB942" s="23"/>
      <c r="AC942" s="23"/>
      <c r="AD942" s="23"/>
      <c r="AE942" s="23"/>
    </row>
    <row r="943" spans="1:31">
      <c r="A943" s="23"/>
      <c r="B943" s="40"/>
      <c r="C943" s="40"/>
      <c r="D943" s="23"/>
      <c r="E943" s="23"/>
      <c r="F943" s="23"/>
      <c r="G943" s="23"/>
      <c r="H943" s="23"/>
      <c r="I943" s="40"/>
      <c r="J943" s="70"/>
      <c r="K943" s="23"/>
      <c r="L943" s="70"/>
      <c r="M943" s="70"/>
      <c r="N943" s="23"/>
      <c r="O943" s="23"/>
      <c r="P943" s="23"/>
      <c r="Q943" s="23"/>
      <c r="R943" s="72"/>
      <c r="S943" s="23"/>
      <c r="T943" s="23"/>
      <c r="U943" s="23"/>
      <c r="V943" s="23"/>
      <c r="W943" s="23"/>
      <c r="X943" s="23"/>
      <c r="Y943" s="23"/>
      <c r="Z943" s="23"/>
      <c r="AA943" s="23"/>
      <c r="AB943" s="23"/>
      <c r="AC943" s="23"/>
      <c r="AD943" s="23"/>
      <c r="AE943" s="23"/>
    </row>
    <row r="944" spans="1:31" ht="24" customHeight="1">
      <c r="A944" s="23"/>
      <c r="B944" s="40"/>
      <c r="C944" s="40"/>
      <c r="D944" s="23"/>
      <c r="E944" s="23"/>
      <c r="F944" s="23"/>
      <c r="G944" s="23"/>
      <c r="H944" s="40"/>
      <c r="I944" s="40"/>
      <c r="J944" s="70"/>
      <c r="K944" s="23"/>
      <c r="L944" s="70"/>
      <c r="M944" s="70"/>
      <c r="N944" s="23"/>
      <c r="O944" s="23"/>
      <c r="P944" s="23"/>
      <c r="Q944" s="23"/>
      <c r="R944" s="72"/>
      <c r="S944" s="23"/>
      <c r="T944" s="23"/>
      <c r="U944" s="23"/>
      <c r="V944" s="23"/>
      <c r="W944" s="23"/>
      <c r="X944" s="23"/>
      <c r="Y944" s="23"/>
      <c r="Z944" s="23"/>
      <c r="AA944" s="23"/>
      <c r="AB944" s="23"/>
      <c r="AC944" s="23"/>
      <c r="AD944" s="23"/>
      <c r="AE944" s="23"/>
    </row>
    <row r="945" spans="1:31">
      <c r="A945" s="23"/>
      <c r="B945" s="40"/>
      <c r="C945" s="40"/>
      <c r="D945" s="23"/>
      <c r="E945" s="23"/>
      <c r="F945" s="23"/>
      <c r="G945" s="23"/>
      <c r="H945" s="40"/>
      <c r="I945" s="40"/>
      <c r="J945" s="70"/>
      <c r="K945" s="23"/>
      <c r="L945" s="70"/>
      <c r="M945" s="70"/>
      <c r="N945" s="23"/>
      <c r="O945" s="23"/>
      <c r="P945" s="23"/>
      <c r="Q945" s="23"/>
      <c r="R945" s="72"/>
      <c r="S945" s="23"/>
      <c r="T945" s="23"/>
      <c r="U945" s="23"/>
      <c r="V945" s="23"/>
      <c r="W945" s="23"/>
      <c r="X945" s="23"/>
      <c r="Y945" s="23"/>
      <c r="Z945" s="23"/>
      <c r="AA945" s="23"/>
      <c r="AB945" s="23"/>
      <c r="AC945" s="23"/>
      <c r="AD945" s="23"/>
      <c r="AE945" s="23"/>
    </row>
    <row r="946" spans="1:31">
      <c r="A946" s="23"/>
      <c r="B946" s="40"/>
      <c r="C946" s="40"/>
      <c r="D946" s="23"/>
      <c r="E946" s="23"/>
      <c r="F946" s="23"/>
      <c r="G946" s="23"/>
      <c r="H946" s="40"/>
      <c r="I946" s="40"/>
      <c r="J946" s="70"/>
      <c r="K946" s="23"/>
      <c r="L946" s="70"/>
      <c r="M946" s="70"/>
      <c r="N946" s="23"/>
      <c r="O946" s="23"/>
      <c r="P946" s="23"/>
      <c r="Q946" s="23"/>
      <c r="R946" s="72"/>
      <c r="S946" s="23"/>
      <c r="T946" s="23"/>
      <c r="U946" s="23"/>
      <c r="V946" s="23"/>
      <c r="W946" s="23"/>
      <c r="X946" s="23"/>
      <c r="Y946" s="23"/>
      <c r="Z946" s="23"/>
      <c r="AA946" s="23"/>
      <c r="AB946" s="23"/>
      <c r="AC946" s="23"/>
      <c r="AD946" s="23"/>
      <c r="AE946" s="23"/>
    </row>
    <row r="947" spans="1:31">
      <c r="A947" s="23"/>
      <c r="B947" s="40"/>
      <c r="C947" s="40"/>
      <c r="D947" s="23"/>
      <c r="E947" s="23"/>
      <c r="F947" s="23"/>
      <c r="G947" s="23"/>
      <c r="H947" s="40"/>
      <c r="I947" s="40"/>
      <c r="J947" s="70"/>
      <c r="K947" s="23"/>
      <c r="L947" s="70"/>
      <c r="M947" s="70"/>
      <c r="N947" s="23"/>
      <c r="O947" s="23"/>
      <c r="P947" s="23"/>
      <c r="Q947" s="23"/>
      <c r="R947" s="72"/>
      <c r="S947" s="23"/>
      <c r="T947" s="23"/>
      <c r="U947" s="23"/>
      <c r="V947" s="23"/>
      <c r="W947" s="23"/>
      <c r="X947" s="23"/>
      <c r="Y947" s="23"/>
      <c r="Z947" s="23"/>
      <c r="AA947" s="23"/>
      <c r="AB947" s="23"/>
      <c r="AC947" s="23"/>
      <c r="AD947" s="23"/>
      <c r="AE947" s="23"/>
    </row>
    <row r="948" spans="1:31">
      <c r="A948" s="23"/>
      <c r="B948" s="40"/>
      <c r="C948" s="40"/>
      <c r="D948" s="23"/>
      <c r="E948" s="23"/>
      <c r="F948" s="23"/>
      <c r="G948" s="23"/>
      <c r="H948" s="40"/>
      <c r="I948" s="40"/>
      <c r="J948" s="70"/>
      <c r="K948" s="23"/>
      <c r="L948" s="70"/>
      <c r="M948" s="70"/>
      <c r="N948" s="23"/>
      <c r="O948" s="23"/>
      <c r="P948" s="23"/>
      <c r="Q948" s="23"/>
      <c r="R948" s="72"/>
      <c r="S948" s="23"/>
      <c r="T948" s="23"/>
      <c r="U948" s="23"/>
      <c r="V948" s="23"/>
      <c r="W948" s="23"/>
      <c r="X948" s="23"/>
      <c r="Y948" s="23"/>
      <c r="Z948" s="23"/>
      <c r="AA948" s="23"/>
      <c r="AB948" s="23"/>
      <c r="AC948" s="23"/>
      <c r="AD948" s="23"/>
      <c r="AE948" s="23"/>
    </row>
    <row r="949" spans="1:31">
      <c r="A949" s="23"/>
      <c r="B949" s="40"/>
      <c r="C949" s="40"/>
      <c r="D949" s="23"/>
      <c r="E949" s="23"/>
      <c r="F949" s="23"/>
      <c r="G949" s="23"/>
      <c r="H949" s="23"/>
      <c r="I949" s="40"/>
      <c r="J949" s="70"/>
      <c r="K949" s="23"/>
      <c r="L949" s="70"/>
      <c r="M949" s="70"/>
      <c r="N949" s="23"/>
      <c r="O949" s="23"/>
      <c r="P949" s="23"/>
      <c r="Q949" s="23"/>
      <c r="R949" s="72"/>
      <c r="S949" s="23"/>
      <c r="T949" s="23"/>
      <c r="U949" s="23"/>
      <c r="V949" s="23"/>
      <c r="W949" s="23"/>
      <c r="X949" s="23"/>
      <c r="Y949" s="23"/>
      <c r="Z949" s="23"/>
      <c r="AA949" s="23"/>
      <c r="AB949" s="23"/>
      <c r="AC949" s="23"/>
      <c r="AD949" s="23"/>
      <c r="AE949" s="23"/>
    </row>
    <row r="950" spans="1:31">
      <c r="A950" s="23"/>
      <c r="B950" s="40"/>
      <c r="C950" s="40"/>
      <c r="D950" s="23"/>
      <c r="E950" s="23"/>
      <c r="F950" s="23"/>
      <c r="G950" s="23"/>
      <c r="H950" s="23"/>
      <c r="I950" s="40"/>
      <c r="J950" s="70"/>
      <c r="K950" s="23"/>
      <c r="L950" s="70"/>
      <c r="M950" s="70"/>
      <c r="N950" s="23"/>
      <c r="O950" s="23"/>
      <c r="P950" s="23"/>
      <c r="Q950" s="23"/>
      <c r="R950" s="72"/>
      <c r="S950" s="23"/>
      <c r="T950" s="23"/>
      <c r="U950" s="23"/>
      <c r="V950" s="23"/>
      <c r="W950" s="23"/>
      <c r="X950" s="23"/>
      <c r="Y950" s="23"/>
      <c r="Z950" s="23"/>
      <c r="AA950" s="23"/>
      <c r="AB950" s="23"/>
      <c r="AC950" s="23"/>
      <c r="AD950" s="23"/>
      <c r="AE950" s="23"/>
    </row>
    <row r="951" spans="1:31" ht="24" customHeight="1">
      <c r="A951" s="23"/>
      <c r="B951" s="40"/>
      <c r="C951" s="40"/>
      <c r="D951" s="23"/>
      <c r="E951" s="23"/>
      <c r="F951" s="23"/>
      <c r="G951" s="23"/>
      <c r="H951" s="40"/>
      <c r="I951" s="40"/>
      <c r="J951" s="70"/>
      <c r="K951" s="23"/>
      <c r="L951" s="70"/>
      <c r="M951" s="70"/>
      <c r="N951" s="23"/>
      <c r="O951" s="23"/>
      <c r="P951" s="23"/>
      <c r="Q951" s="23"/>
      <c r="R951" s="72"/>
      <c r="S951" s="23"/>
      <c r="T951" s="23"/>
      <c r="U951" s="23"/>
      <c r="V951" s="23"/>
      <c r="W951" s="23"/>
      <c r="X951" s="23"/>
      <c r="Y951" s="23"/>
      <c r="Z951" s="23"/>
      <c r="AA951" s="23"/>
      <c r="AB951" s="23"/>
      <c r="AC951" s="23"/>
      <c r="AD951" s="23"/>
      <c r="AE951" s="23"/>
    </row>
    <row r="952" spans="1:31">
      <c r="A952" s="23"/>
      <c r="B952" s="40"/>
      <c r="C952" s="40"/>
      <c r="D952" s="23"/>
      <c r="E952" s="23"/>
      <c r="F952" s="23"/>
      <c r="G952" s="23"/>
      <c r="H952" s="40"/>
      <c r="I952" s="40"/>
      <c r="J952" s="70"/>
      <c r="K952" s="23"/>
      <c r="L952" s="70"/>
      <c r="M952" s="70"/>
      <c r="N952" s="23"/>
      <c r="O952" s="23"/>
      <c r="P952" s="23"/>
      <c r="Q952" s="23"/>
      <c r="R952" s="72"/>
      <c r="S952" s="23"/>
      <c r="T952" s="23"/>
      <c r="U952" s="23"/>
      <c r="V952" s="23"/>
      <c r="W952" s="23"/>
      <c r="X952" s="23"/>
      <c r="Y952" s="23"/>
      <c r="Z952" s="23"/>
      <c r="AA952" s="23"/>
      <c r="AB952" s="23"/>
      <c r="AC952" s="23"/>
      <c r="AD952" s="23"/>
      <c r="AE952" s="23"/>
    </row>
    <row r="953" spans="1:31">
      <c r="A953" s="23"/>
      <c r="B953" s="40"/>
      <c r="C953" s="40"/>
      <c r="D953" s="23"/>
      <c r="E953" s="23"/>
      <c r="F953" s="23"/>
      <c r="G953" s="23"/>
      <c r="H953" s="40"/>
      <c r="I953" s="40"/>
      <c r="J953" s="70"/>
      <c r="K953" s="23"/>
      <c r="L953" s="70"/>
      <c r="M953" s="70"/>
      <c r="N953" s="23"/>
      <c r="O953" s="23"/>
      <c r="P953" s="23"/>
      <c r="Q953" s="23"/>
      <c r="R953" s="72"/>
      <c r="S953" s="23"/>
      <c r="T953" s="23"/>
      <c r="U953" s="23"/>
      <c r="V953" s="23"/>
      <c r="W953" s="23"/>
      <c r="X953" s="23"/>
      <c r="Y953" s="23"/>
      <c r="Z953" s="23"/>
      <c r="AA953" s="23"/>
      <c r="AB953" s="23"/>
      <c r="AC953" s="23"/>
      <c r="AD953" s="23"/>
      <c r="AE953" s="23"/>
    </row>
    <row r="954" spans="1:31">
      <c r="A954" s="23"/>
      <c r="B954" s="40"/>
      <c r="C954" s="40"/>
      <c r="D954" s="23"/>
      <c r="E954" s="23"/>
      <c r="F954" s="23"/>
      <c r="G954" s="23"/>
      <c r="H954" s="40"/>
      <c r="I954" s="40"/>
      <c r="J954" s="70"/>
      <c r="K954" s="23"/>
      <c r="L954" s="70"/>
      <c r="M954" s="70"/>
      <c r="N954" s="23"/>
      <c r="O954" s="23"/>
      <c r="P954" s="23"/>
      <c r="Q954" s="23"/>
      <c r="R954" s="72"/>
      <c r="S954" s="23"/>
      <c r="T954" s="23"/>
      <c r="U954" s="23"/>
      <c r="V954" s="23"/>
      <c r="W954" s="23"/>
      <c r="X954" s="23"/>
      <c r="Y954" s="23"/>
      <c r="Z954" s="23"/>
      <c r="AA954" s="23"/>
      <c r="AB954" s="23"/>
      <c r="AC954" s="23"/>
      <c r="AD954" s="23"/>
      <c r="AE954" s="23"/>
    </row>
    <row r="955" spans="1:31">
      <c r="A955" s="23"/>
      <c r="B955" s="40"/>
      <c r="C955" s="40"/>
      <c r="D955" s="23"/>
      <c r="E955" s="23"/>
      <c r="F955" s="23"/>
      <c r="G955" s="23"/>
      <c r="H955" s="40"/>
      <c r="I955" s="40"/>
      <c r="J955" s="70"/>
      <c r="K955" s="23"/>
      <c r="L955" s="70"/>
      <c r="M955" s="70"/>
      <c r="N955" s="23"/>
      <c r="O955" s="23"/>
      <c r="P955" s="23"/>
      <c r="Q955" s="23"/>
      <c r="R955" s="72"/>
      <c r="S955" s="23"/>
      <c r="T955" s="23"/>
      <c r="U955" s="23"/>
      <c r="V955" s="23"/>
      <c r="W955" s="23"/>
      <c r="X955" s="23"/>
      <c r="Y955" s="23"/>
      <c r="Z955" s="23"/>
      <c r="AA955" s="23"/>
      <c r="AB955" s="23"/>
      <c r="AC955" s="23"/>
      <c r="AD955" s="23"/>
      <c r="AE955" s="23"/>
    </row>
    <row r="956" spans="1:31">
      <c r="A956" s="23"/>
      <c r="B956" s="40"/>
      <c r="C956" s="40"/>
      <c r="D956" s="23"/>
      <c r="E956" s="23"/>
      <c r="F956" s="23"/>
      <c r="G956" s="23"/>
      <c r="H956" s="40"/>
      <c r="I956" s="40"/>
      <c r="J956" s="70"/>
      <c r="K956" s="23"/>
      <c r="L956" s="70"/>
      <c r="M956" s="70"/>
      <c r="N956" s="23"/>
      <c r="O956" s="23"/>
      <c r="P956" s="23"/>
      <c r="Q956" s="23"/>
      <c r="R956" s="72"/>
      <c r="S956" s="23"/>
      <c r="T956" s="23"/>
      <c r="U956" s="23"/>
      <c r="V956" s="23"/>
      <c r="W956" s="23"/>
      <c r="X956" s="23"/>
      <c r="Y956" s="23"/>
      <c r="Z956" s="23"/>
      <c r="AA956" s="23"/>
      <c r="AB956" s="23"/>
      <c r="AC956" s="23"/>
      <c r="AD956" s="23"/>
      <c r="AE956" s="23"/>
    </row>
    <row r="957" spans="1:31">
      <c r="A957" s="23"/>
      <c r="B957" s="40"/>
      <c r="C957" s="40"/>
      <c r="D957" s="23"/>
      <c r="E957" s="23"/>
      <c r="F957" s="23"/>
      <c r="G957" s="23"/>
      <c r="H957" s="40"/>
      <c r="I957" s="40"/>
      <c r="J957" s="70"/>
      <c r="K957" s="23"/>
      <c r="L957" s="70"/>
      <c r="M957" s="70"/>
      <c r="N957" s="23"/>
      <c r="O957" s="23"/>
      <c r="P957" s="23"/>
      <c r="Q957" s="23"/>
      <c r="R957" s="72"/>
      <c r="S957" s="23"/>
      <c r="T957" s="23"/>
      <c r="U957" s="23"/>
      <c r="V957" s="23"/>
      <c r="W957" s="23"/>
      <c r="X957" s="23"/>
      <c r="Y957" s="23"/>
      <c r="Z957" s="23"/>
      <c r="AA957" s="23"/>
      <c r="AB957" s="23"/>
      <c r="AC957" s="23"/>
      <c r="AD957" s="23"/>
      <c r="AE957" s="23"/>
    </row>
    <row r="958" spans="1:31">
      <c r="A958" s="23"/>
      <c r="B958" s="40"/>
      <c r="C958" s="40"/>
      <c r="D958" s="23"/>
      <c r="E958" s="23"/>
      <c r="F958" s="23"/>
      <c r="G958" s="23"/>
      <c r="H958" s="23"/>
      <c r="I958" s="40"/>
      <c r="J958" s="70"/>
      <c r="K958" s="23"/>
      <c r="L958" s="70"/>
      <c r="M958" s="70"/>
      <c r="N958" s="23"/>
      <c r="O958" s="23"/>
      <c r="P958" s="23"/>
      <c r="Q958" s="23"/>
      <c r="R958" s="72"/>
      <c r="S958" s="23"/>
      <c r="T958" s="23"/>
      <c r="U958" s="23"/>
      <c r="V958" s="23"/>
      <c r="W958" s="23"/>
      <c r="X958" s="23"/>
      <c r="Y958" s="23"/>
      <c r="Z958" s="23"/>
      <c r="AA958" s="23"/>
      <c r="AB958" s="23"/>
      <c r="AC958" s="23"/>
      <c r="AD958" s="23"/>
      <c r="AE958" s="23"/>
    </row>
    <row r="959" spans="1:31">
      <c r="A959" s="23"/>
      <c r="B959" s="40"/>
      <c r="C959" s="40"/>
      <c r="D959" s="23"/>
      <c r="E959" s="23"/>
      <c r="F959" s="23"/>
      <c r="G959" s="23"/>
      <c r="H959" s="23"/>
      <c r="I959" s="40"/>
      <c r="J959" s="70"/>
      <c r="K959" s="23"/>
      <c r="L959" s="70"/>
      <c r="M959" s="70"/>
      <c r="N959" s="23"/>
      <c r="O959" s="23"/>
      <c r="P959" s="23"/>
      <c r="Q959" s="23"/>
      <c r="R959" s="72"/>
      <c r="S959" s="23"/>
      <c r="T959" s="23"/>
      <c r="U959" s="23"/>
      <c r="V959" s="23"/>
      <c r="W959" s="23"/>
      <c r="X959" s="23"/>
      <c r="Y959" s="23"/>
      <c r="Z959" s="23"/>
      <c r="AA959" s="23"/>
      <c r="AB959" s="23"/>
      <c r="AC959" s="23"/>
      <c r="AD959" s="23"/>
      <c r="AE959" s="23"/>
    </row>
    <row r="960" spans="1:31" ht="24" customHeight="1">
      <c r="A960" s="23"/>
      <c r="B960" s="40"/>
      <c r="C960" s="40"/>
      <c r="D960" s="23"/>
      <c r="E960" s="23"/>
      <c r="F960" s="23"/>
      <c r="G960" s="23"/>
      <c r="H960" s="40"/>
      <c r="I960" s="40"/>
      <c r="J960" s="70"/>
      <c r="K960" s="23"/>
      <c r="L960" s="70"/>
      <c r="M960" s="70"/>
      <c r="N960" s="23"/>
      <c r="O960" s="23"/>
      <c r="P960" s="23"/>
      <c r="Q960" s="23"/>
      <c r="R960" s="72"/>
      <c r="S960" s="23"/>
      <c r="T960" s="23"/>
      <c r="U960" s="23"/>
      <c r="V960" s="23"/>
      <c r="W960" s="23"/>
      <c r="X960" s="23"/>
      <c r="Y960" s="23"/>
      <c r="Z960" s="23"/>
      <c r="AA960" s="23"/>
      <c r="AB960" s="23"/>
      <c r="AC960" s="23"/>
      <c r="AD960" s="23"/>
      <c r="AE960" s="23"/>
    </row>
    <row r="961" spans="1:31">
      <c r="A961" s="23"/>
      <c r="B961" s="40"/>
      <c r="C961" s="40"/>
      <c r="D961" s="23"/>
      <c r="E961" s="23"/>
      <c r="F961" s="23"/>
      <c r="G961" s="23"/>
      <c r="H961" s="40"/>
      <c r="I961" s="40"/>
      <c r="J961" s="70"/>
      <c r="K961" s="23"/>
      <c r="L961" s="70"/>
      <c r="M961" s="70"/>
      <c r="N961" s="23"/>
      <c r="O961" s="23"/>
      <c r="P961" s="23"/>
      <c r="Q961" s="23"/>
      <c r="R961" s="72"/>
      <c r="S961" s="23"/>
      <c r="T961" s="23"/>
      <c r="U961" s="23"/>
      <c r="V961" s="23"/>
      <c r="W961" s="23"/>
      <c r="X961" s="23"/>
      <c r="Y961" s="23"/>
      <c r="Z961" s="23"/>
      <c r="AA961" s="23"/>
      <c r="AB961" s="23"/>
      <c r="AC961" s="23"/>
      <c r="AD961" s="23"/>
      <c r="AE961" s="23"/>
    </row>
    <row r="962" spans="1:31">
      <c r="A962" s="23"/>
      <c r="B962" s="40"/>
      <c r="C962" s="40"/>
      <c r="D962" s="23"/>
      <c r="E962" s="23"/>
      <c r="F962" s="23"/>
      <c r="G962" s="23"/>
      <c r="H962" s="40"/>
      <c r="I962" s="40"/>
      <c r="J962" s="70"/>
      <c r="K962" s="23"/>
      <c r="L962" s="70"/>
      <c r="M962" s="70"/>
      <c r="N962" s="23"/>
      <c r="O962" s="23"/>
      <c r="P962" s="23"/>
      <c r="Q962" s="23"/>
      <c r="R962" s="72"/>
      <c r="S962" s="23"/>
      <c r="T962" s="23"/>
      <c r="U962" s="23"/>
      <c r="V962" s="23"/>
      <c r="W962" s="23"/>
      <c r="X962" s="23"/>
      <c r="Y962" s="23"/>
      <c r="Z962" s="23"/>
      <c r="AA962" s="23"/>
      <c r="AB962" s="23"/>
      <c r="AC962" s="23"/>
      <c r="AD962" s="23"/>
      <c r="AE962" s="23"/>
    </row>
    <row r="963" spans="1:31">
      <c r="A963" s="23"/>
      <c r="B963" s="40"/>
      <c r="C963" s="40"/>
      <c r="D963" s="23"/>
      <c r="E963" s="23"/>
      <c r="F963" s="23"/>
      <c r="G963" s="23"/>
      <c r="H963" s="40"/>
      <c r="I963" s="40"/>
      <c r="J963" s="70"/>
      <c r="K963" s="23"/>
      <c r="L963" s="70"/>
      <c r="M963" s="70"/>
      <c r="N963" s="23"/>
      <c r="O963" s="23"/>
      <c r="P963" s="23"/>
      <c r="Q963" s="23"/>
      <c r="R963" s="72"/>
      <c r="S963" s="23"/>
      <c r="T963" s="23"/>
      <c r="U963" s="23"/>
      <c r="V963" s="23"/>
      <c r="W963" s="23"/>
      <c r="X963" s="23"/>
      <c r="Y963" s="23"/>
      <c r="Z963" s="23"/>
      <c r="AA963" s="23"/>
      <c r="AB963" s="23"/>
      <c r="AC963" s="23"/>
      <c r="AD963" s="23"/>
      <c r="AE963" s="23"/>
    </row>
    <row r="964" spans="1:31">
      <c r="A964" s="23"/>
      <c r="B964" s="40"/>
      <c r="C964" s="40"/>
      <c r="D964" s="23"/>
      <c r="E964" s="23"/>
      <c r="F964" s="23"/>
      <c r="G964" s="23"/>
      <c r="H964" s="40"/>
      <c r="I964" s="40"/>
      <c r="J964" s="70"/>
      <c r="K964" s="23"/>
      <c r="L964" s="70"/>
      <c r="M964" s="70"/>
      <c r="N964" s="23"/>
      <c r="O964" s="23"/>
      <c r="P964" s="23"/>
      <c r="Q964" s="23"/>
      <c r="R964" s="72"/>
      <c r="S964" s="23"/>
      <c r="T964" s="23"/>
      <c r="U964" s="23"/>
      <c r="V964" s="23"/>
      <c r="W964" s="23"/>
      <c r="X964" s="23"/>
      <c r="Y964" s="23"/>
      <c r="Z964" s="23"/>
      <c r="AA964" s="23"/>
      <c r="AB964" s="23"/>
      <c r="AC964" s="23"/>
      <c r="AD964" s="23"/>
      <c r="AE964" s="23"/>
    </row>
    <row r="965" spans="1:31">
      <c r="A965" s="23"/>
      <c r="B965" s="40"/>
      <c r="C965" s="40"/>
      <c r="D965" s="23"/>
      <c r="E965" s="23"/>
      <c r="F965" s="23"/>
      <c r="G965" s="23"/>
      <c r="H965" s="23"/>
      <c r="I965" s="40"/>
      <c r="J965" s="70"/>
      <c r="K965" s="23"/>
      <c r="L965" s="70"/>
      <c r="M965" s="70"/>
      <c r="N965" s="23"/>
      <c r="O965" s="23"/>
      <c r="P965" s="23"/>
      <c r="Q965" s="23"/>
      <c r="R965" s="72"/>
      <c r="S965" s="23"/>
      <c r="T965" s="23"/>
      <c r="U965" s="23"/>
      <c r="V965" s="23"/>
      <c r="W965" s="23"/>
      <c r="X965" s="23"/>
      <c r="Y965" s="23"/>
      <c r="Z965" s="23"/>
      <c r="AA965" s="23"/>
      <c r="AB965" s="23"/>
      <c r="AC965" s="23"/>
      <c r="AD965" s="23"/>
      <c r="AE965" s="23"/>
    </row>
    <row r="966" spans="1:31">
      <c r="A966" s="23"/>
      <c r="B966" s="40"/>
      <c r="C966" s="40"/>
      <c r="D966" s="23"/>
      <c r="E966" s="23"/>
      <c r="F966" s="23"/>
      <c r="G966" s="23"/>
      <c r="H966" s="23"/>
      <c r="I966" s="40"/>
      <c r="J966" s="70"/>
      <c r="K966" s="23"/>
      <c r="L966" s="70"/>
      <c r="M966" s="70"/>
      <c r="N966" s="23"/>
      <c r="O966" s="23"/>
      <c r="P966" s="23"/>
      <c r="Q966" s="23"/>
      <c r="R966" s="72"/>
      <c r="S966" s="23"/>
      <c r="T966" s="23"/>
      <c r="U966" s="23"/>
      <c r="V966" s="23"/>
      <c r="W966" s="23"/>
      <c r="X966" s="23"/>
      <c r="Y966" s="23"/>
      <c r="Z966" s="23"/>
      <c r="AA966" s="23"/>
      <c r="AB966" s="23"/>
      <c r="AC966" s="23"/>
      <c r="AD966" s="23"/>
      <c r="AE966" s="23"/>
    </row>
    <row r="967" spans="1:31" ht="24" customHeight="1">
      <c r="A967" s="23"/>
      <c r="B967" s="40"/>
      <c r="C967" s="40"/>
      <c r="D967" s="23"/>
      <c r="E967" s="23"/>
      <c r="F967" s="23"/>
      <c r="G967" s="23"/>
      <c r="H967" s="40"/>
      <c r="I967" s="40"/>
      <c r="J967" s="70"/>
      <c r="K967" s="23"/>
      <c r="L967" s="70"/>
      <c r="M967" s="70"/>
      <c r="N967" s="23"/>
      <c r="O967" s="23"/>
      <c r="P967" s="23"/>
      <c r="Q967" s="23"/>
      <c r="R967" s="72"/>
      <c r="S967" s="23"/>
      <c r="T967" s="23"/>
      <c r="U967" s="23"/>
      <c r="V967" s="23"/>
      <c r="W967" s="23"/>
      <c r="X967" s="23"/>
      <c r="Y967" s="23"/>
      <c r="Z967" s="23"/>
      <c r="AA967" s="23"/>
      <c r="AB967" s="23"/>
      <c r="AC967" s="23"/>
      <c r="AD967" s="23"/>
      <c r="AE967" s="23"/>
    </row>
    <row r="968" spans="1:31">
      <c r="A968" s="23"/>
      <c r="B968" s="40"/>
      <c r="C968" s="40"/>
      <c r="D968" s="23"/>
      <c r="E968" s="23"/>
      <c r="F968" s="23"/>
      <c r="G968" s="23"/>
      <c r="H968" s="40"/>
      <c r="I968" s="40"/>
      <c r="J968" s="70"/>
      <c r="K968" s="23"/>
      <c r="L968" s="70"/>
      <c r="M968" s="70"/>
      <c r="N968" s="23"/>
      <c r="O968" s="23"/>
      <c r="P968" s="23"/>
      <c r="Q968" s="23"/>
      <c r="R968" s="72"/>
      <c r="S968" s="23"/>
      <c r="T968" s="23"/>
      <c r="U968" s="23"/>
      <c r="V968" s="23"/>
      <c r="W968" s="23"/>
      <c r="X968" s="23"/>
      <c r="Y968" s="23"/>
      <c r="Z968" s="23"/>
      <c r="AA968" s="23"/>
      <c r="AB968" s="23"/>
      <c r="AC968" s="23"/>
      <c r="AD968" s="23"/>
      <c r="AE968" s="23"/>
    </row>
    <row r="969" spans="1:31">
      <c r="A969" s="23"/>
      <c r="B969" s="40"/>
      <c r="C969" s="40"/>
      <c r="D969" s="23"/>
      <c r="E969" s="23"/>
      <c r="F969" s="23"/>
      <c r="G969" s="23"/>
      <c r="H969" s="40"/>
      <c r="I969" s="40"/>
      <c r="J969" s="70"/>
      <c r="K969" s="23"/>
      <c r="L969" s="70"/>
      <c r="M969" s="70"/>
      <c r="N969" s="23"/>
      <c r="O969" s="23"/>
      <c r="P969" s="23"/>
      <c r="Q969" s="23"/>
      <c r="R969" s="72"/>
      <c r="S969" s="23"/>
      <c r="T969" s="23"/>
      <c r="U969" s="23"/>
      <c r="V969" s="23"/>
      <c r="W969" s="23"/>
      <c r="X969" s="23"/>
      <c r="Y969" s="23"/>
      <c r="Z969" s="23"/>
      <c r="AA969" s="23"/>
      <c r="AB969" s="23"/>
      <c r="AC969" s="23"/>
      <c r="AD969" s="23"/>
      <c r="AE969" s="23"/>
    </row>
    <row r="970" spans="1:31">
      <c r="A970" s="23"/>
      <c r="B970" s="40"/>
      <c r="C970" s="40"/>
      <c r="D970" s="23"/>
      <c r="E970" s="23"/>
      <c r="F970" s="23"/>
      <c r="G970" s="23"/>
      <c r="H970" s="40"/>
      <c r="I970" s="40"/>
      <c r="J970" s="70"/>
      <c r="K970" s="23"/>
      <c r="L970" s="70"/>
      <c r="M970" s="70"/>
      <c r="N970" s="23"/>
      <c r="O970" s="23"/>
      <c r="P970" s="23"/>
      <c r="Q970" s="23"/>
      <c r="R970" s="72"/>
      <c r="S970" s="23"/>
      <c r="T970" s="23"/>
      <c r="U970" s="23"/>
      <c r="V970" s="23"/>
      <c r="W970" s="23"/>
      <c r="X970" s="23"/>
      <c r="Y970" s="23"/>
      <c r="Z970" s="23"/>
      <c r="AA970" s="23"/>
      <c r="AB970" s="23"/>
      <c r="AC970" s="23"/>
      <c r="AD970" s="23"/>
      <c r="AE970" s="23"/>
    </row>
    <row r="971" spans="1:31">
      <c r="A971" s="23"/>
      <c r="B971" s="40"/>
      <c r="C971" s="40"/>
      <c r="D971" s="23"/>
      <c r="E971" s="23"/>
      <c r="F971" s="23"/>
      <c r="G971" s="23"/>
      <c r="H971" s="40"/>
      <c r="I971" s="40"/>
      <c r="J971" s="70"/>
      <c r="K971" s="23"/>
      <c r="L971" s="70"/>
      <c r="M971" s="70"/>
      <c r="N971" s="23"/>
      <c r="O971" s="23"/>
      <c r="P971" s="23"/>
      <c r="Q971" s="23"/>
      <c r="R971" s="72"/>
      <c r="S971" s="23"/>
      <c r="T971" s="23"/>
      <c r="U971" s="23"/>
      <c r="V971" s="23"/>
      <c r="W971" s="23"/>
      <c r="X971" s="23"/>
      <c r="Y971" s="23"/>
      <c r="Z971" s="23"/>
      <c r="AA971" s="23"/>
      <c r="AB971" s="23"/>
      <c r="AC971" s="23"/>
      <c r="AD971" s="23"/>
      <c r="AE971" s="23"/>
    </row>
    <row r="972" spans="1:31">
      <c r="A972" s="23"/>
      <c r="B972" s="40"/>
      <c r="C972" s="40"/>
      <c r="D972" s="23"/>
      <c r="E972" s="23"/>
      <c r="F972" s="23"/>
      <c r="G972" s="23"/>
      <c r="H972" s="40"/>
      <c r="I972" s="40"/>
      <c r="J972" s="70"/>
      <c r="K972" s="23"/>
      <c r="L972" s="70"/>
      <c r="M972" s="70"/>
      <c r="N972" s="23"/>
      <c r="O972" s="23"/>
      <c r="P972" s="23"/>
      <c r="Q972" s="23"/>
      <c r="R972" s="72"/>
      <c r="S972" s="23"/>
      <c r="T972" s="23"/>
      <c r="U972" s="23"/>
      <c r="V972" s="23"/>
      <c r="W972" s="23"/>
      <c r="X972" s="23"/>
      <c r="Y972" s="23"/>
      <c r="Z972" s="23"/>
      <c r="AA972" s="23"/>
      <c r="AB972" s="23"/>
      <c r="AC972" s="23"/>
      <c r="AD972" s="23"/>
      <c r="AE972" s="23"/>
    </row>
    <row r="973" spans="1:31">
      <c r="A973" s="23"/>
      <c r="B973" s="40"/>
      <c r="C973" s="40"/>
      <c r="D973" s="23"/>
      <c r="E973" s="23"/>
      <c r="F973" s="23"/>
      <c r="G973" s="23"/>
      <c r="H973" s="40"/>
      <c r="I973" s="40"/>
      <c r="J973" s="70"/>
      <c r="K973" s="23"/>
      <c r="L973" s="70"/>
      <c r="M973" s="70"/>
      <c r="N973" s="23"/>
      <c r="O973" s="23"/>
      <c r="P973" s="23"/>
      <c r="Q973" s="23"/>
      <c r="R973" s="72"/>
      <c r="S973" s="23"/>
      <c r="T973" s="23"/>
      <c r="U973" s="23"/>
      <c r="V973" s="23"/>
      <c r="W973" s="23"/>
      <c r="X973" s="23"/>
      <c r="Y973" s="23"/>
      <c r="Z973" s="23"/>
      <c r="AA973" s="23"/>
      <c r="AB973" s="23"/>
      <c r="AC973" s="23"/>
      <c r="AD973" s="23"/>
      <c r="AE973" s="23"/>
    </row>
    <row r="974" spans="1:31">
      <c r="A974" s="23"/>
      <c r="B974" s="40"/>
      <c r="C974" s="40"/>
      <c r="D974" s="23"/>
      <c r="E974" s="23"/>
      <c r="F974" s="23"/>
      <c r="G974" s="23"/>
      <c r="H974" s="23"/>
      <c r="I974" s="40"/>
      <c r="J974" s="70"/>
      <c r="K974" s="23"/>
      <c r="L974" s="70"/>
      <c r="M974" s="70"/>
      <c r="N974" s="23"/>
      <c r="O974" s="23"/>
      <c r="P974" s="23"/>
      <c r="Q974" s="23"/>
      <c r="R974" s="72"/>
      <c r="S974" s="23"/>
      <c r="T974" s="23"/>
      <c r="U974" s="23"/>
      <c r="V974" s="23"/>
      <c r="W974" s="23"/>
      <c r="X974" s="23"/>
      <c r="Y974" s="23"/>
      <c r="Z974" s="23"/>
      <c r="AA974" s="23"/>
      <c r="AB974" s="23"/>
      <c r="AC974" s="23"/>
      <c r="AD974" s="23"/>
      <c r="AE974" s="23"/>
    </row>
    <row r="975" spans="1:31">
      <c r="A975" s="23"/>
      <c r="B975" s="40"/>
      <c r="C975" s="40"/>
      <c r="D975" s="23"/>
      <c r="E975" s="23"/>
      <c r="F975" s="23"/>
      <c r="G975" s="23"/>
      <c r="H975" s="23"/>
      <c r="I975" s="40"/>
      <c r="J975" s="70"/>
      <c r="K975" s="23"/>
      <c r="L975" s="70"/>
      <c r="M975" s="70"/>
      <c r="N975" s="23"/>
      <c r="O975" s="23"/>
      <c r="P975" s="23"/>
      <c r="Q975" s="23"/>
      <c r="R975" s="72"/>
      <c r="S975" s="23"/>
      <c r="T975" s="23"/>
      <c r="U975" s="23"/>
      <c r="V975" s="23"/>
      <c r="W975" s="23"/>
      <c r="X975" s="23"/>
      <c r="Y975" s="23"/>
      <c r="Z975" s="23"/>
      <c r="AA975" s="23"/>
      <c r="AB975" s="23"/>
      <c r="AC975" s="23"/>
      <c r="AD975" s="23"/>
      <c r="AE975" s="23"/>
    </row>
    <row r="976" spans="1:31">
      <c r="A976" s="23"/>
      <c r="B976" s="40"/>
      <c r="C976" s="40"/>
      <c r="D976" s="23"/>
      <c r="E976" s="23"/>
      <c r="F976" s="23"/>
      <c r="G976" s="23"/>
      <c r="H976" s="23"/>
      <c r="I976" s="40"/>
      <c r="J976" s="70"/>
      <c r="K976" s="23"/>
      <c r="L976" s="70"/>
      <c r="M976" s="70"/>
      <c r="N976" s="23"/>
      <c r="O976" s="23"/>
      <c r="P976" s="23"/>
      <c r="Q976" s="23"/>
      <c r="R976" s="72"/>
      <c r="S976" s="23"/>
      <c r="T976" s="23"/>
      <c r="U976" s="23"/>
      <c r="V976" s="23"/>
      <c r="W976" s="23"/>
      <c r="X976" s="23"/>
      <c r="Y976" s="23"/>
      <c r="Z976" s="23"/>
      <c r="AA976" s="23"/>
      <c r="AB976" s="23"/>
      <c r="AC976" s="23"/>
      <c r="AD976" s="23"/>
      <c r="AE976" s="23"/>
    </row>
    <row r="977" spans="1:31">
      <c r="A977" s="23"/>
      <c r="B977" s="40"/>
      <c r="C977" s="40"/>
      <c r="D977" s="23"/>
      <c r="E977" s="23"/>
      <c r="F977" s="23"/>
      <c r="G977" s="23"/>
      <c r="H977" s="23"/>
      <c r="I977" s="40"/>
      <c r="J977" s="70"/>
      <c r="K977" s="23"/>
      <c r="L977" s="70"/>
      <c r="M977" s="70"/>
      <c r="N977" s="23"/>
      <c r="O977" s="23"/>
      <c r="P977" s="23"/>
      <c r="Q977" s="23"/>
      <c r="R977" s="72"/>
      <c r="S977" s="23"/>
      <c r="T977" s="23"/>
      <c r="U977" s="23"/>
      <c r="V977" s="23"/>
      <c r="W977" s="23"/>
      <c r="X977" s="23"/>
      <c r="Y977" s="23"/>
      <c r="Z977" s="23"/>
      <c r="AA977" s="23"/>
      <c r="AB977" s="23"/>
      <c r="AC977" s="23"/>
      <c r="AD977" s="23"/>
      <c r="AE977" s="23"/>
    </row>
    <row r="978" spans="1:31">
      <c r="A978" s="23"/>
      <c r="B978" s="40"/>
      <c r="C978" s="40"/>
      <c r="D978" s="23"/>
      <c r="E978" s="23"/>
      <c r="F978" s="23"/>
      <c r="G978" s="23"/>
      <c r="H978" s="23"/>
      <c r="I978" s="40"/>
      <c r="J978" s="70"/>
      <c r="K978" s="23"/>
      <c r="L978" s="70"/>
      <c r="M978" s="70"/>
      <c r="N978" s="23"/>
      <c r="O978" s="23"/>
      <c r="P978" s="23"/>
      <c r="Q978" s="23"/>
      <c r="R978" s="72"/>
      <c r="S978" s="23"/>
      <c r="T978" s="23"/>
      <c r="U978" s="23"/>
      <c r="V978" s="23"/>
      <c r="W978" s="23"/>
      <c r="X978" s="23"/>
      <c r="Y978" s="23"/>
      <c r="Z978" s="23"/>
      <c r="AA978" s="23"/>
      <c r="AB978" s="23"/>
      <c r="AC978" s="23"/>
      <c r="AD978" s="23"/>
      <c r="AE978" s="23"/>
    </row>
    <row r="979" spans="1:31">
      <c r="A979" s="23"/>
      <c r="B979" s="40"/>
      <c r="C979" s="40"/>
      <c r="D979" s="23"/>
      <c r="E979" s="23"/>
      <c r="F979" s="23"/>
      <c r="G979" s="23"/>
      <c r="H979" s="23"/>
      <c r="I979" s="40"/>
      <c r="J979" s="70"/>
      <c r="K979" s="23"/>
      <c r="L979" s="70"/>
      <c r="M979" s="70"/>
      <c r="N979" s="23"/>
      <c r="O979" s="23"/>
      <c r="P979" s="23"/>
      <c r="Q979" s="23"/>
      <c r="R979" s="72"/>
      <c r="S979" s="23"/>
      <c r="T979" s="23"/>
      <c r="U979" s="23"/>
      <c r="V979" s="23"/>
      <c r="W979" s="23"/>
      <c r="X979" s="23"/>
      <c r="Y979" s="23"/>
      <c r="Z979" s="23"/>
      <c r="AA979" s="23"/>
      <c r="AB979" s="23"/>
      <c r="AC979" s="23"/>
      <c r="AD979" s="23"/>
      <c r="AE979" s="23"/>
    </row>
    <row r="980" spans="1:31">
      <c r="A980" s="23"/>
      <c r="B980" s="40"/>
      <c r="C980" s="40"/>
      <c r="D980" s="23"/>
      <c r="E980" s="23"/>
      <c r="F980" s="23"/>
      <c r="G980" s="23"/>
      <c r="H980" s="23"/>
      <c r="I980" s="40"/>
      <c r="J980" s="70"/>
      <c r="K980" s="23"/>
      <c r="L980" s="70"/>
      <c r="M980" s="70"/>
      <c r="N980" s="23"/>
      <c r="O980" s="23"/>
      <c r="P980" s="23"/>
      <c r="Q980" s="23"/>
      <c r="R980" s="72"/>
      <c r="S980" s="23"/>
      <c r="T980" s="23"/>
      <c r="U980" s="23"/>
      <c r="V980" s="23"/>
      <c r="W980" s="23"/>
      <c r="X980" s="23"/>
      <c r="Y980" s="23"/>
      <c r="Z980" s="23"/>
      <c r="AA980" s="23"/>
      <c r="AB980" s="23"/>
      <c r="AC980" s="23"/>
      <c r="AD980" s="23"/>
      <c r="AE980" s="23"/>
    </row>
    <row r="981" spans="1:31">
      <c r="A981" s="23"/>
      <c r="B981" s="40"/>
      <c r="C981" s="40"/>
      <c r="D981" s="23"/>
      <c r="E981" s="23"/>
      <c r="F981" s="23"/>
      <c r="G981" s="23"/>
      <c r="H981" s="23"/>
      <c r="I981" s="40"/>
      <c r="J981" s="70"/>
      <c r="K981" s="23"/>
      <c r="L981" s="70"/>
      <c r="M981" s="70"/>
      <c r="N981" s="23"/>
      <c r="O981" s="23"/>
      <c r="P981" s="23"/>
      <c r="Q981" s="23"/>
      <c r="R981" s="72"/>
      <c r="S981" s="23"/>
      <c r="T981" s="23"/>
      <c r="U981" s="23"/>
      <c r="V981" s="23"/>
      <c r="W981" s="23"/>
      <c r="X981" s="23"/>
      <c r="Y981" s="23"/>
      <c r="Z981" s="23"/>
      <c r="AA981" s="23"/>
      <c r="AB981" s="23"/>
      <c r="AC981" s="23"/>
      <c r="AD981" s="23"/>
      <c r="AE981" s="23"/>
    </row>
    <row r="982" spans="1:31">
      <c r="A982" s="23"/>
      <c r="B982" s="40"/>
      <c r="C982" s="40"/>
      <c r="D982" s="23"/>
      <c r="E982" s="23"/>
      <c r="F982" s="23"/>
      <c r="G982" s="23"/>
      <c r="H982" s="23"/>
      <c r="I982" s="40"/>
      <c r="J982" s="70"/>
      <c r="K982" s="23"/>
      <c r="L982" s="70"/>
      <c r="M982" s="70"/>
      <c r="N982" s="23"/>
      <c r="O982" s="23"/>
      <c r="P982" s="23"/>
      <c r="Q982" s="23"/>
      <c r="R982" s="72"/>
      <c r="S982" s="23"/>
      <c r="T982" s="23"/>
      <c r="U982" s="23"/>
      <c r="V982" s="23"/>
      <c r="W982" s="23"/>
      <c r="X982" s="23"/>
      <c r="Y982" s="23"/>
      <c r="Z982" s="23"/>
      <c r="AA982" s="23"/>
      <c r="AB982" s="23"/>
      <c r="AC982" s="23"/>
      <c r="AD982" s="23"/>
      <c r="AE982" s="23"/>
    </row>
    <row r="983" spans="1:31">
      <c r="A983" s="23"/>
      <c r="B983" s="40"/>
      <c r="C983" s="40"/>
      <c r="D983" s="23"/>
      <c r="E983" s="23"/>
      <c r="F983" s="23"/>
      <c r="G983" s="23"/>
      <c r="H983" s="23"/>
      <c r="I983" s="40"/>
      <c r="J983" s="70"/>
      <c r="K983" s="23"/>
      <c r="L983" s="70"/>
      <c r="M983" s="70"/>
      <c r="N983" s="23"/>
      <c r="O983" s="23"/>
      <c r="P983" s="23"/>
      <c r="Q983" s="23"/>
      <c r="R983" s="72"/>
      <c r="S983" s="23"/>
      <c r="T983" s="23"/>
      <c r="U983" s="23"/>
      <c r="V983" s="23"/>
      <c r="W983" s="23"/>
      <c r="X983" s="23"/>
      <c r="Y983" s="23"/>
      <c r="Z983" s="23"/>
      <c r="AA983" s="23"/>
      <c r="AB983" s="23"/>
      <c r="AC983" s="23"/>
      <c r="AD983" s="23"/>
      <c r="AE983" s="23"/>
    </row>
    <row r="984" spans="1:31">
      <c r="A984" s="23"/>
      <c r="B984" s="40"/>
      <c r="C984" s="40"/>
      <c r="D984" s="23"/>
      <c r="E984" s="23"/>
      <c r="F984" s="23"/>
      <c r="G984" s="23"/>
      <c r="H984" s="23"/>
      <c r="I984" s="40"/>
      <c r="J984" s="70"/>
      <c r="K984" s="23"/>
      <c r="L984" s="70"/>
      <c r="M984" s="70"/>
      <c r="N984" s="23"/>
      <c r="O984" s="23"/>
      <c r="P984" s="23"/>
      <c r="Q984" s="23"/>
      <c r="R984" s="72"/>
      <c r="S984" s="23"/>
      <c r="T984" s="23"/>
      <c r="U984" s="23"/>
      <c r="V984" s="23"/>
      <c r="W984" s="23"/>
      <c r="X984" s="23"/>
      <c r="Y984" s="23"/>
      <c r="Z984" s="23"/>
      <c r="AA984" s="23"/>
      <c r="AB984" s="23"/>
      <c r="AC984" s="23"/>
      <c r="AD984" s="23"/>
      <c r="AE984" s="23"/>
    </row>
    <row r="985" spans="1:31">
      <c r="A985" s="23"/>
      <c r="B985" s="40"/>
      <c r="C985" s="40"/>
      <c r="D985" s="23"/>
      <c r="E985" s="23"/>
      <c r="F985" s="23"/>
      <c r="G985" s="23"/>
      <c r="H985" s="23"/>
      <c r="I985" s="40"/>
      <c r="J985" s="70"/>
      <c r="K985" s="23"/>
      <c r="L985" s="70"/>
      <c r="M985" s="70"/>
      <c r="N985" s="23"/>
      <c r="O985" s="23"/>
      <c r="P985" s="23"/>
      <c r="Q985" s="23"/>
      <c r="R985" s="72"/>
      <c r="S985" s="23"/>
      <c r="T985" s="23"/>
      <c r="U985" s="23"/>
      <c r="V985" s="23"/>
      <c r="W985" s="23"/>
      <c r="X985" s="23"/>
      <c r="Y985" s="23"/>
      <c r="Z985" s="23"/>
      <c r="AA985" s="23"/>
      <c r="AB985" s="23"/>
      <c r="AC985" s="23"/>
      <c r="AD985" s="23"/>
      <c r="AE985" s="23"/>
    </row>
    <row r="986" spans="1:31" ht="12" customHeight="1">
      <c r="A986" s="23"/>
      <c r="B986" s="40"/>
      <c r="C986" s="40"/>
      <c r="D986" s="23"/>
      <c r="E986" s="23"/>
      <c r="F986" s="23"/>
      <c r="G986" s="23"/>
      <c r="H986" s="40"/>
      <c r="I986" s="40"/>
      <c r="J986" s="70"/>
      <c r="K986" s="23"/>
      <c r="L986" s="70"/>
      <c r="M986" s="70"/>
      <c r="N986" s="23"/>
      <c r="O986" s="23"/>
      <c r="P986" s="23"/>
      <c r="Q986" s="23"/>
      <c r="R986" s="72"/>
      <c r="S986" s="23"/>
      <c r="T986" s="23"/>
      <c r="U986" s="23"/>
      <c r="V986" s="23"/>
      <c r="W986" s="23"/>
      <c r="X986" s="23"/>
      <c r="Y986" s="23"/>
      <c r="Z986" s="23"/>
      <c r="AA986" s="23"/>
      <c r="AB986" s="23"/>
      <c r="AC986" s="23"/>
      <c r="AD986" s="23"/>
      <c r="AE986" s="23"/>
    </row>
    <row r="987" spans="1:31">
      <c r="A987" s="23"/>
      <c r="B987" s="40"/>
      <c r="C987" s="40"/>
      <c r="D987" s="23"/>
      <c r="E987" s="23"/>
      <c r="F987" s="23"/>
      <c r="G987" s="23"/>
      <c r="H987" s="40"/>
      <c r="I987" s="40"/>
      <c r="J987" s="70"/>
      <c r="K987" s="23"/>
      <c r="L987" s="70"/>
      <c r="M987" s="70"/>
      <c r="N987" s="23"/>
      <c r="O987" s="23"/>
      <c r="P987" s="23"/>
      <c r="Q987" s="23"/>
      <c r="R987" s="72"/>
      <c r="S987" s="23"/>
      <c r="T987" s="23"/>
      <c r="U987" s="23"/>
      <c r="V987" s="23"/>
      <c r="W987" s="23"/>
      <c r="X987" s="23"/>
      <c r="Y987" s="23"/>
      <c r="Z987" s="23"/>
      <c r="AA987" s="23"/>
      <c r="AB987" s="23"/>
      <c r="AC987" s="23"/>
      <c r="AD987" s="23"/>
      <c r="AE987" s="23"/>
    </row>
    <row r="988" spans="1:31">
      <c r="A988" s="23"/>
      <c r="B988" s="40"/>
      <c r="C988" s="40"/>
      <c r="D988" s="23"/>
      <c r="E988" s="23"/>
      <c r="F988" s="23"/>
      <c r="G988" s="23"/>
      <c r="H988" s="40"/>
      <c r="I988" s="40"/>
      <c r="J988" s="70"/>
      <c r="K988" s="23"/>
      <c r="L988" s="70"/>
      <c r="M988" s="70"/>
      <c r="N988" s="23"/>
      <c r="O988" s="23"/>
      <c r="P988" s="23"/>
      <c r="Q988" s="23"/>
      <c r="R988" s="72"/>
      <c r="S988" s="23"/>
      <c r="T988" s="23"/>
      <c r="U988" s="23"/>
      <c r="V988" s="23"/>
      <c r="W988" s="23"/>
      <c r="X988" s="23"/>
      <c r="Y988" s="23"/>
      <c r="Z988" s="23"/>
      <c r="AA988" s="23"/>
      <c r="AB988" s="23"/>
      <c r="AC988" s="23"/>
      <c r="AD988" s="23"/>
      <c r="AE988" s="23"/>
    </row>
    <row r="989" spans="1:31" ht="12" customHeight="1">
      <c r="A989" s="23"/>
      <c r="B989" s="40"/>
      <c r="C989" s="40"/>
      <c r="D989" s="23"/>
      <c r="E989" s="23"/>
      <c r="F989" s="23"/>
      <c r="G989" s="23"/>
      <c r="H989" s="40"/>
      <c r="I989" s="40"/>
      <c r="J989" s="70"/>
      <c r="K989" s="23"/>
      <c r="L989" s="70"/>
      <c r="M989" s="70"/>
      <c r="N989" s="23"/>
      <c r="O989" s="23"/>
      <c r="P989" s="23"/>
      <c r="Q989" s="23"/>
      <c r="R989" s="72"/>
      <c r="S989" s="23"/>
      <c r="T989" s="23"/>
      <c r="U989" s="23"/>
      <c r="V989" s="23"/>
      <c r="W989" s="23"/>
      <c r="X989" s="23"/>
      <c r="Y989" s="23"/>
      <c r="Z989" s="23"/>
      <c r="AA989" s="23"/>
      <c r="AB989" s="23"/>
      <c r="AC989" s="23"/>
      <c r="AD989" s="23"/>
      <c r="AE989" s="23"/>
    </row>
    <row r="990" spans="1:31">
      <c r="A990" s="23"/>
      <c r="B990" s="40"/>
      <c r="C990" s="40"/>
      <c r="D990" s="23"/>
      <c r="E990" s="23"/>
      <c r="F990" s="23"/>
      <c r="G990" s="23"/>
      <c r="H990" s="40"/>
      <c r="I990" s="40"/>
      <c r="J990" s="70"/>
      <c r="K990" s="23"/>
      <c r="L990" s="70"/>
      <c r="M990" s="70"/>
      <c r="N990" s="23"/>
      <c r="O990" s="23"/>
      <c r="P990" s="23"/>
      <c r="Q990" s="23"/>
      <c r="R990" s="72"/>
      <c r="S990" s="23"/>
      <c r="T990" s="23"/>
      <c r="U990" s="23"/>
      <c r="V990" s="23"/>
      <c r="W990" s="23"/>
      <c r="X990" s="23"/>
      <c r="Y990" s="23"/>
      <c r="Z990" s="23"/>
      <c r="AA990" s="23"/>
      <c r="AB990" s="23"/>
      <c r="AC990" s="23"/>
      <c r="AD990" s="23"/>
      <c r="AE990" s="23"/>
    </row>
    <row r="991" spans="1:31">
      <c r="A991" s="23"/>
      <c r="B991" s="40"/>
      <c r="C991" s="40"/>
      <c r="D991" s="23"/>
      <c r="E991" s="23"/>
      <c r="F991" s="23"/>
      <c r="G991" s="23"/>
      <c r="H991" s="40"/>
      <c r="I991" s="40"/>
      <c r="J991" s="70"/>
      <c r="K991" s="23"/>
      <c r="L991" s="70"/>
      <c r="M991" s="70"/>
      <c r="N991" s="23"/>
      <c r="O991" s="23"/>
      <c r="P991" s="23"/>
      <c r="Q991" s="23"/>
      <c r="R991" s="72"/>
      <c r="S991" s="23"/>
      <c r="T991" s="23"/>
      <c r="U991" s="23"/>
      <c r="V991" s="23"/>
      <c r="W991" s="23"/>
      <c r="X991" s="23"/>
      <c r="Y991" s="23"/>
      <c r="Z991" s="23"/>
      <c r="AA991" s="23"/>
      <c r="AB991" s="23"/>
      <c r="AC991" s="23"/>
      <c r="AD991" s="23"/>
      <c r="AE991" s="23"/>
    </row>
    <row r="992" spans="1:31">
      <c r="A992" s="23"/>
      <c r="B992" s="40"/>
      <c r="C992" s="40"/>
      <c r="D992" s="23"/>
      <c r="E992" s="23"/>
      <c r="F992" s="23"/>
      <c r="G992" s="23"/>
      <c r="H992" s="40"/>
      <c r="I992" s="40"/>
      <c r="J992" s="70"/>
      <c r="K992" s="23"/>
      <c r="L992" s="70"/>
      <c r="M992" s="70"/>
      <c r="N992" s="23"/>
      <c r="O992" s="23"/>
      <c r="P992" s="23"/>
      <c r="Q992" s="23"/>
      <c r="R992" s="72"/>
      <c r="S992" s="23"/>
      <c r="T992" s="23"/>
      <c r="U992" s="23"/>
      <c r="V992" s="23"/>
      <c r="W992" s="23"/>
      <c r="X992" s="23"/>
      <c r="Y992" s="23"/>
      <c r="Z992" s="23"/>
      <c r="AA992" s="23"/>
      <c r="AB992" s="23"/>
      <c r="AC992" s="23"/>
      <c r="AD992" s="23"/>
      <c r="AE992" s="23"/>
    </row>
    <row r="993" spans="1:31">
      <c r="A993" s="23"/>
      <c r="B993" s="40"/>
      <c r="C993" s="40"/>
      <c r="D993" s="23"/>
      <c r="E993" s="23"/>
      <c r="F993" s="23"/>
      <c r="G993" s="23"/>
      <c r="H993" s="23"/>
      <c r="I993" s="40"/>
      <c r="J993" s="70"/>
      <c r="K993" s="23"/>
      <c r="L993" s="70"/>
      <c r="M993" s="70"/>
      <c r="N993" s="23"/>
      <c r="O993" s="23"/>
      <c r="P993" s="23"/>
      <c r="Q993" s="23"/>
      <c r="R993" s="72"/>
      <c r="S993" s="23"/>
      <c r="T993" s="23"/>
      <c r="U993" s="23"/>
      <c r="V993" s="23"/>
      <c r="W993" s="23"/>
      <c r="X993" s="23"/>
      <c r="Y993" s="23"/>
      <c r="Z993" s="23"/>
      <c r="AA993" s="23"/>
      <c r="AB993" s="23"/>
      <c r="AC993" s="23"/>
      <c r="AD993" s="23"/>
      <c r="AE993" s="23"/>
    </row>
    <row r="994" spans="1:31" ht="12" customHeight="1">
      <c r="A994" s="23"/>
      <c r="B994" s="40"/>
      <c r="C994" s="40"/>
      <c r="D994" s="23"/>
      <c r="E994" s="23"/>
      <c r="F994" s="23"/>
      <c r="G994" s="23"/>
      <c r="H994" s="40"/>
      <c r="I994" s="40"/>
      <c r="J994" s="70"/>
      <c r="K994" s="23"/>
      <c r="L994" s="70"/>
      <c r="M994" s="70"/>
      <c r="N994" s="23"/>
      <c r="O994" s="23"/>
      <c r="P994" s="23"/>
      <c r="Q994" s="23"/>
      <c r="R994" s="72"/>
      <c r="S994" s="23"/>
      <c r="T994" s="23"/>
      <c r="U994" s="23"/>
      <c r="V994" s="23"/>
      <c r="W994" s="23"/>
      <c r="X994" s="23"/>
      <c r="Y994" s="23"/>
      <c r="Z994" s="23"/>
      <c r="AA994" s="23"/>
      <c r="AB994" s="23"/>
      <c r="AC994" s="23"/>
      <c r="AD994" s="23"/>
      <c r="AE994" s="23"/>
    </row>
    <row r="995" spans="1:31">
      <c r="A995" s="23"/>
      <c r="B995" s="40"/>
      <c r="C995" s="40"/>
      <c r="D995" s="23"/>
      <c r="E995" s="23"/>
      <c r="F995" s="23"/>
      <c r="G995" s="23"/>
      <c r="H995" s="40"/>
      <c r="I995" s="40"/>
      <c r="J995" s="70"/>
      <c r="K995" s="23"/>
      <c r="L995" s="70"/>
      <c r="M995" s="70"/>
      <c r="N995" s="23"/>
      <c r="O995" s="23"/>
      <c r="P995" s="23"/>
      <c r="Q995" s="23"/>
      <c r="R995" s="72"/>
      <c r="S995" s="23"/>
      <c r="T995" s="23"/>
      <c r="U995" s="23"/>
      <c r="V995" s="23"/>
      <c r="W995" s="23"/>
      <c r="X995" s="23"/>
      <c r="Y995" s="23"/>
      <c r="Z995" s="23"/>
      <c r="AA995" s="23"/>
      <c r="AB995" s="23"/>
      <c r="AC995" s="23"/>
      <c r="AD995" s="23"/>
      <c r="AE995" s="23"/>
    </row>
    <row r="996" spans="1:31">
      <c r="A996" s="23"/>
      <c r="B996" s="40"/>
      <c r="C996" s="40"/>
      <c r="D996" s="23"/>
      <c r="E996" s="23"/>
      <c r="F996" s="23"/>
      <c r="G996" s="23"/>
      <c r="H996" s="40"/>
      <c r="I996" s="40"/>
      <c r="J996" s="70"/>
      <c r="K996" s="23"/>
      <c r="L996" s="70"/>
      <c r="M996" s="70"/>
      <c r="N996" s="23"/>
      <c r="O996" s="23"/>
      <c r="P996" s="23"/>
      <c r="Q996" s="23"/>
      <c r="R996" s="72"/>
      <c r="S996" s="23"/>
      <c r="T996" s="23"/>
      <c r="U996" s="23"/>
      <c r="V996" s="23"/>
      <c r="W996" s="23"/>
      <c r="X996" s="23"/>
      <c r="Y996" s="23"/>
      <c r="Z996" s="23"/>
      <c r="AA996" s="23"/>
      <c r="AB996" s="23"/>
      <c r="AC996" s="23"/>
      <c r="AD996" s="23"/>
      <c r="AE996" s="23"/>
    </row>
    <row r="997" spans="1:31">
      <c r="A997" s="23"/>
      <c r="B997" s="40"/>
      <c r="C997" s="40"/>
      <c r="D997" s="23"/>
      <c r="E997" s="23"/>
      <c r="F997" s="23"/>
      <c r="G997" s="23"/>
      <c r="H997" s="40"/>
      <c r="I997" s="40"/>
      <c r="J997" s="70"/>
      <c r="K997" s="23"/>
      <c r="L997" s="70"/>
      <c r="M997" s="70"/>
      <c r="N997" s="23"/>
      <c r="O997" s="23"/>
      <c r="P997" s="23"/>
      <c r="Q997" s="23"/>
      <c r="R997" s="72"/>
      <c r="S997" s="23"/>
      <c r="T997" s="23"/>
      <c r="U997" s="23"/>
      <c r="V997" s="23"/>
      <c r="W997" s="23"/>
      <c r="X997" s="23"/>
      <c r="Y997" s="23"/>
      <c r="Z997" s="23"/>
      <c r="AA997" s="23"/>
      <c r="AB997" s="23"/>
      <c r="AC997" s="23"/>
      <c r="AD997" s="23"/>
      <c r="AE997" s="23"/>
    </row>
    <row r="998" spans="1:31">
      <c r="A998" s="23"/>
      <c r="B998" s="40"/>
      <c r="C998" s="40"/>
      <c r="D998" s="23"/>
      <c r="E998" s="23"/>
      <c r="F998" s="23"/>
      <c r="G998" s="23"/>
      <c r="H998" s="40"/>
      <c r="I998" s="40"/>
      <c r="J998" s="70"/>
      <c r="K998" s="23"/>
      <c r="L998" s="70"/>
      <c r="M998" s="70"/>
      <c r="N998" s="23"/>
      <c r="O998" s="23"/>
      <c r="P998" s="23"/>
      <c r="Q998" s="23"/>
      <c r="R998" s="72"/>
      <c r="S998" s="23"/>
      <c r="T998" s="23"/>
      <c r="U998" s="23"/>
      <c r="V998" s="23"/>
      <c r="W998" s="23"/>
      <c r="X998" s="23"/>
      <c r="Y998" s="23"/>
      <c r="Z998" s="23"/>
      <c r="AA998" s="23"/>
      <c r="AB998" s="23"/>
      <c r="AC998" s="23"/>
      <c r="AD998" s="23"/>
      <c r="AE998" s="23"/>
    </row>
    <row r="999" spans="1:31">
      <c r="A999" s="23"/>
      <c r="B999" s="40"/>
      <c r="C999" s="40"/>
      <c r="D999" s="23"/>
      <c r="E999" s="23"/>
      <c r="F999" s="23"/>
      <c r="G999" s="23"/>
      <c r="H999" s="40"/>
      <c r="I999" s="40"/>
      <c r="J999" s="70"/>
      <c r="K999" s="23"/>
      <c r="L999" s="70"/>
      <c r="M999" s="70"/>
      <c r="N999" s="23"/>
      <c r="O999" s="23"/>
      <c r="P999" s="23"/>
      <c r="Q999" s="23"/>
      <c r="R999" s="72"/>
      <c r="S999" s="23"/>
      <c r="T999" s="23"/>
      <c r="U999" s="23"/>
      <c r="V999" s="23"/>
      <c r="W999" s="23"/>
      <c r="X999" s="23"/>
      <c r="Y999" s="23"/>
      <c r="Z999" s="23"/>
      <c r="AA999" s="23"/>
      <c r="AB999" s="23"/>
      <c r="AC999" s="23"/>
      <c r="AD999" s="23"/>
      <c r="AE999" s="23"/>
    </row>
    <row r="1000" spans="1:31">
      <c r="A1000" s="23"/>
      <c r="B1000" s="40"/>
      <c r="C1000" s="40"/>
      <c r="D1000" s="23"/>
      <c r="E1000" s="23"/>
      <c r="F1000" s="23"/>
      <c r="G1000" s="23"/>
      <c r="H1000" s="23"/>
      <c r="I1000" s="40"/>
      <c r="J1000" s="70"/>
      <c r="K1000" s="23"/>
      <c r="L1000" s="70"/>
      <c r="M1000" s="70"/>
      <c r="N1000" s="23"/>
      <c r="O1000" s="23"/>
      <c r="P1000" s="23"/>
      <c r="Q1000" s="23"/>
      <c r="R1000" s="72"/>
      <c r="S1000" s="23"/>
      <c r="T1000" s="23"/>
      <c r="U1000" s="23"/>
      <c r="V1000" s="23"/>
      <c r="W1000" s="23"/>
      <c r="X1000" s="23"/>
      <c r="Y1000" s="23"/>
      <c r="Z1000" s="23"/>
      <c r="AA1000" s="23"/>
      <c r="AB1000" s="23"/>
      <c r="AC1000" s="23"/>
      <c r="AD1000" s="23"/>
      <c r="AE1000" s="23"/>
    </row>
    <row r="1001" spans="1:31">
      <c r="A1001" s="23"/>
      <c r="B1001" s="40"/>
      <c r="C1001" s="40"/>
      <c r="D1001" s="23"/>
      <c r="E1001" s="23"/>
      <c r="F1001" s="23"/>
      <c r="G1001" s="23"/>
      <c r="H1001" s="23"/>
      <c r="I1001" s="40"/>
      <c r="J1001" s="70"/>
      <c r="K1001" s="23"/>
      <c r="L1001" s="70"/>
      <c r="M1001" s="70"/>
      <c r="N1001" s="23"/>
      <c r="O1001" s="23"/>
      <c r="P1001" s="23"/>
      <c r="Q1001" s="23"/>
      <c r="R1001" s="72"/>
      <c r="S1001" s="23"/>
      <c r="T1001" s="23"/>
      <c r="U1001" s="23"/>
      <c r="V1001" s="23"/>
      <c r="W1001" s="23"/>
      <c r="X1001" s="23"/>
      <c r="Y1001" s="23"/>
      <c r="Z1001" s="23"/>
      <c r="AA1001" s="23"/>
      <c r="AB1001" s="23"/>
      <c r="AC1001" s="23"/>
      <c r="AD1001" s="23"/>
      <c r="AE1001" s="23"/>
    </row>
    <row r="1002" spans="1:31">
      <c r="A1002" s="23"/>
      <c r="B1002" s="40"/>
      <c r="C1002" s="40"/>
      <c r="D1002" s="23"/>
      <c r="E1002" s="23"/>
      <c r="F1002" s="23"/>
      <c r="G1002" s="23"/>
      <c r="H1002" s="23"/>
      <c r="I1002" s="40"/>
      <c r="J1002" s="70"/>
      <c r="K1002" s="23"/>
      <c r="L1002" s="70"/>
      <c r="M1002" s="70"/>
      <c r="N1002" s="23"/>
      <c r="O1002" s="23"/>
      <c r="P1002" s="23"/>
      <c r="Q1002" s="23"/>
      <c r="R1002" s="72"/>
      <c r="S1002" s="23"/>
      <c r="T1002" s="23"/>
      <c r="U1002" s="23"/>
      <c r="V1002" s="23"/>
      <c r="W1002" s="23"/>
      <c r="X1002" s="23"/>
      <c r="Y1002" s="23"/>
      <c r="Z1002" s="23"/>
      <c r="AA1002" s="23"/>
      <c r="AB1002" s="23"/>
      <c r="AC1002" s="23"/>
      <c r="AD1002" s="23"/>
      <c r="AE1002" s="23"/>
    </row>
    <row r="1003" spans="1:31">
      <c r="A1003" s="23"/>
      <c r="B1003" s="40"/>
      <c r="C1003" s="40"/>
      <c r="D1003" s="23"/>
      <c r="E1003" s="23"/>
      <c r="F1003" s="23"/>
      <c r="G1003" s="23"/>
      <c r="H1003" s="23"/>
      <c r="I1003" s="40"/>
      <c r="J1003" s="70"/>
      <c r="K1003" s="23"/>
      <c r="L1003" s="70"/>
      <c r="M1003" s="70"/>
      <c r="N1003" s="23"/>
      <c r="O1003" s="23"/>
      <c r="P1003" s="23"/>
      <c r="Q1003" s="23"/>
      <c r="R1003" s="72"/>
      <c r="S1003" s="23"/>
      <c r="T1003" s="23"/>
      <c r="U1003" s="23"/>
      <c r="V1003" s="23"/>
      <c r="W1003" s="23"/>
      <c r="X1003" s="23"/>
      <c r="Y1003" s="23"/>
      <c r="Z1003" s="23"/>
      <c r="AA1003" s="23"/>
      <c r="AB1003" s="23"/>
      <c r="AC1003" s="23"/>
      <c r="AD1003" s="23"/>
      <c r="AE1003" s="23"/>
    </row>
    <row r="1004" spans="1:31">
      <c r="A1004" s="23"/>
      <c r="B1004" s="40"/>
      <c r="C1004" s="40"/>
      <c r="D1004" s="23"/>
      <c r="E1004" s="23"/>
      <c r="F1004" s="23"/>
      <c r="G1004" s="23"/>
      <c r="H1004" s="23"/>
      <c r="I1004" s="40"/>
      <c r="J1004" s="70"/>
      <c r="K1004" s="23"/>
      <c r="L1004" s="70"/>
      <c r="M1004" s="70"/>
      <c r="N1004" s="23"/>
      <c r="O1004" s="23"/>
      <c r="P1004" s="23"/>
      <c r="Q1004" s="23"/>
      <c r="R1004" s="72"/>
      <c r="S1004" s="23"/>
      <c r="T1004" s="23"/>
      <c r="U1004" s="23"/>
      <c r="V1004" s="23"/>
      <c r="W1004" s="23"/>
      <c r="X1004" s="23"/>
      <c r="Y1004" s="23"/>
      <c r="Z1004" s="23"/>
      <c r="AA1004" s="23"/>
      <c r="AB1004" s="23"/>
      <c r="AC1004" s="23"/>
      <c r="AD1004" s="23"/>
      <c r="AE1004" s="23"/>
    </row>
    <row r="1005" spans="1:31" ht="12" customHeight="1">
      <c r="A1005" s="23"/>
      <c r="B1005" s="40"/>
      <c r="C1005" s="40"/>
      <c r="D1005" s="23"/>
      <c r="E1005" s="23"/>
      <c r="F1005" s="23"/>
      <c r="G1005" s="23"/>
      <c r="H1005" s="40"/>
      <c r="I1005" s="40"/>
      <c r="J1005" s="70"/>
      <c r="K1005" s="23"/>
      <c r="L1005" s="70"/>
      <c r="M1005" s="70"/>
      <c r="N1005" s="23"/>
      <c r="O1005" s="23"/>
      <c r="P1005" s="23"/>
      <c r="Q1005" s="23"/>
      <c r="R1005" s="72"/>
      <c r="S1005" s="23"/>
      <c r="T1005" s="23"/>
      <c r="U1005" s="23"/>
      <c r="V1005" s="23"/>
      <c r="W1005" s="23"/>
      <c r="X1005" s="23"/>
      <c r="Y1005" s="23"/>
      <c r="Z1005" s="23"/>
      <c r="AA1005" s="23"/>
      <c r="AB1005" s="23"/>
      <c r="AC1005" s="23"/>
      <c r="AD1005" s="23"/>
      <c r="AE1005" s="23"/>
    </row>
    <row r="1006" spans="1:31">
      <c r="A1006" s="23"/>
      <c r="B1006" s="40"/>
      <c r="C1006" s="40"/>
      <c r="D1006" s="23"/>
      <c r="E1006" s="23"/>
      <c r="F1006" s="23"/>
      <c r="G1006" s="23"/>
      <c r="H1006" s="40"/>
      <c r="I1006" s="40"/>
      <c r="J1006" s="70"/>
      <c r="K1006" s="23"/>
      <c r="L1006" s="70"/>
      <c r="M1006" s="70"/>
      <c r="N1006" s="23"/>
      <c r="O1006" s="23"/>
      <c r="P1006" s="23"/>
      <c r="Q1006" s="23"/>
      <c r="R1006" s="72"/>
      <c r="S1006" s="23"/>
      <c r="T1006" s="23"/>
      <c r="U1006" s="23"/>
      <c r="V1006" s="23"/>
      <c r="W1006" s="23"/>
      <c r="X1006" s="23"/>
      <c r="Y1006" s="23"/>
      <c r="Z1006" s="23"/>
      <c r="AA1006" s="23"/>
      <c r="AB1006" s="23"/>
      <c r="AC1006" s="23"/>
      <c r="AD1006" s="23"/>
      <c r="AE1006" s="23"/>
    </row>
    <row r="1007" spans="1:31">
      <c r="A1007" s="23"/>
      <c r="B1007" s="40"/>
      <c r="C1007" s="40"/>
      <c r="D1007" s="23"/>
      <c r="E1007" s="23"/>
      <c r="F1007" s="23"/>
      <c r="G1007" s="23"/>
      <c r="H1007" s="40"/>
      <c r="I1007" s="40"/>
      <c r="J1007" s="70"/>
      <c r="K1007" s="23"/>
      <c r="L1007" s="70"/>
      <c r="M1007" s="70"/>
      <c r="N1007" s="23"/>
      <c r="O1007" s="23"/>
      <c r="P1007" s="23"/>
      <c r="Q1007" s="23"/>
      <c r="R1007" s="72"/>
      <c r="S1007" s="23"/>
      <c r="T1007" s="23"/>
      <c r="U1007" s="23"/>
      <c r="V1007" s="23"/>
      <c r="W1007" s="23"/>
      <c r="X1007" s="23"/>
      <c r="Y1007" s="23"/>
      <c r="Z1007" s="23"/>
      <c r="AA1007" s="23"/>
      <c r="AB1007" s="23"/>
      <c r="AC1007" s="23"/>
      <c r="AD1007" s="23"/>
      <c r="AE1007" s="23"/>
    </row>
    <row r="1008" spans="1:31" ht="12" customHeight="1">
      <c r="A1008" s="23"/>
      <c r="B1008" s="40"/>
      <c r="C1008" s="40"/>
      <c r="D1008" s="23"/>
      <c r="E1008" s="23"/>
      <c r="F1008" s="23"/>
      <c r="G1008" s="23"/>
      <c r="H1008" s="40"/>
      <c r="I1008" s="40"/>
      <c r="J1008" s="70"/>
      <c r="K1008" s="23"/>
      <c r="L1008" s="70"/>
      <c r="M1008" s="70"/>
      <c r="N1008" s="23"/>
      <c r="O1008" s="23"/>
      <c r="P1008" s="23"/>
      <c r="Q1008" s="23"/>
      <c r="R1008" s="72"/>
      <c r="S1008" s="23"/>
      <c r="T1008" s="23"/>
      <c r="U1008" s="23"/>
      <c r="V1008" s="23"/>
      <c r="W1008" s="23"/>
      <c r="X1008" s="23"/>
      <c r="Y1008" s="23"/>
      <c r="Z1008" s="23"/>
      <c r="AA1008" s="23"/>
      <c r="AB1008" s="23"/>
      <c r="AC1008" s="23"/>
      <c r="AD1008" s="23"/>
      <c r="AE1008" s="23"/>
    </row>
    <row r="1009" spans="1:31">
      <c r="A1009" s="23"/>
      <c r="B1009" s="40"/>
      <c r="C1009" s="40"/>
      <c r="D1009" s="23"/>
      <c r="E1009" s="23"/>
      <c r="F1009" s="23"/>
      <c r="G1009" s="23"/>
      <c r="H1009" s="40"/>
      <c r="I1009" s="40"/>
      <c r="J1009" s="70"/>
      <c r="K1009" s="23"/>
      <c r="L1009" s="70"/>
      <c r="M1009" s="70"/>
      <c r="N1009" s="23"/>
      <c r="O1009" s="23"/>
      <c r="P1009" s="23"/>
      <c r="Q1009" s="23"/>
      <c r="R1009" s="72"/>
      <c r="S1009" s="23"/>
      <c r="T1009" s="23"/>
      <c r="U1009" s="23"/>
      <c r="V1009" s="23"/>
      <c r="W1009" s="23"/>
      <c r="X1009" s="23"/>
      <c r="Y1009" s="23"/>
      <c r="Z1009" s="23"/>
      <c r="AA1009" s="23"/>
      <c r="AB1009" s="23"/>
      <c r="AC1009" s="23"/>
      <c r="AD1009" s="23"/>
      <c r="AE1009" s="23"/>
    </row>
    <row r="1010" spans="1:31">
      <c r="A1010" s="23"/>
      <c r="B1010" s="40"/>
      <c r="C1010" s="40"/>
      <c r="D1010" s="23"/>
      <c r="E1010" s="23"/>
      <c r="F1010" s="23"/>
      <c r="G1010" s="23"/>
      <c r="H1010" s="40"/>
      <c r="I1010" s="40"/>
      <c r="J1010" s="70"/>
      <c r="K1010" s="23"/>
      <c r="L1010" s="70"/>
      <c r="M1010" s="70"/>
      <c r="N1010" s="23"/>
      <c r="O1010" s="23"/>
      <c r="P1010" s="23"/>
      <c r="Q1010" s="23"/>
      <c r="R1010" s="72"/>
      <c r="S1010" s="23"/>
      <c r="T1010" s="23"/>
      <c r="U1010" s="23"/>
      <c r="V1010" s="23"/>
      <c r="W1010" s="23"/>
      <c r="X1010" s="23"/>
      <c r="Y1010" s="23"/>
      <c r="Z1010" s="23"/>
      <c r="AA1010" s="23"/>
      <c r="AB1010" s="23"/>
      <c r="AC1010" s="23"/>
      <c r="AD1010" s="23"/>
      <c r="AE1010" s="23"/>
    </row>
    <row r="1011" spans="1:31">
      <c r="A1011" s="23"/>
      <c r="B1011" s="40"/>
      <c r="C1011" s="40"/>
      <c r="D1011" s="23"/>
      <c r="E1011" s="23"/>
      <c r="F1011" s="23"/>
      <c r="G1011" s="23"/>
      <c r="H1011" s="40"/>
      <c r="I1011" s="40"/>
      <c r="J1011" s="70"/>
      <c r="K1011" s="23"/>
      <c r="L1011" s="70"/>
      <c r="M1011" s="70"/>
      <c r="N1011" s="23"/>
      <c r="O1011" s="23"/>
      <c r="P1011" s="23"/>
      <c r="Q1011" s="23"/>
      <c r="R1011" s="72"/>
      <c r="S1011" s="23"/>
      <c r="T1011" s="23"/>
      <c r="U1011" s="23"/>
      <c r="V1011" s="23"/>
      <c r="W1011" s="23"/>
      <c r="X1011" s="23"/>
      <c r="Y1011" s="23"/>
      <c r="Z1011" s="23"/>
      <c r="AA1011" s="23"/>
      <c r="AB1011" s="23"/>
      <c r="AC1011" s="23"/>
      <c r="AD1011" s="23"/>
      <c r="AE1011" s="23"/>
    </row>
    <row r="1012" spans="1:31">
      <c r="A1012" s="23"/>
      <c r="B1012" s="40"/>
      <c r="C1012" s="40"/>
      <c r="D1012" s="23"/>
      <c r="E1012" s="23"/>
      <c r="F1012" s="23"/>
      <c r="G1012" s="23"/>
      <c r="H1012" s="23"/>
      <c r="I1012" s="40"/>
      <c r="J1012" s="70"/>
      <c r="K1012" s="23"/>
      <c r="L1012" s="70"/>
      <c r="M1012" s="70"/>
      <c r="N1012" s="23"/>
      <c r="O1012" s="23"/>
      <c r="P1012" s="23"/>
      <c r="Q1012" s="23"/>
      <c r="R1012" s="72"/>
      <c r="S1012" s="23"/>
      <c r="T1012" s="23"/>
      <c r="U1012" s="23"/>
      <c r="V1012" s="23"/>
      <c r="W1012" s="23"/>
      <c r="X1012" s="23"/>
      <c r="Y1012" s="23"/>
      <c r="Z1012" s="23"/>
      <c r="AA1012" s="23"/>
      <c r="AB1012" s="23"/>
      <c r="AC1012" s="23"/>
      <c r="AD1012" s="23"/>
      <c r="AE1012" s="23"/>
    </row>
    <row r="1013" spans="1:31" ht="12" customHeight="1">
      <c r="A1013" s="23"/>
      <c r="B1013" s="40"/>
      <c r="C1013" s="40"/>
      <c r="D1013" s="23"/>
      <c r="E1013" s="23"/>
      <c r="F1013" s="23"/>
      <c r="G1013" s="23"/>
      <c r="H1013" s="40"/>
      <c r="I1013" s="40"/>
      <c r="J1013" s="70"/>
      <c r="K1013" s="23"/>
      <c r="L1013" s="70"/>
      <c r="M1013" s="70"/>
      <c r="N1013" s="23"/>
      <c r="O1013" s="23"/>
      <c r="P1013" s="23"/>
      <c r="Q1013" s="23"/>
      <c r="R1013" s="72"/>
      <c r="S1013" s="23"/>
      <c r="T1013" s="23"/>
      <c r="U1013" s="23"/>
      <c r="V1013" s="23"/>
      <c r="W1013" s="23"/>
      <c r="X1013" s="23"/>
      <c r="Y1013" s="23"/>
      <c r="Z1013" s="23"/>
      <c r="AA1013" s="23"/>
      <c r="AB1013" s="23"/>
      <c r="AC1013" s="23"/>
      <c r="AD1013" s="23"/>
      <c r="AE1013" s="23"/>
    </row>
    <row r="1014" spans="1:31">
      <c r="A1014" s="23"/>
      <c r="B1014" s="40"/>
      <c r="C1014" s="40"/>
      <c r="D1014" s="23"/>
      <c r="E1014" s="23"/>
      <c r="F1014" s="23"/>
      <c r="G1014" s="23"/>
      <c r="H1014" s="40"/>
      <c r="I1014" s="40"/>
      <c r="J1014" s="70"/>
      <c r="K1014" s="23"/>
      <c r="L1014" s="70"/>
      <c r="M1014" s="70"/>
      <c r="N1014" s="23"/>
      <c r="O1014" s="23"/>
      <c r="P1014" s="23"/>
      <c r="Q1014" s="23"/>
      <c r="R1014" s="72"/>
      <c r="S1014" s="23"/>
      <c r="T1014" s="23"/>
      <c r="U1014" s="23"/>
      <c r="V1014" s="23"/>
      <c r="W1014" s="23"/>
      <c r="X1014" s="23"/>
      <c r="Y1014" s="23"/>
      <c r="Z1014" s="23"/>
      <c r="AA1014" s="23"/>
      <c r="AB1014" s="23"/>
      <c r="AC1014" s="23"/>
      <c r="AD1014" s="23"/>
      <c r="AE1014" s="23"/>
    </row>
    <row r="1015" spans="1:31">
      <c r="A1015" s="23"/>
      <c r="B1015" s="40"/>
      <c r="C1015" s="40"/>
      <c r="D1015" s="23"/>
      <c r="E1015" s="23"/>
      <c r="F1015" s="23"/>
      <c r="G1015" s="23"/>
      <c r="H1015" s="40"/>
      <c r="I1015" s="40"/>
      <c r="J1015" s="70"/>
      <c r="K1015" s="23"/>
      <c r="L1015" s="70"/>
      <c r="M1015" s="70"/>
      <c r="N1015" s="23"/>
      <c r="O1015" s="23"/>
      <c r="P1015" s="23"/>
      <c r="Q1015" s="23"/>
      <c r="R1015" s="72"/>
      <c r="S1015" s="23"/>
      <c r="T1015" s="23"/>
      <c r="U1015" s="23"/>
      <c r="V1015" s="23"/>
      <c r="W1015" s="23"/>
      <c r="X1015" s="23"/>
      <c r="Y1015" s="23"/>
      <c r="Z1015" s="23"/>
      <c r="AA1015" s="23"/>
      <c r="AB1015" s="23"/>
      <c r="AC1015" s="23"/>
      <c r="AD1015" s="23"/>
      <c r="AE1015" s="23"/>
    </row>
    <row r="1016" spans="1:31">
      <c r="A1016" s="23"/>
      <c r="B1016" s="40"/>
      <c r="C1016" s="40"/>
      <c r="D1016" s="23"/>
      <c r="E1016" s="23"/>
      <c r="F1016" s="23"/>
      <c r="G1016" s="23"/>
      <c r="H1016" s="40"/>
      <c r="I1016" s="40"/>
      <c r="J1016" s="70"/>
      <c r="K1016" s="23"/>
      <c r="L1016" s="70"/>
      <c r="M1016" s="70"/>
      <c r="N1016" s="23"/>
      <c r="O1016" s="23"/>
      <c r="P1016" s="23"/>
      <c r="Q1016" s="23"/>
      <c r="R1016" s="72"/>
      <c r="S1016" s="23"/>
      <c r="T1016" s="23"/>
      <c r="U1016" s="23"/>
      <c r="V1016" s="23"/>
      <c r="W1016" s="23"/>
      <c r="X1016" s="23"/>
      <c r="Y1016" s="23"/>
      <c r="Z1016" s="23"/>
      <c r="AA1016" s="23"/>
      <c r="AB1016" s="23"/>
      <c r="AC1016" s="23"/>
      <c r="AD1016" s="23"/>
      <c r="AE1016" s="23"/>
    </row>
    <row r="1017" spans="1:31">
      <c r="A1017" s="23"/>
      <c r="B1017" s="40"/>
      <c r="C1017" s="40"/>
      <c r="D1017" s="23"/>
      <c r="E1017" s="23"/>
      <c r="F1017" s="23"/>
      <c r="G1017" s="23"/>
      <c r="H1017" s="40"/>
      <c r="I1017" s="40"/>
      <c r="J1017" s="70"/>
      <c r="K1017" s="23"/>
      <c r="L1017" s="70"/>
      <c r="M1017" s="70"/>
      <c r="N1017" s="23"/>
      <c r="O1017" s="23"/>
      <c r="P1017" s="23"/>
      <c r="Q1017" s="23"/>
      <c r="R1017" s="72"/>
      <c r="S1017" s="23"/>
      <c r="T1017" s="23"/>
      <c r="U1017" s="23"/>
      <c r="V1017" s="23"/>
      <c r="W1017" s="23"/>
      <c r="X1017" s="23"/>
      <c r="Y1017" s="23"/>
      <c r="Z1017" s="23"/>
      <c r="AA1017" s="23"/>
      <c r="AB1017" s="23"/>
      <c r="AC1017" s="23"/>
      <c r="AD1017" s="23"/>
      <c r="AE1017" s="23"/>
    </row>
    <row r="1018" spans="1:31">
      <c r="A1018" s="23"/>
      <c r="B1018" s="40"/>
      <c r="C1018" s="40"/>
      <c r="D1018" s="23"/>
      <c r="E1018" s="23"/>
      <c r="F1018" s="23"/>
      <c r="G1018" s="23"/>
      <c r="H1018" s="40"/>
      <c r="I1018" s="40"/>
      <c r="J1018" s="70"/>
      <c r="K1018" s="23"/>
      <c r="L1018" s="70"/>
      <c r="M1018" s="70"/>
      <c r="N1018" s="23"/>
      <c r="O1018" s="23"/>
      <c r="P1018" s="23"/>
      <c r="Q1018" s="23"/>
      <c r="R1018" s="72"/>
      <c r="S1018" s="23"/>
      <c r="T1018" s="23"/>
      <c r="U1018" s="23"/>
      <c r="V1018" s="23"/>
      <c r="W1018" s="23"/>
      <c r="X1018" s="23"/>
      <c r="Y1018" s="23"/>
      <c r="Z1018" s="23"/>
      <c r="AA1018" s="23"/>
      <c r="AB1018" s="23"/>
      <c r="AC1018" s="23"/>
      <c r="AD1018" s="23"/>
      <c r="AE1018" s="23"/>
    </row>
    <row r="1019" spans="1:31">
      <c r="A1019" s="23"/>
      <c r="B1019" s="40"/>
      <c r="C1019" s="40"/>
      <c r="D1019" s="23"/>
      <c r="E1019" s="23"/>
      <c r="F1019" s="23"/>
      <c r="G1019" s="23"/>
      <c r="H1019" s="23"/>
      <c r="I1019" s="40"/>
      <c r="J1019" s="70"/>
      <c r="K1019" s="23"/>
      <c r="L1019" s="70"/>
      <c r="M1019" s="70"/>
      <c r="N1019" s="23"/>
      <c r="O1019" s="23"/>
      <c r="P1019" s="23"/>
      <c r="Q1019" s="23"/>
      <c r="R1019" s="72"/>
      <c r="S1019" s="23"/>
      <c r="T1019" s="23"/>
      <c r="U1019" s="23"/>
      <c r="V1019" s="23"/>
      <c r="W1019" s="23"/>
      <c r="X1019" s="23"/>
      <c r="Y1019" s="23"/>
      <c r="Z1019" s="23"/>
      <c r="AA1019" s="23"/>
      <c r="AB1019" s="23"/>
      <c r="AC1019" s="23"/>
      <c r="AD1019" s="23"/>
      <c r="AE1019" s="23"/>
    </row>
    <row r="1020" spans="1:31">
      <c r="A1020" s="23"/>
      <c r="B1020" s="40"/>
      <c r="C1020" s="40"/>
      <c r="D1020" s="23"/>
      <c r="E1020" s="23"/>
      <c r="F1020" s="23"/>
      <c r="G1020" s="23"/>
      <c r="H1020" s="23"/>
      <c r="I1020" s="40"/>
      <c r="J1020" s="70"/>
      <c r="K1020" s="23"/>
      <c r="L1020" s="70"/>
      <c r="M1020" s="70"/>
      <c r="N1020" s="23"/>
      <c r="O1020" s="23"/>
      <c r="P1020" s="23"/>
      <c r="Q1020" s="23"/>
      <c r="R1020" s="72"/>
      <c r="S1020" s="23"/>
      <c r="T1020" s="23"/>
      <c r="U1020" s="23"/>
      <c r="V1020" s="23"/>
      <c r="W1020" s="23"/>
      <c r="X1020" s="23"/>
      <c r="Y1020" s="23"/>
      <c r="Z1020" s="23"/>
      <c r="AA1020" s="23"/>
      <c r="AB1020" s="23"/>
      <c r="AC1020" s="23"/>
      <c r="AD1020" s="23"/>
      <c r="AE1020" s="23"/>
    </row>
    <row r="1021" spans="1:31">
      <c r="A1021" s="23"/>
      <c r="B1021" s="40"/>
      <c r="C1021" s="40"/>
      <c r="D1021" s="23"/>
      <c r="E1021" s="23"/>
      <c r="F1021" s="23"/>
      <c r="G1021" s="23"/>
      <c r="H1021" s="23"/>
      <c r="I1021" s="40"/>
      <c r="J1021" s="70"/>
      <c r="K1021" s="23"/>
      <c r="L1021" s="70"/>
      <c r="M1021" s="70"/>
      <c r="N1021" s="23"/>
      <c r="O1021" s="23"/>
      <c r="P1021" s="23"/>
      <c r="Q1021" s="23"/>
      <c r="R1021" s="72"/>
      <c r="S1021" s="23"/>
      <c r="T1021" s="23"/>
      <c r="U1021" s="23"/>
      <c r="V1021" s="23"/>
      <c r="W1021" s="23"/>
      <c r="X1021" s="23"/>
      <c r="Y1021" s="23"/>
      <c r="Z1021" s="23"/>
      <c r="AA1021" s="23"/>
      <c r="AB1021" s="23"/>
      <c r="AC1021" s="23"/>
      <c r="AD1021" s="23"/>
      <c r="AE1021" s="23"/>
    </row>
    <row r="1022" spans="1:31">
      <c r="A1022" s="23"/>
      <c r="B1022" s="40"/>
      <c r="C1022" s="40"/>
      <c r="D1022" s="23"/>
      <c r="E1022" s="23"/>
      <c r="F1022" s="23"/>
      <c r="G1022" s="23"/>
      <c r="H1022" s="23"/>
      <c r="I1022" s="40"/>
      <c r="J1022" s="70"/>
      <c r="K1022" s="23"/>
      <c r="L1022" s="70"/>
      <c r="M1022" s="70"/>
      <c r="N1022" s="23"/>
      <c r="O1022" s="23"/>
      <c r="P1022" s="23"/>
      <c r="Q1022" s="23"/>
      <c r="R1022" s="72"/>
      <c r="S1022" s="23"/>
      <c r="T1022" s="23"/>
      <c r="U1022" s="23"/>
      <c r="V1022" s="23"/>
      <c r="W1022" s="23"/>
      <c r="X1022" s="23"/>
      <c r="Y1022" s="23"/>
      <c r="Z1022" s="23"/>
      <c r="AA1022" s="23"/>
      <c r="AB1022" s="23"/>
      <c r="AC1022" s="23"/>
      <c r="AD1022" s="23"/>
      <c r="AE1022" s="23"/>
    </row>
    <row r="1023" spans="1:31">
      <c r="A1023" s="23"/>
      <c r="B1023" s="40"/>
      <c r="C1023" s="40"/>
      <c r="D1023" s="23"/>
      <c r="E1023" s="23"/>
      <c r="F1023" s="23"/>
      <c r="G1023" s="23"/>
      <c r="H1023" s="23"/>
      <c r="I1023" s="40"/>
      <c r="J1023" s="70"/>
      <c r="K1023" s="23"/>
      <c r="L1023" s="70"/>
      <c r="M1023" s="70"/>
      <c r="N1023" s="23"/>
      <c r="O1023" s="23"/>
      <c r="P1023" s="23"/>
      <c r="Q1023" s="23"/>
      <c r="R1023" s="72"/>
      <c r="S1023" s="23"/>
      <c r="T1023" s="23"/>
      <c r="U1023" s="23"/>
      <c r="V1023" s="23"/>
      <c r="W1023" s="23"/>
      <c r="X1023" s="23"/>
      <c r="Y1023" s="23"/>
      <c r="Z1023" s="23"/>
      <c r="AA1023" s="23"/>
      <c r="AB1023" s="23"/>
      <c r="AC1023" s="23"/>
      <c r="AD1023" s="23"/>
      <c r="AE1023" s="23"/>
    </row>
    <row r="1024" spans="1:31" ht="12" customHeight="1">
      <c r="A1024" s="23"/>
      <c r="B1024" s="40"/>
      <c r="C1024" s="40"/>
      <c r="D1024" s="23"/>
      <c r="E1024" s="23"/>
      <c r="F1024" s="23"/>
      <c r="G1024" s="23"/>
      <c r="H1024" s="23"/>
      <c r="I1024" s="40"/>
      <c r="J1024" s="70"/>
      <c r="K1024" s="23"/>
      <c r="L1024" s="70"/>
      <c r="M1024" s="70"/>
      <c r="N1024" s="23"/>
      <c r="O1024" s="23"/>
      <c r="P1024" s="23"/>
      <c r="Q1024" s="23"/>
      <c r="R1024" s="72"/>
      <c r="S1024" s="23"/>
      <c r="T1024" s="23"/>
      <c r="U1024" s="23"/>
      <c r="V1024" s="23"/>
      <c r="W1024" s="23"/>
      <c r="X1024" s="23"/>
      <c r="Y1024" s="23"/>
      <c r="Z1024" s="23"/>
      <c r="AA1024" s="23"/>
      <c r="AB1024" s="23"/>
      <c r="AC1024" s="23"/>
      <c r="AD1024" s="23"/>
      <c r="AE1024" s="23"/>
    </row>
    <row r="1025" spans="1:31">
      <c r="A1025" s="23"/>
      <c r="B1025" s="40"/>
      <c r="C1025" s="40"/>
      <c r="D1025" s="23"/>
      <c r="E1025" s="23"/>
      <c r="F1025" s="23"/>
      <c r="G1025" s="23"/>
      <c r="H1025" s="23"/>
      <c r="I1025" s="40"/>
      <c r="J1025" s="70"/>
      <c r="K1025" s="23"/>
      <c r="L1025" s="70"/>
      <c r="M1025" s="70"/>
      <c r="N1025" s="23"/>
      <c r="O1025" s="23"/>
      <c r="P1025" s="23"/>
      <c r="Q1025" s="23"/>
      <c r="R1025" s="72"/>
      <c r="S1025" s="23"/>
      <c r="T1025" s="23"/>
      <c r="U1025" s="23"/>
      <c r="V1025" s="23"/>
      <c r="W1025" s="23"/>
      <c r="X1025" s="23"/>
      <c r="Y1025" s="23"/>
      <c r="Z1025" s="23"/>
      <c r="AA1025" s="23"/>
      <c r="AB1025" s="23"/>
      <c r="AC1025" s="23"/>
      <c r="AD1025" s="23"/>
      <c r="AE1025" s="23"/>
    </row>
    <row r="1026" spans="1:31">
      <c r="A1026" s="23"/>
      <c r="B1026" s="40"/>
      <c r="C1026" s="40"/>
      <c r="D1026" s="23"/>
      <c r="E1026" s="23"/>
      <c r="F1026" s="23"/>
      <c r="G1026" s="23"/>
      <c r="H1026" s="23"/>
      <c r="I1026" s="40"/>
      <c r="J1026" s="70"/>
      <c r="K1026" s="23"/>
      <c r="L1026" s="70"/>
      <c r="M1026" s="70"/>
      <c r="N1026" s="23"/>
      <c r="O1026" s="23"/>
      <c r="P1026" s="23"/>
      <c r="Q1026" s="23"/>
      <c r="R1026" s="72"/>
      <c r="S1026" s="23"/>
      <c r="T1026" s="23"/>
      <c r="U1026" s="23"/>
      <c r="V1026" s="23"/>
      <c r="W1026" s="23"/>
      <c r="X1026" s="23"/>
      <c r="Y1026" s="23"/>
      <c r="Z1026" s="23"/>
      <c r="AA1026" s="23"/>
      <c r="AB1026" s="23"/>
      <c r="AC1026" s="23"/>
      <c r="AD1026" s="23"/>
      <c r="AE1026" s="23"/>
    </row>
    <row r="1027" spans="1:31" ht="12" customHeight="1">
      <c r="A1027" s="23"/>
      <c r="B1027" s="40"/>
      <c r="C1027" s="40"/>
      <c r="D1027" s="23"/>
      <c r="E1027" s="23"/>
      <c r="F1027" s="23"/>
      <c r="G1027" s="23"/>
      <c r="H1027" s="23"/>
      <c r="I1027" s="40"/>
      <c r="J1027" s="70"/>
      <c r="K1027" s="23"/>
      <c r="L1027" s="70"/>
      <c r="M1027" s="70"/>
      <c r="N1027" s="23"/>
      <c r="O1027" s="23"/>
      <c r="P1027" s="23"/>
      <c r="Q1027" s="23"/>
      <c r="R1027" s="72"/>
      <c r="S1027" s="23"/>
      <c r="T1027" s="23"/>
      <c r="U1027" s="23"/>
      <c r="V1027" s="23"/>
      <c r="W1027" s="23"/>
      <c r="X1027" s="23"/>
      <c r="Y1027" s="23"/>
      <c r="Z1027" s="23"/>
      <c r="AA1027" s="23"/>
      <c r="AB1027" s="23"/>
      <c r="AC1027" s="23"/>
      <c r="AD1027" s="23"/>
      <c r="AE1027" s="23"/>
    </row>
    <row r="1028" spans="1:31">
      <c r="A1028" s="23"/>
      <c r="B1028" s="40"/>
      <c r="C1028" s="40"/>
      <c r="D1028" s="23"/>
      <c r="E1028" s="23"/>
      <c r="F1028" s="23"/>
      <c r="G1028" s="23"/>
      <c r="H1028" s="23"/>
      <c r="I1028" s="40"/>
      <c r="J1028" s="70"/>
      <c r="K1028" s="23"/>
      <c r="L1028" s="70"/>
      <c r="M1028" s="70"/>
      <c r="N1028" s="23"/>
      <c r="O1028" s="23"/>
      <c r="P1028" s="23"/>
      <c r="Q1028" s="23"/>
      <c r="R1028" s="72"/>
      <c r="S1028" s="23"/>
      <c r="T1028" s="23"/>
      <c r="U1028" s="23"/>
      <c r="V1028" s="23"/>
      <c r="W1028" s="23"/>
      <c r="X1028" s="23"/>
      <c r="Y1028" s="23"/>
      <c r="Z1028" s="23"/>
      <c r="AA1028" s="23"/>
      <c r="AB1028" s="23"/>
      <c r="AC1028" s="23"/>
      <c r="AD1028" s="23"/>
      <c r="AE1028" s="23"/>
    </row>
    <row r="1029" spans="1:31">
      <c r="A1029" s="23"/>
      <c r="B1029" s="40"/>
      <c r="C1029" s="40"/>
      <c r="D1029" s="23"/>
      <c r="E1029" s="23"/>
      <c r="F1029" s="23"/>
      <c r="G1029" s="23"/>
      <c r="H1029" s="23"/>
      <c r="I1029" s="40"/>
      <c r="J1029" s="70"/>
      <c r="K1029" s="23"/>
      <c r="L1029" s="70"/>
      <c r="M1029" s="70"/>
      <c r="N1029" s="23"/>
      <c r="O1029" s="23"/>
      <c r="P1029" s="23"/>
      <c r="Q1029" s="23"/>
      <c r="R1029" s="72"/>
      <c r="S1029" s="23"/>
      <c r="T1029" s="23"/>
      <c r="U1029" s="23"/>
      <c r="V1029" s="23"/>
      <c r="W1029" s="23"/>
      <c r="X1029" s="23"/>
      <c r="Y1029" s="23"/>
      <c r="Z1029" s="23"/>
      <c r="AA1029" s="23"/>
      <c r="AB1029" s="23"/>
      <c r="AC1029" s="23"/>
      <c r="AD1029" s="23"/>
      <c r="AE1029" s="23"/>
    </row>
    <row r="1030" spans="1:31">
      <c r="A1030" s="23"/>
      <c r="B1030" s="40"/>
      <c r="C1030" s="40"/>
      <c r="D1030" s="23"/>
      <c r="E1030" s="23"/>
      <c r="F1030" s="23"/>
      <c r="G1030" s="23"/>
      <c r="H1030" s="23"/>
      <c r="I1030" s="40"/>
      <c r="J1030" s="70"/>
      <c r="K1030" s="23"/>
      <c r="L1030" s="70"/>
      <c r="M1030" s="70"/>
      <c r="N1030" s="23"/>
      <c r="O1030" s="23"/>
      <c r="P1030" s="23"/>
      <c r="Q1030" s="23"/>
      <c r="R1030" s="72"/>
      <c r="S1030" s="23"/>
      <c r="T1030" s="23"/>
      <c r="U1030" s="23"/>
      <c r="V1030" s="23"/>
      <c r="W1030" s="23"/>
      <c r="X1030" s="23"/>
      <c r="Y1030" s="23"/>
      <c r="Z1030" s="23"/>
      <c r="AA1030" s="23"/>
      <c r="AB1030" s="23"/>
      <c r="AC1030" s="23"/>
      <c r="AD1030" s="23"/>
      <c r="AE1030" s="23"/>
    </row>
    <row r="1031" spans="1:31">
      <c r="A1031" s="23"/>
      <c r="B1031" s="40"/>
      <c r="C1031" s="40"/>
      <c r="D1031" s="23"/>
      <c r="E1031" s="23"/>
      <c r="F1031" s="23"/>
      <c r="G1031" s="23"/>
      <c r="H1031" s="23"/>
      <c r="I1031" s="40"/>
      <c r="J1031" s="70"/>
      <c r="K1031" s="23"/>
      <c r="L1031" s="70"/>
      <c r="M1031" s="70"/>
      <c r="N1031" s="23"/>
      <c r="O1031" s="23"/>
      <c r="P1031" s="23"/>
      <c r="Q1031" s="23"/>
      <c r="R1031" s="72"/>
      <c r="S1031" s="23"/>
      <c r="T1031" s="23"/>
      <c r="U1031" s="23"/>
      <c r="V1031" s="23"/>
      <c r="W1031" s="23"/>
      <c r="X1031" s="23"/>
      <c r="Y1031" s="23"/>
      <c r="Z1031" s="23"/>
      <c r="AA1031" s="23"/>
      <c r="AB1031" s="23"/>
      <c r="AC1031" s="23"/>
      <c r="AD1031" s="23"/>
      <c r="AE1031" s="23"/>
    </row>
    <row r="1032" spans="1:31" ht="12" customHeight="1">
      <c r="A1032" s="23"/>
      <c r="B1032" s="40"/>
      <c r="C1032" s="40"/>
      <c r="D1032" s="23"/>
      <c r="E1032" s="23"/>
      <c r="F1032" s="23"/>
      <c r="G1032" s="23"/>
      <c r="H1032" s="23"/>
      <c r="I1032" s="40"/>
      <c r="J1032" s="70"/>
      <c r="K1032" s="23"/>
      <c r="L1032" s="70"/>
      <c r="M1032" s="70"/>
      <c r="N1032" s="23"/>
      <c r="O1032" s="23"/>
      <c r="P1032" s="23"/>
      <c r="Q1032" s="23"/>
      <c r="R1032" s="72"/>
      <c r="S1032" s="23"/>
      <c r="T1032" s="23"/>
      <c r="U1032" s="23"/>
      <c r="V1032" s="23"/>
      <c r="W1032" s="23"/>
      <c r="X1032" s="23"/>
      <c r="Y1032" s="23"/>
      <c r="Z1032" s="23"/>
      <c r="AA1032" s="23"/>
      <c r="AB1032" s="23"/>
      <c r="AC1032" s="23"/>
      <c r="AD1032" s="23"/>
      <c r="AE1032" s="23"/>
    </row>
    <row r="1033" spans="1:31">
      <c r="A1033" s="23"/>
      <c r="B1033" s="40"/>
      <c r="C1033" s="40"/>
      <c r="D1033" s="23"/>
      <c r="E1033" s="23"/>
      <c r="F1033" s="23"/>
      <c r="G1033" s="23"/>
      <c r="H1033" s="23"/>
      <c r="I1033" s="40"/>
      <c r="J1033" s="70"/>
      <c r="K1033" s="23"/>
      <c r="L1033" s="70"/>
      <c r="M1033" s="70"/>
      <c r="N1033" s="23"/>
      <c r="O1033" s="23"/>
      <c r="P1033" s="23"/>
      <c r="Q1033" s="23"/>
      <c r="R1033" s="72"/>
      <c r="S1033" s="23"/>
      <c r="T1033" s="23"/>
      <c r="U1033" s="23"/>
      <c r="V1033" s="23"/>
      <c r="W1033" s="23"/>
      <c r="X1033" s="23"/>
      <c r="Y1033" s="23"/>
      <c r="Z1033" s="23"/>
      <c r="AA1033" s="23"/>
      <c r="AB1033" s="23"/>
      <c r="AC1033" s="23"/>
      <c r="AD1033" s="23"/>
      <c r="AE1033" s="23"/>
    </row>
    <row r="1034" spans="1:31">
      <c r="A1034" s="23"/>
      <c r="B1034" s="40"/>
      <c r="C1034" s="40"/>
      <c r="D1034" s="23"/>
      <c r="E1034" s="23"/>
      <c r="F1034" s="23"/>
      <c r="G1034" s="23"/>
      <c r="H1034" s="23"/>
      <c r="I1034" s="40"/>
      <c r="J1034" s="70"/>
      <c r="K1034" s="23"/>
      <c r="L1034" s="70"/>
      <c r="M1034" s="70"/>
      <c r="N1034" s="23"/>
      <c r="O1034" s="23"/>
      <c r="P1034" s="23"/>
      <c r="Q1034" s="23"/>
      <c r="R1034" s="72"/>
      <c r="S1034" s="23"/>
      <c r="T1034" s="23"/>
      <c r="U1034" s="23"/>
      <c r="V1034" s="23"/>
      <c r="W1034" s="23"/>
      <c r="X1034" s="23"/>
      <c r="Y1034" s="23"/>
      <c r="Z1034" s="23"/>
      <c r="AA1034" s="23"/>
      <c r="AB1034" s="23"/>
      <c r="AC1034" s="23"/>
      <c r="AD1034" s="23"/>
      <c r="AE1034" s="23"/>
    </row>
    <row r="1035" spans="1:31">
      <c r="A1035" s="23"/>
      <c r="B1035" s="40"/>
      <c r="C1035" s="40"/>
      <c r="D1035" s="23"/>
      <c r="E1035" s="23"/>
      <c r="F1035" s="23"/>
      <c r="G1035" s="23"/>
      <c r="H1035" s="23"/>
      <c r="I1035" s="40"/>
      <c r="J1035" s="70"/>
      <c r="K1035" s="23"/>
      <c r="L1035" s="70"/>
      <c r="M1035" s="70"/>
      <c r="N1035" s="23"/>
      <c r="O1035" s="23"/>
      <c r="P1035" s="23"/>
      <c r="Q1035" s="23"/>
      <c r="R1035" s="72"/>
      <c r="S1035" s="23"/>
      <c r="T1035" s="23"/>
      <c r="U1035" s="23"/>
      <c r="V1035" s="23"/>
      <c r="W1035" s="23"/>
      <c r="X1035" s="23"/>
      <c r="Y1035" s="23"/>
      <c r="Z1035" s="23"/>
      <c r="AA1035" s="23"/>
      <c r="AB1035" s="23"/>
      <c r="AC1035" s="23"/>
      <c r="AD1035" s="23"/>
      <c r="AE1035" s="23"/>
    </row>
    <row r="1036" spans="1:31">
      <c r="A1036" s="23"/>
      <c r="B1036" s="40"/>
      <c r="C1036" s="40"/>
      <c r="D1036" s="23"/>
      <c r="E1036" s="23"/>
      <c r="F1036" s="23"/>
      <c r="G1036" s="23"/>
      <c r="H1036" s="23"/>
      <c r="I1036" s="40"/>
      <c r="J1036" s="70"/>
      <c r="K1036" s="23"/>
      <c r="L1036" s="70"/>
      <c r="M1036" s="70"/>
      <c r="N1036" s="23"/>
      <c r="O1036" s="23"/>
      <c r="P1036" s="23"/>
      <c r="Q1036" s="23"/>
      <c r="R1036" s="72"/>
      <c r="S1036" s="23"/>
      <c r="T1036" s="23"/>
      <c r="U1036" s="23"/>
      <c r="V1036" s="23"/>
      <c r="W1036" s="23"/>
      <c r="X1036" s="23"/>
      <c r="Y1036" s="23"/>
      <c r="Z1036" s="23"/>
      <c r="AA1036" s="23"/>
      <c r="AB1036" s="23"/>
      <c r="AC1036" s="23"/>
      <c r="AD1036" s="23"/>
      <c r="AE1036" s="23"/>
    </row>
    <row r="1037" spans="1:31">
      <c r="A1037" s="23"/>
      <c r="B1037" s="40"/>
      <c r="C1037" s="40"/>
      <c r="D1037" s="23"/>
      <c r="E1037" s="23"/>
      <c r="F1037" s="23"/>
      <c r="G1037" s="23"/>
      <c r="H1037" s="23"/>
      <c r="I1037" s="40"/>
      <c r="J1037" s="70"/>
      <c r="K1037" s="23"/>
      <c r="L1037" s="70"/>
      <c r="M1037" s="70"/>
      <c r="N1037" s="23"/>
      <c r="O1037" s="23"/>
      <c r="P1037" s="23"/>
      <c r="Q1037" s="23"/>
      <c r="R1037" s="72"/>
      <c r="S1037" s="23"/>
      <c r="T1037" s="23"/>
      <c r="U1037" s="23"/>
      <c r="V1037" s="23"/>
      <c r="W1037" s="23"/>
      <c r="X1037" s="23"/>
      <c r="Y1037" s="23"/>
      <c r="Z1037" s="23"/>
      <c r="AA1037" s="23"/>
      <c r="AB1037" s="23"/>
      <c r="AC1037" s="23"/>
      <c r="AD1037" s="23"/>
      <c r="AE1037" s="23"/>
    </row>
    <row r="1038" spans="1:31">
      <c r="A1038" s="23"/>
      <c r="B1038" s="40"/>
      <c r="C1038" s="40"/>
      <c r="D1038" s="23"/>
      <c r="E1038" s="23"/>
      <c r="F1038" s="23"/>
      <c r="G1038" s="23"/>
      <c r="H1038" s="23"/>
      <c r="I1038" s="40"/>
      <c r="J1038" s="70"/>
      <c r="K1038" s="23"/>
      <c r="L1038" s="70"/>
      <c r="M1038" s="70"/>
      <c r="N1038" s="23"/>
      <c r="O1038" s="23"/>
      <c r="P1038" s="23"/>
      <c r="Q1038" s="23"/>
      <c r="R1038" s="72"/>
      <c r="S1038" s="23"/>
      <c r="T1038" s="23"/>
      <c r="U1038" s="23"/>
      <c r="V1038" s="23"/>
      <c r="W1038" s="23"/>
      <c r="X1038" s="23"/>
      <c r="Y1038" s="23"/>
      <c r="Z1038" s="23"/>
      <c r="AA1038" s="23"/>
      <c r="AB1038" s="23"/>
      <c r="AC1038" s="23"/>
      <c r="AD1038" s="23"/>
      <c r="AE1038" s="23"/>
    </row>
    <row r="1039" spans="1:31">
      <c r="A1039" s="23"/>
      <c r="B1039" s="40"/>
      <c r="C1039" s="40"/>
      <c r="D1039" s="23"/>
      <c r="E1039" s="23"/>
      <c r="F1039" s="23"/>
      <c r="G1039" s="23"/>
      <c r="H1039" s="23"/>
      <c r="I1039" s="40"/>
      <c r="J1039" s="70"/>
      <c r="K1039" s="23"/>
      <c r="L1039" s="70"/>
      <c r="M1039" s="70"/>
      <c r="N1039" s="23"/>
      <c r="O1039" s="23"/>
      <c r="P1039" s="23"/>
      <c r="Q1039" s="23"/>
      <c r="R1039" s="72"/>
      <c r="S1039" s="23"/>
      <c r="T1039" s="23"/>
      <c r="U1039" s="23"/>
      <c r="V1039" s="23"/>
      <c r="W1039" s="23"/>
      <c r="X1039" s="23"/>
      <c r="Y1039" s="23"/>
      <c r="Z1039" s="23"/>
      <c r="AA1039" s="23"/>
      <c r="AB1039" s="23"/>
      <c r="AC1039" s="23"/>
      <c r="AD1039" s="23"/>
      <c r="AE1039" s="23"/>
    </row>
    <row r="1040" spans="1:31">
      <c r="A1040" s="23"/>
      <c r="B1040" s="40"/>
      <c r="C1040" s="40"/>
      <c r="D1040" s="23"/>
      <c r="E1040" s="23"/>
      <c r="F1040" s="23"/>
      <c r="G1040" s="23"/>
      <c r="H1040" s="23"/>
      <c r="I1040" s="40"/>
      <c r="J1040" s="70"/>
      <c r="K1040" s="23"/>
      <c r="L1040" s="70"/>
      <c r="M1040" s="70"/>
      <c r="N1040" s="23"/>
      <c r="O1040" s="23"/>
      <c r="P1040" s="23"/>
      <c r="Q1040" s="23"/>
      <c r="R1040" s="72"/>
      <c r="S1040" s="23"/>
      <c r="T1040" s="23"/>
      <c r="U1040" s="23"/>
      <c r="V1040" s="23"/>
      <c r="W1040" s="23"/>
      <c r="X1040" s="23"/>
      <c r="Y1040" s="23"/>
      <c r="Z1040" s="23"/>
      <c r="AA1040" s="23"/>
      <c r="AB1040" s="23"/>
      <c r="AC1040" s="23"/>
      <c r="AD1040" s="23"/>
      <c r="AE1040" s="23"/>
    </row>
    <row r="1041" spans="1:31">
      <c r="A1041" s="23"/>
      <c r="B1041" s="40"/>
      <c r="C1041" s="40"/>
      <c r="D1041" s="23"/>
      <c r="E1041" s="23"/>
      <c r="F1041" s="23"/>
      <c r="G1041" s="23"/>
      <c r="H1041" s="23"/>
      <c r="I1041" s="40"/>
      <c r="J1041" s="70"/>
      <c r="K1041" s="23"/>
      <c r="L1041" s="70"/>
      <c r="M1041" s="70"/>
      <c r="N1041" s="23"/>
      <c r="O1041" s="23"/>
      <c r="P1041" s="23"/>
      <c r="Q1041" s="23"/>
      <c r="R1041" s="72"/>
      <c r="S1041" s="23"/>
      <c r="T1041" s="23"/>
      <c r="U1041" s="23"/>
      <c r="V1041" s="23"/>
      <c r="W1041" s="23"/>
      <c r="X1041" s="23"/>
      <c r="Y1041" s="23"/>
      <c r="Z1041" s="23"/>
      <c r="AA1041" s="23"/>
      <c r="AB1041" s="23"/>
      <c r="AC1041" s="23"/>
      <c r="AD1041" s="23"/>
      <c r="AE1041" s="23"/>
    </row>
    <row r="1042" spans="1:31">
      <c r="A1042" s="23"/>
      <c r="B1042" s="40"/>
      <c r="C1042" s="40"/>
      <c r="D1042" s="23"/>
      <c r="E1042" s="23"/>
      <c r="F1042" s="23"/>
      <c r="G1042" s="23"/>
      <c r="H1042" s="23"/>
      <c r="I1042" s="40"/>
      <c r="J1042" s="70"/>
      <c r="K1042" s="23"/>
      <c r="L1042" s="70"/>
      <c r="M1042" s="70"/>
      <c r="N1042" s="23"/>
      <c r="O1042" s="23"/>
      <c r="P1042" s="23"/>
      <c r="Q1042" s="23"/>
      <c r="R1042" s="72"/>
      <c r="S1042" s="23"/>
      <c r="T1042" s="23"/>
      <c r="U1042" s="23"/>
      <c r="V1042" s="23"/>
      <c r="W1042" s="23"/>
      <c r="X1042" s="23"/>
      <c r="Y1042" s="23"/>
      <c r="Z1042" s="23"/>
      <c r="AA1042" s="23"/>
      <c r="AB1042" s="23"/>
      <c r="AC1042" s="23"/>
      <c r="AD1042" s="23"/>
      <c r="AE1042" s="23"/>
    </row>
    <row r="1043" spans="1:31">
      <c r="A1043" s="23"/>
      <c r="B1043" s="40"/>
      <c r="C1043" s="40"/>
      <c r="D1043" s="23"/>
      <c r="E1043" s="23"/>
      <c r="F1043" s="23"/>
      <c r="G1043" s="23"/>
      <c r="H1043" s="23"/>
      <c r="I1043" s="40"/>
      <c r="J1043" s="70"/>
      <c r="K1043" s="23"/>
      <c r="L1043" s="70"/>
      <c r="M1043" s="70"/>
      <c r="N1043" s="23"/>
      <c r="O1043" s="23"/>
      <c r="P1043" s="23"/>
      <c r="Q1043" s="23"/>
      <c r="R1043" s="72"/>
      <c r="S1043" s="23"/>
      <c r="T1043" s="23"/>
      <c r="U1043" s="23"/>
      <c r="V1043" s="23"/>
      <c r="W1043" s="23"/>
      <c r="X1043" s="23"/>
      <c r="Y1043" s="23"/>
      <c r="Z1043" s="23"/>
      <c r="AA1043" s="23"/>
      <c r="AB1043" s="23"/>
      <c r="AC1043" s="23"/>
      <c r="AD1043" s="23"/>
      <c r="AE1043" s="23"/>
    </row>
    <row r="1044" spans="1:31">
      <c r="A1044" s="23"/>
      <c r="B1044" s="40"/>
      <c r="C1044" s="40"/>
      <c r="D1044" s="23"/>
      <c r="E1044" s="23"/>
      <c r="F1044" s="23"/>
      <c r="G1044" s="23"/>
      <c r="H1044" s="23"/>
      <c r="I1044" s="40"/>
      <c r="J1044" s="70"/>
      <c r="K1044" s="23"/>
      <c r="L1044" s="70"/>
      <c r="M1044" s="70"/>
      <c r="N1044" s="23"/>
      <c r="O1044" s="23"/>
      <c r="P1044" s="23"/>
      <c r="Q1044" s="23"/>
      <c r="R1044" s="72"/>
      <c r="S1044" s="23"/>
      <c r="T1044" s="23"/>
      <c r="U1044" s="23"/>
      <c r="V1044" s="23"/>
      <c r="W1044" s="23"/>
      <c r="X1044" s="23"/>
      <c r="Y1044" s="23"/>
      <c r="Z1044" s="23"/>
      <c r="AA1044" s="23"/>
      <c r="AB1044" s="23"/>
      <c r="AC1044" s="23"/>
      <c r="AD1044" s="23"/>
      <c r="AE1044" s="23"/>
    </row>
    <row r="1045" spans="1:31">
      <c r="A1045" s="23"/>
      <c r="B1045" s="40"/>
      <c r="C1045" s="40"/>
      <c r="D1045" s="23"/>
      <c r="E1045" s="23"/>
      <c r="F1045" s="23"/>
      <c r="G1045" s="23"/>
      <c r="H1045" s="23"/>
      <c r="I1045" s="40"/>
      <c r="J1045" s="70"/>
      <c r="K1045" s="23"/>
      <c r="L1045" s="70"/>
      <c r="M1045" s="70"/>
      <c r="N1045" s="23"/>
      <c r="O1045" s="23"/>
      <c r="P1045" s="23"/>
      <c r="Q1045" s="23"/>
      <c r="R1045" s="72"/>
      <c r="S1045" s="23"/>
      <c r="T1045" s="23"/>
      <c r="U1045" s="23"/>
      <c r="V1045" s="23"/>
      <c r="W1045" s="23"/>
      <c r="X1045" s="23"/>
      <c r="Y1045" s="23"/>
      <c r="Z1045" s="23"/>
      <c r="AA1045" s="23"/>
      <c r="AB1045" s="23"/>
      <c r="AC1045" s="23"/>
      <c r="AD1045" s="23"/>
      <c r="AE1045" s="23"/>
    </row>
    <row r="1046" spans="1:31">
      <c r="A1046" s="23"/>
      <c r="B1046" s="40"/>
      <c r="C1046" s="40"/>
      <c r="D1046" s="23"/>
      <c r="E1046" s="23"/>
      <c r="F1046" s="23"/>
      <c r="G1046" s="23"/>
      <c r="H1046" s="23"/>
      <c r="I1046" s="40"/>
      <c r="J1046" s="70"/>
      <c r="K1046" s="23"/>
      <c r="L1046" s="70"/>
      <c r="M1046" s="70"/>
      <c r="N1046" s="23"/>
      <c r="O1046" s="23"/>
      <c r="P1046" s="23"/>
      <c r="Q1046" s="23"/>
      <c r="R1046" s="72"/>
      <c r="S1046" s="23"/>
      <c r="T1046" s="23"/>
      <c r="U1046" s="23"/>
      <c r="V1046" s="23"/>
      <c r="W1046" s="23"/>
      <c r="X1046" s="23"/>
      <c r="Y1046" s="23"/>
      <c r="Z1046" s="23"/>
      <c r="AA1046" s="23"/>
      <c r="AB1046" s="23"/>
      <c r="AC1046" s="23"/>
      <c r="AD1046" s="23"/>
      <c r="AE1046" s="23"/>
    </row>
    <row r="1047" spans="1:31">
      <c r="A1047" s="23"/>
      <c r="B1047" s="40"/>
      <c r="C1047" s="40"/>
      <c r="D1047" s="23"/>
      <c r="E1047" s="23"/>
      <c r="F1047" s="23"/>
      <c r="G1047" s="23"/>
      <c r="H1047" s="23"/>
      <c r="I1047" s="40"/>
      <c r="J1047" s="70"/>
      <c r="K1047" s="23"/>
      <c r="L1047" s="70"/>
      <c r="M1047" s="70"/>
      <c r="N1047" s="23"/>
      <c r="O1047" s="23"/>
      <c r="P1047" s="23"/>
      <c r="Q1047" s="23"/>
      <c r="R1047" s="72"/>
      <c r="S1047" s="23"/>
      <c r="T1047" s="23"/>
      <c r="U1047" s="23"/>
      <c r="V1047" s="23"/>
      <c r="W1047" s="23"/>
      <c r="X1047" s="23"/>
      <c r="Y1047" s="23"/>
      <c r="Z1047" s="23"/>
      <c r="AA1047" s="23"/>
      <c r="AB1047" s="23"/>
      <c r="AC1047" s="23"/>
      <c r="AD1047" s="23"/>
      <c r="AE1047" s="23"/>
    </row>
    <row r="1048" spans="1:31" ht="24" customHeight="1">
      <c r="A1048" s="23"/>
      <c r="B1048" s="40"/>
      <c r="C1048" s="40"/>
      <c r="D1048" s="23"/>
      <c r="E1048" s="23"/>
      <c r="F1048" s="23"/>
      <c r="G1048" s="23"/>
      <c r="H1048" s="40"/>
      <c r="I1048" s="40"/>
      <c r="J1048" s="70"/>
      <c r="K1048" s="23"/>
      <c r="L1048" s="70"/>
      <c r="M1048" s="70"/>
      <c r="N1048" s="23"/>
      <c r="O1048" s="23"/>
      <c r="P1048" s="23"/>
      <c r="Q1048" s="23"/>
      <c r="R1048" s="72"/>
      <c r="S1048" s="23"/>
      <c r="T1048" s="23"/>
      <c r="U1048" s="23"/>
      <c r="V1048" s="23"/>
      <c r="W1048" s="23"/>
      <c r="X1048" s="23"/>
      <c r="Y1048" s="23"/>
      <c r="Z1048" s="23"/>
      <c r="AA1048" s="23"/>
      <c r="AB1048" s="23"/>
      <c r="AC1048" s="23"/>
      <c r="AD1048" s="23"/>
      <c r="AE1048" s="23"/>
    </row>
    <row r="1049" spans="1:31">
      <c r="A1049" s="23"/>
      <c r="B1049" s="40"/>
      <c r="C1049" s="40"/>
      <c r="D1049" s="23"/>
      <c r="E1049" s="23"/>
      <c r="F1049" s="23"/>
      <c r="G1049" s="23"/>
      <c r="H1049" s="40"/>
      <c r="I1049" s="40"/>
      <c r="J1049" s="70"/>
      <c r="K1049" s="23"/>
      <c r="L1049" s="70"/>
      <c r="M1049" s="70"/>
      <c r="N1049" s="23"/>
      <c r="O1049" s="23"/>
      <c r="P1049" s="23"/>
      <c r="Q1049" s="23"/>
      <c r="R1049" s="72"/>
      <c r="S1049" s="23"/>
      <c r="T1049" s="23"/>
      <c r="U1049" s="23"/>
      <c r="V1049" s="23"/>
      <c r="W1049" s="23"/>
      <c r="X1049" s="23"/>
      <c r="Y1049" s="23"/>
      <c r="Z1049" s="23"/>
      <c r="AA1049" s="23"/>
      <c r="AB1049" s="23"/>
      <c r="AC1049" s="23"/>
      <c r="AD1049" s="23"/>
      <c r="AE1049" s="23"/>
    </row>
    <row r="1050" spans="1:31">
      <c r="A1050" s="23"/>
      <c r="B1050" s="40"/>
      <c r="C1050" s="40"/>
      <c r="D1050" s="23"/>
      <c r="E1050" s="23"/>
      <c r="F1050" s="23"/>
      <c r="G1050" s="23"/>
      <c r="H1050" s="40"/>
      <c r="I1050" s="40"/>
      <c r="J1050" s="70"/>
      <c r="K1050" s="23"/>
      <c r="L1050" s="70"/>
      <c r="M1050" s="70"/>
      <c r="N1050" s="23"/>
      <c r="O1050" s="23"/>
      <c r="P1050" s="23"/>
      <c r="Q1050" s="23"/>
      <c r="R1050" s="72"/>
      <c r="S1050" s="23"/>
      <c r="T1050" s="23"/>
      <c r="U1050" s="23"/>
      <c r="V1050" s="23"/>
      <c r="W1050" s="23"/>
      <c r="X1050" s="23"/>
      <c r="Y1050" s="23"/>
      <c r="Z1050" s="23"/>
      <c r="AA1050" s="23"/>
      <c r="AB1050" s="23"/>
      <c r="AC1050" s="23"/>
      <c r="AD1050" s="23"/>
      <c r="AE1050" s="23"/>
    </row>
    <row r="1051" spans="1:31">
      <c r="A1051" s="23"/>
      <c r="B1051" s="40"/>
      <c r="C1051" s="40"/>
      <c r="D1051" s="23"/>
      <c r="E1051" s="23"/>
      <c r="F1051" s="23"/>
      <c r="G1051" s="23"/>
      <c r="H1051" s="40"/>
      <c r="I1051" s="40"/>
      <c r="J1051" s="70"/>
      <c r="K1051" s="23"/>
      <c r="L1051" s="70"/>
      <c r="M1051" s="70"/>
      <c r="N1051" s="23"/>
      <c r="O1051" s="23"/>
      <c r="P1051" s="23"/>
      <c r="Q1051" s="23"/>
      <c r="R1051" s="72"/>
      <c r="S1051" s="23"/>
      <c r="T1051" s="23"/>
      <c r="U1051" s="23"/>
      <c r="V1051" s="23"/>
      <c r="W1051" s="23"/>
      <c r="X1051" s="23"/>
      <c r="Y1051" s="23"/>
      <c r="Z1051" s="23"/>
      <c r="AA1051" s="23"/>
      <c r="AB1051" s="23"/>
      <c r="AC1051" s="23"/>
      <c r="AD1051" s="23"/>
      <c r="AE1051" s="23"/>
    </row>
    <row r="1052" spans="1:31">
      <c r="A1052" s="23"/>
      <c r="B1052" s="40"/>
      <c r="C1052" s="40"/>
      <c r="D1052" s="23"/>
      <c r="E1052" s="23"/>
      <c r="F1052" s="23"/>
      <c r="G1052" s="23"/>
      <c r="H1052" s="23"/>
      <c r="I1052" s="40"/>
      <c r="J1052" s="70"/>
      <c r="K1052" s="23"/>
      <c r="L1052" s="70"/>
      <c r="M1052" s="70"/>
      <c r="N1052" s="23"/>
      <c r="O1052" s="23"/>
      <c r="P1052" s="23"/>
      <c r="Q1052" s="23"/>
      <c r="R1052" s="72"/>
      <c r="S1052" s="23"/>
      <c r="T1052" s="23"/>
      <c r="U1052" s="23"/>
      <c r="V1052" s="23"/>
      <c r="W1052" s="23"/>
      <c r="X1052" s="23"/>
      <c r="Y1052" s="23"/>
      <c r="Z1052" s="23"/>
      <c r="AA1052" s="23"/>
      <c r="AB1052" s="23"/>
      <c r="AC1052" s="23"/>
      <c r="AD1052" s="23"/>
      <c r="AE1052" s="23"/>
    </row>
    <row r="1053" spans="1:31">
      <c r="A1053" s="23"/>
      <c r="B1053" s="40"/>
      <c r="C1053" s="40"/>
      <c r="D1053" s="23"/>
      <c r="E1053" s="23"/>
      <c r="F1053" s="23"/>
      <c r="G1053" s="23"/>
      <c r="H1053" s="23"/>
      <c r="I1053" s="40"/>
      <c r="J1053" s="70"/>
      <c r="K1053" s="23"/>
      <c r="L1053" s="70"/>
      <c r="M1053" s="70"/>
      <c r="N1053" s="23"/>
      <c r="O1053" s="23"/>
      <c r="P1053" s="23"/>
      <c r="Q1053" s="23"/>
      <c r="R1053" s="72"/>
      <c r="S1053" s="23"/>
      <c r="T1053" s="23"/>
      <c r="U1053" s="23"/>
      <c r="V1053" s="23"/>
      <c r="W1053" s="23"/>
      <c r="X1053" s="23"/>
      <c r="Y1053" s="23"/>
      <c r="Z1053" s="23"/>
      <c r="AA1053" s="23"/>
      <c r="AB1053" s="23"/>
      <c r="AC1053" s="23"/>
      <c r="AD1053" s="23"/>
      <c r="AE1053" s="23"/>
    </row>
    <row r="1054" spans="1:31" ht="24" customHeight="1">
      <c r="A1054" s="23"/>
      <c r="B1054" s="40"/>
      <c r="C1054" s="40"/>
      <c r="D1054" s="23"/>
      <c r="E1054" s="23"/>
      <c r="F1054" s="23"/>
      <c r="G1054" s="23"/>
      <c r="H1054" s="40"/>
      <c r="I1054" s="40"/>
      <c r="J1054" s="70"/>
      <c r="K1054" s="23"/>
      <c r="L1054" s="70"/>
      <c r="M1054" s="70"/>
      <c r="N1054" s="23"/>
      <c r="O1054" s="23"/>
      <c r="P1054" s="23"/>
      <c r="Q1054" s="23"/>
      <c r="R1054" s="72"/>
      <c r="S1054" s="23"/>
      <c r="T1054" s="23"/>
      <c r="U1054" s="23"/>
      <c r="V1054" s="23"/>
      <c r="W1054" s="23"/>
      <c r="X1054" s="23"/>
      <c r="Y1054" s="23"/>
      <c r="Z1054" s="23"/>
      <c r="AA1054" s="23"/>
      <c r="AB1054" s="23"/>
      <c r="AC1054" s="23"/>
      <c r="AD1054" s="23"/>
      <c r="AE1054" s="23"/>
    </row>
    <row r="1055" spans="1:31">
      <c r="A1055" s="23"/>
      <c r="B1055" s="40"/>
      <c r="C1055" s="40"/>
      <c r="D1055" s="23"/>
      <c r="E1055" s="23"/>
      <c r="F1055" s="23"/>
      <c r="G1055" s="23"/>
      <c r="H1055" s="40"/>
      <c r="I1055" s="40"/>
      <c r="J1055" s="70"/>
      <c r="K1055" s="23"/>
      <c r="L1055" s="70"/>
      <c r="M1055" s="70"/>
      <c r="N1055" s="23"/>
      <c r="O1055" s="23"/>
      <c r="P1055" s="23"/>
      <c r="Q1055" s="23"/>
      <c r="R1055" s="72"/>
      <c r="S1055" s="23"/>
      <c r="T1055" s="23"/>
      <c r="U1055" s="23"/>
      <c r="V1055" s="23"/>
      <c r="W1055" s="23"/>
      <c r="X1055" s="23"/>
      <c r="Y1055" s="23"/>
      <c r="Z1055" s="23"/>
      <c r="AA1055" s="23"/>
      <c r="AB1055" s="23"/>
      <c r="AC1055" s="23"/>
      <c r="AD1055" s="23"/>
      <c r="AE1055" s="23"/>
    </row>
    <row r="1056" spans="1:31">
      <c r="A1056" s="23"/>
      <c r="B1056" s="40"/>
      <c r="C1056" s="40"/>
      <c r="D1056" s="23"/>
      <c r="E1056" s="23"/>
      <c r="F1056" s="23"/>
      <c r="G1056" s="23"/>
      <c r="H1056" s="40"/>
      <c r="I1056" s="40"/>
      <c r="J1056" s="70"/>
      <c r="K1056" s="23"/>
      <c r="L1056" s="70"/>
      <c r="M1056" s="70"/>
      <c r="N1056" s="23"/>
      <c r="O1056" s="23"/>
      <c r="P1056" s="23"/>
      <c r="Q1056" s="23"/>
      <c r="R1056" s="72"/>
      <c r="S1056" s="23"/>
      <c r="T1056" s="23"/>
      <c r="U1056" s="23"/>
      <c r="V1056" s="23"/>
      <c r="W1056" s="23"/>
      <c r="X1056" s="23"/>
      <c r="Y1056" s="23"/>
      <c r="Z1056" s="23"/>
      <c r="AA1056" s="23"/>
      <c r="AB1056" s="23"/>
      <c r="AC1056" s="23"/>
      <c r="AD1056" s="23"/>
      <c r="AE1056" s="23"/>
    </row>
    <row r="1057" spans="1:31">
      <c r="A1057" s="23"/>
      <c r="B1057" s="40"/>
      <c r="C1057" s="40"/>
      <c r="D1057" s="23"/>
      <c r="E1057" s="23"/>
      <c r="F1057" s="23"/>
      <c r="G1057" s="23"/>
      <c r="H1057" s="40"/>
      <c r="I1057" s="40"/>
      <c r="J1057" s="70"/>
      <c r="K1057" s="23"/>
      <c r="L1057" s="70"/>
      <c r="M1057" s="70"/>
      <c r="N1057" s="23"/>
      <c r="O1057" s="23"/>
      <c r="P1057" s="23"/>
      <c r="Q1057" s="23"/>
      <c r="R1057" s="72"/>
      <c r="S1057" s="23"/>
      <c r="T1057" s="23"/>
      <c r="U1057" s="23"/>
      <c r="V1057" s="23"/>
      <c r="W1057" s="23"/>
      <c r="X1057" s="23"/>
      <c r="Y1057" s="23"/>
      <c r="Z1057" s="23"/>
      <c r="AA1057" s="23"/>
      <c r="AB1057" s="23"/>
      <c r="AC1057" s="23"/>
      <c r="AD1057" s="23"/>
      <c r="AE1057" s="23"/>
    </row>
    <row r="1058" spans="1:31">
      <c r="A1058" s="23"/>
      <c r="B1058" s="40"/>
      <c r="C1058" s="40"/>
      <c r="D1058" s="23"/>
      <c r="E1058" s="23"/>
      <c r="F1058" s="23"/>
      <c r="G1058" s="23"/>
      <c r="H1058" s="40"/>
      <c r="I1058" s="40"/>
      <c r="J1058" s="70"/>
      <c r="K1058" s="23"/>
      <c r="L1058" s="70"/>
      <c r="M1058" s="70"/>
      <c r="N1058" s="23"/>
      <c r="O1058" s="23"/>
      <c r="P1058" s="23"/>
      <c r="Q1058" s="23"/>
      <c r="R1058" s="72"/>
      <c r="S1058" s="23"/>
      <c r="T1058" s="23"/>
      <c r="U1058" s="23"/>
      <c r="V1058" s="23"/>
      <c r="W1058" s="23"/>
      <c r="X1058" s="23"/>
      <c r="Y1058" s="23"/>
      <c r="Z1058" s="23"/>
      <c r="AA1058" s="23"/>
      <c r="AB1058" s="23"/>
      <c r="AC1058" s="23"/>
      <c r="AD1058" s="23"/>
      <c r="AE1058" s="23"/>
    </row>
    <row r="1059" spans="1:31" ht="24" customHeight="1">
      <c r="A1059" s="23"/>
      <c r="B1059" s="40"/>
      <c r="C1059" s="40"/>
      <c r="D1059" s="23"/>
      <c r="E1059" s="23"/>
      <c r="F1059" s="23"/>
      <c r="G1059" s="23"/>
      <c r="H1059" s="40"/>
      <c r="I1059" s="40"/>
      <c r="J1059" s="70"/>
      <c r="K1059" s="23"/>
      <c r="L1059" s="70"/>
      <c r="M1059" s="70"/>
      <c r="N1059" s="23"/>
      <c r="O1059" s="23"/>
      <c r="P1059" s="23"/>
      <c r="Q1059" s="23"/>
      <c r="R1059" s="72"/>
      <c r="S1059" s="23"/>
      <c r="T1059" s="23"/>
      <c r="U1059" s="23"/>
      <c r="V1059" s="23"/>
      <c r="W1059" s="23"/>
      <c r="X1059" s="23"/>
      <c r="Y1059" s="23"/>
      <c r="Z1059" s="23"/>
      <c r="AA1059" s="23"/>
      <c r="AB1059" s="23"/>
      <c r="AC1059" s="23"/>
      <c r="AD1059" s="23"/>
      <c r="AE1059" s="23"/>
    </row>
    <row r="1060" spans="1:31">
      <c r="A1060" s="23"/>
      <c r="B1060" s="40"/>
      <c r="C1060" s="40"/>
      <c r="D1060" s="23"/>
      <c r="E1060" s="23"/>
      <c r="F1060" s="23"/>
      <c r="G1060" s="23"/>
      <c r="H1060" s="40"/>
      <c r="I1060" s="40"/>
      <c r="J1060" s="70"/>
      <c r="K1060" s="23"/>
      <c r="L1060" s="70"/>
      <c r="M1060" s="70"/>
      <c r="N1060" s="23"/>
      <c r="O1060" s="23"/>
      <c r="P1060" s="23"/>
      <c r="Q1060" s="23"/>
      <c r="R1060" s="72"/>
      <c r="S1060" s="23"/>
      <c r="T1060" s="23"/>
      <c r="U1060" s="23"/>
      <c r="V1060" s="23"/>
      <c r="W1060" s="23"/>
      <c r="X1060" s="23"/>
      <c r="Y1060" s="23"/>
      <c r="Z1060" s="23"/>
      <c r="AA1060" s="23"/>
      <c r="AB1060" s="23"/>
      <c r="AC1060" s="23"/>
      <c r="AD1060" s="23"/>
      <c r="AE1060" s="23"/>
    </row>
    <row r="1061" spans="1:31">
      <c r="A1061" s="23"/>
      <c r="B1061" s="40"/>
      <c r="C1061" s="40"/>
      <c r="D1061" s="23"/>
      <c r="E1061" s="23"/>
      <c r="F1061" s="23"/>
      <c r="G1061" s="23"/>
      <c r="H1061" s="23"/>
      <c r="I1061" s="40"/>
      <c r="J1061" s="70"/>
      <c r="K1061" s="23"/>
      <c r="L1061" s="70"/>
      <c r="M1061" s="70"/>
      <c r="N1061" s="23"/>
      <c r="O1061" s="23"/>
      <c r="P1061" s="23"/>
      <c r="Q1061" s="23"/>
      <c r="R1061" s="72"/>
      <c r="S1061" s="23"/>
      <c r="T1061" s="23"/>
      <c r="U1061" s="23"/>
      <c r="V1061" s="23"/>
      <c r="W1061" s="23"/>
      <c r="X1061" s="23"/>
      <c r="Y1061" s="23"/>
      <c r="Z1061" s="23"/>
      <c r="AA1061" s="23"/>
      <c r="AB1061" s="23"/>
      <c r="AC1061" s="23"/>
      <c r="AD1061" s="23"/>
      <c r="AE1061" s="23"/>
    </row>
    <row r="1062" spans="1:31">
      <c r="A1062" s="23"/>
      <c r="B1062" s="40"/>
      <c r="C1062" s="40"/>
      <c r="D1062" s="23"/>
      <c r="E1062" s="23"/>
      <c r="F1062" s="23"/>
      <c r="G1062" s="23"/>
      <c r="H1062" s="23"/>
      <c r="I1062" s="40"/>
      <c r="J1062" s="70"/>
      <c r="K1062" s="23"/>
      <c r="L1062" s="70"/>
      <c r="M1062" s="70"/>
      <c r="N1062" s="23"/>
      <c r="O1062" s="23"/>
      <c r="P1062" s="23"/>
      <c r="Q1062" s="23"/>
      <c r="R1062" s="72"/>
      <c r="S1062" s="23"/>
      <c r="T1062" s="23"/>
      <c r="U1062" s="23"/>
      <c r="V1062" s="23"/>
      <c r="W1062" s="23"/>
      <c r="X1062" s="23"/>
      <c r="Y1062" s="23"/>
      <c r="Z1062" s="23"/>
      <c r="AA1062" s="23"/>
      <c r="AB1062" s="23"/>
      <c r="AC1062" s="23"/>
      <c r="AD1062" s="23"/>
      <c r="AE1062" s="23"/>
    </row>
    <row r="1063" spans="1:31">
      <c r="A1063" s="23"/>
      <c r="B1063" s="40"/>
      <c r="C1063" s="40"/>
      <c r="D1063" s="23"/>
      <c r="E1063" s="23"/>
      <c r="F1063" s="23"/>
      <c r="G1063" s="23"/>
      <c r="H1063" s="23"/>
      <c r="I1063" s="40"/>
      <c r="J1063" s="70"/>
      <c r="K1063" s="23"/>
      <c r="L1063" s="70"/>
      <c r="M1063" s="70"/>
      <c r="N1063" s="23"/>
      <c r="O1063" s="23"/>
      <c r="P1063" s="23"/>
      <c r="Q1063" s="23"/>
      <c r="R1063" s="72"/>
      <c r="S1063" s="23"/>
      <c r="T1063" s="23"/>
      <c r="U1063" s="23"/>
      <c r="V1063" s="23"/>
      <c r="W1063" s="23"/>
      <c r="X1063" s="23"/>
      <c r="Y1063" s="23"/>
      <c r="Z1063" s="23"/>
      <c r="AA1063" s="23"/>
      <c r="AB1063" s="23"/>
      <c r="AC1063" s="23"/>
      <c r="AD1063" s="23"/>
      <c r="AE1063" s="23"/>
    </row>
    <row r="1064" spans="1:31">
      <c r="A1064" s="23"/>
      <c r="B1064" s="40"/>
      <c r="C1064" s="40"/>
      <c r="D1064" s="23"/>
      <c r="E1064" s="23"/>
      <c r="F1064" s="23"/>
      <c r="G1064" s="23"/>
      <c r="H1064" s="23"/>
      <c r="I1064" s="40"/>
      <c r="J1064" s="70"/>
      <c r="K1064" s="23"/>
      <c r="L1064" s="70"/>
      <c r="M1064" s="70"/>
      <c r="N1064" s="23"/>
      <c r="O1064" s="23"/>
      <c r="P1064" s="23"/>
      <c r="Q1064" s="23"/>
      <c r="R1064" s="72"/>
      <c r="S1064" s="23"/>
      <c r="T1064" s="23"/>
      <c r="U1064" s="23"/>
      <c r="V1064" s="23"/>
      <c r="W1064" s="23"/>
      <c r="X1064" s="23"/>
      <c r="Y1064" s="23"/>
      <c r="Z1064" s="23"/>
      <c r="AA1064" s="23"/>
      <c r="AB1064" s="23"/>
      <c r="AC1064" s="23"/>
      <c r="AD1064" s="23"/>
      <c r="AE1064" s="23"/>
    </row>
    <row r="1065" spans="1:31">
      <c r="A1065" s="23"/>
      <c r="B1065" s="40"/>
      <c r="C1065" s="40"/>
      <c r="D1065" s="23"/>
      <c r="E1065" s="23"/>
      <c r="F1065" s="23"/>
      <c r="G1065" s="23"/>
      <c r="H1065" s="23"/>
      <c r="I1065" s="40"/>
      <c r="J1065" s="70"/>
      <c r="K1065" s="23"/>
      <c r="L1065" s="70"/>
      <c r="M1065" s="70"/>
      <c r="N1065" s="23"/>
      <c r="O1065" s="23"/>
      <c r="P1065" s="23"/>
      <c r="Q1065" s="23"/>
      <c r="R1065" s="72"/>
      <c r="S1065" s="23"/>
      <c r="T1065" s="23"/>
      <c r="U1065" s="23"/>
      <c r="V1065" s="23"/>
      <c r="W1065" s="23"/>
      <c r="X1065" s="23"/>
      <c r="Y1065" s="23"/>
      <c r="Z1065" s="23"/>
      <c r="AA1065" s="23"/>
      <c r="AB1065" s="23"/>
      <c r="AC1065" s="23"/>
      <c r="AD1065" s="23"/>
      <c r="AE1065" s="23"/>
    </row>
    <row r="1066" spans="1:31" ht="24" customHeight="1">
      <c r="A1066" s="23"/>
      <c r="B1066" s="40"/>
      <c r="C1066" s="40"/>
      <c r="D1066" s="23"/>
      <c r="E1066" s="23"/>
      <c r="F1066" s="23"/>
      <c r="G1066" s="23"/>
      <c r="H1066" s="40"/>
      <c r="I1066" s="40"/>
      <c r="J1066" s="70"/>
      <c r="K1066" s="23"/>
      <c r="L1066" s="70"/>
      <c r="M1066" s="70"/>
      <c r="N1066" s="23"/>
      <c r="O1066" s="23"/>
      <c r="P1066" s="23"/>
      <c r="Q1066" s="23"/>
      <c r="R1066" s="72"/>
      <c r="S1066" s="23"/>
      <c r="T1066" s="23"/>
      <c r="U1066" s="23"/>
      <c r="V1066" s="23"/>
      <c r="W1066" s="23"/>
      <c r="X1066" s="23"/>
      <c r="Y1066" s="23"/>
      <c r="Z1066" s="23"/>
      <c r="AA1066" s="23"/>
      <c r="AB1066" s="23"/>
      <c r="AC1066" s="23"/>
      <c r="AD1066" s="23"/>
      <c r="AE1066" s="23"/>
    </row>
    <row r="1067" spans="1:31">
      <c r="A1067" s="23"/>
      <c r="B1067" s="40"/>
      <c r="C1067" s="40"/>
      <c r="D1067" s="23"/>
      <c r="E1067" s="23"/>
      <c r="F1067" s="23"/>
      <c r="G1067" s="23"/>
      <c r="H1067" s="40"/>
      <c r="I1067" s="40"/>
      <c r="J1067" s="70"/>
      <c r="K1067" s="23"/>
      <c r="L1067" s="70"/>
      <c r="M1067" s="70"/>
      <c r="N1067" s="23"/>
      <c r="O1067" s="23"/>
      <c r="P1067" s="23"/>
      <c r="Q1067" s="23"/>
      <c r="R1067" s="72"/>
      <c r="S1067" s="23"/>
      <c r="T1067" s="23"/>
      <c r="U1067" s="23"/>
      <c r="V1067" s="23"/>
      <c r="W1067" s="23"/>
      <c r="X1067" s="23"/>
      <c r="Y1067" s="23"/>
      <c r="Z1067" s="23"/>
      <c r="AA1067" s="23"/>
      <c r="AB1067" s="23"/>
      <c r="AC1067" s="23"/>
      <c r="AD1067" s="23"/>
      <c r="AE1067" s="23"/>
    </row>
    <row r="1068" spans="1:31">
      <c r="A1068" s="23"/>
      <c r="B1068" s="40"/>
      <c r="C1068" s="40"/>
      <c r="D1068" s="23"/>
      <c r="E1068" s="23"/>
      <c r="F1068" s="23"/>
      <c r="G1068" s="23"/>
      <c r="H1068" s="40"/>
      <c r="I1068" s="40"/>
      <c r="J1068" s="70"/>
      <c r="K1068" s="23"/>
      <c r="L1068" s="70"/>
      <c r="M1068" s="70"/>
      <c r="N1068" s="23"/>
      <c r="O1068" s="23"/>
      <c r="P1068" s="23"/>
      <c r="Q1068" s="23"/>
      <c r="R1068" s="72"/>
      <c r="S1068" s="23"/>
      <c r="T1068" s="23"/>
      <c r="U1068" s="23"/>
      <c r="V1068" s="23"/>
      <c r="W1068" s="23"/>
      <c r="X1068" s="23"/>
      <c r="Y1068" s="23"/>
      <c r="Z1068" s="23"/>
      <c r="AA1068" s="23"/>
      <c r="AB1068" s="23"/>
      <c r="AC1068" s="23"/>
      <c r="AD1068" s="23"/>
      <c r="AE1068" s="23"/>
    </row>
    <row r="1069" spans="1:31">
      <c r="A1069" s="23"/>
      <c r="B1069" s="40"/>
      <c r="C1069" s="40"/>
      <c r="D1069" s="23"/>
      <c r="E1069" s="23"/>
      <c r="F1069" s="23"/>
      <c r="G1069" s="23"/>
      <c r="H1069" s="40"/>
      <c r="I1069" s="40"/>
      <c r="J1069" s="70"/>
      <c r="K1069" s="23"/>
      <c r="L1069" s="70"/>
      <c r="M1069" s="70"/>
      <c r="N1069" s="23"/>
      <c r="O1069" s="23"/>
      <c r="P1069" s="23"/>
      <c r="Q1069" s="23"/>
      <c r="R1069" s="72"/>
      <c r="S1069" s="23"/>
      <c r="T1069" s="23"/>
      <c r="U1069" s="23"/>
      <c r="V1069" s="23"/>
      <c r="W1069" s="23"/>
      <c r="X1069" s="23"/>
      <c r="Y1069" s="23"/>
      <c r="Z1069" s="23"/>
      <c r="AA1069" s="23"/>
      <c r="AB1069" s="23"/>
      <c r="AC1069" s="23"/>
      <c r="AD1069" s="23"/>
      <c r="AE1069" s="23"/>
    </row>
    <row r="1070" spans="1:31">
      <c r="A1070" s="23"/>
      <c r="B1070" s="40"/>
      <c r="C1070" s="40"/>
      <c r="D1070" s="23"/>
      <c r="E1070" s="23"/>
      <c r="F1070" s="23"/>
      <c r="G1070" s="23"/>
      <c r="H1070" s="23"/>
      <c r="I1070" s="40"/>
      <c r="J1070" s="70"/>
      <c r="K1070" s="23"/>
      <c r="L1070" s="70"/>
      <c r="M1070" s="70"/>
      <c r="N1070" s="23"/>
      <c r="O1070" s="23"/>
      <c r="P1070" s="23"/>
      <c r="Q1070" s="23"/>
      <c r="R1070" s="72"/>
      <c r="S1070" s="23"/>
      <c r="T1070" s="23"/>
      <c r="U1070" s="23"/>
      <c r="V1070" s="23"/>
      <c r="W1070" s="23"/>
      <c r="X1070" s="23"/>
      <c r="Y1070" s="23"/>
      <c r="Z1070" s="23"/>
      <c r="AA1070" s="23"/>
      <c r="AB1070" s="23"/>
      <c r="AC1070" s="23"/>
      <c r="AD1070" s="23"/>
      <c r="AE1070" s="23"/>
    </row>
    <row r="1071" spans="1:31">
      <c r="A1071" s="23"/>
      <c r="B1071" s="40"/>
      <c r="C1071" s="40"/>
      <c r="D1071" s="23"/>
      <c r="E1071" s="23"/>
      <c r="F1071" s="23"/>
      <c r="G1071" s="23"/>
      <c r="H1071" s="23"/>
      <c r="I1071" s="40"/>
      <c r="J1071" s="70"/>
      <c r="K1071" s="23"/>
      <c r="L1071" s="70"/>
      <c r="M1071" s="70"/>
      <c r="N1071" s="23"/>
      <c r="O1071" s="23"/>
      <c r="P1071" s="23"/>
      <c r="Q1071" s="23"/>
      <c r="R1071" s="72"/>
      <c r="S1071" s="23"/>
      <c r="T1071" s="23"/>
      <c r="U1071" s="23"/>
      <c r="V1071" s="23"/>
      <c r="W1071" s="23"/>
      <c r="X1071" s="23"/>
      <c r="Y1071" s="23"/>
      <c r="Z1071" s="23"/>
      <c r="AA1071" s="23"/>
      <c r="AB1071" s="23"/>
      <c r="AC1071" s="23"/>
      <c r="AD1071" s="23"/>
      <c r="AE1071" s="23"/>
    </row>
    <row r="1072" spans="1:31" ht="24" customHeight="1">
      <c r="A1072" s="23"/>
      <c r="B1072" s="40"/>
      <c r="C1072" s="40"/>
      <c r="D1072" s="23"/>
      <c r="E1072" s="23"/>
      <c r="F1072" s="23"/>
      <c r="G1072" s="23"/>
      <c r="H1072" s="40"/>
      <c r="I1072" s="40"/>
      <c r="J1072" s="70"/>
      <c r="K1072" s="23"/>
      <c r="L1072" s="70"/>
      <c r="M1072" s="70"/>
      <c r="N1072" s="23"/>
      <c r="O1072" s="23"/>
      <c r="P1072" s="23"/>
      <c r="Q1072" s="23"/>
      <c r="R1072" s="72"/>
      <c r="S1072" s="23"/>
      <c r="T1072" s="23"/>
      <c r="U1072" s="23"/>
      <c r="V1072" s="23"/>
      <c r="W1072" s="23"/>
      <c r="X1072" s="23"/>
      <c r="Y1072" s="23"/>
      <c r="Z1072" s="23"/>
      <c r="AA1072" s="23"/>
      <c r="AB1072" s="23"/>
      <c r="AC1072" s="23"/>
      <c r="AD1072" s="23"/>
      <c r="AE1072" s="23"/>
    </row>
    <row r="1073" spans="1:31">
      <c r="A1073" s="23"/>
      <c r="B1073" s="40"/>
      <c r="C1073" s="40"/>
      <c r="D1073" s="23"/>
      <c r="E1073" s="23"/>
      <c r="F1073" s="23"/>
      <c r="G1073" s="23"/>
      <c r="H1073" s="40"/>
      <c r="I1073" s="40"/>
      <c r="J1073" s="70"/>
      <c r="K1073" s="23"/>
      <c r="L1073" s="70"/>
      <c r="M1073" s="70"/>
      <c r="N1073" s="23"/>
      <c r="O1073" s="23"/>
      <c r="P1073" s="23"/>
      <c r="Q1073" s="23"/>
      <c r="R1073" s="72"/>
      <c r="S1073" s="23"/>
      <c r="T1073" s="23"/>
      <c r="U1073" s="23"/>
      <c r="V1073" s="23"/>
      <c r="W1073" s="23"/>
      <c r="X1073" s="23"/>
      <c r="Y1073" s="23"/>
      <c r="Z1073" s="23"/>
      <c r="AA1073" s="23"/>
      <c r="AB1073" s="23"/>
      <c r="AC1073" s="23"/>
      <c r="AD1073" s="23"/>
      <c r="AE1073" s="23"/>
    </row>
    <row r="1074" spans="1:31">
      <c r="A1074" s="23"/>
      <c r="B1074" s="40"/>
      <c r="C1074" s="40"/>
      <c r="D1074" s="23"/>
      <c r="E1074" s="23"/>
      <c r="F1074" s="23"/>
      <c r="G1074" s="23"/>
      <c r="H1074" s="40"/>
      <c r="I1074" s="40"/>
      <c r="J1074" s="70"/>
      <c r="K1074" s="23"/>
      <c r="L1074" s="70"/>
      <c r="M1074" s="70"/>
      <c r="N1074" s="23"/>
      <c r="O1074" s="23"/>
      <c r="P1074" s="23"/>
      <c r="Q1074" s="23"/>
      <c r="R1074" s="72"/>
      <c r="S1074" s="23"/>
      <c r="T1074" s="23"/>
      <c r="U1074" s="23"/>
      <c r="V1074" s="23"/>
      <c r="W1074" s="23"/>
      <c r="X1074" s="23"/>
      <c r="Y1074" s="23"/>
      <c r="Z1074" s="23"/>
      <c r="AA1074" s="23"/>
      <c r="AB1074" s="23"/>
      <c r="AC1074" s="23"/>
      <c r="AD1074" s="23"/>
      <c r="AE1074" s="23"/>
    </row>
    <row r="1075" spans="1:31">
      <c r="A1075" s="23"/>
      <c r="B1075" s="40"/>
      <c r="C1075" s="40"/>
      <c r="D1075" s="23"/>
      <c r="E1075" s="23"/>
      <c r="F1075" s="23"/>
      <c r="G1075" s="23"/>
      <c r="H1075" s="40"/>
      <c r="I1075" s="40"/>
      <c r="J1075" s="70"/>
      <c r="K1075" s="23"/>
      <c r="L1075" s="70"/>
      <c r="M1075" s="70"/>
      <c r="N1075" s="23"/>
      <c r="O1075" s="23"/>
      <c r="P1075" s="23"/>
      <c r="Q1075" s="23"/>
      <c r="R1075" s="72"/>
      <c r="S1075" s="23"/>
      <c r="T1075" s="23"/>
      <c r="U1075" s="23"/>
      <c r="V1075" s="23"/>
      <c r="W1075" s="23"/>
      <c r="X1075" s="23"/>
      <c r="Y1075" s="23"/>
      <c r="Z1075" s="23"/>
      <c r="AA1075" s="23"/>
      <c r="AB1075" s="23"/>
      <c r="AC1075" s="23"/>
      <c r="AD1075" s="23"/>
      <c r="AE1075" s="23"/>
    </row>
    <row r="1076" spans="1:31">
      <c r="A1076" s="23"/>
      <c r="B1076" s="40"/>
      <c r="C1076" s="40"/>
      <c r="D1076" s="23"/>
      <c r="E1076" s="23"/>
      <c r="F1076" s="23"/>
      <c r="G1076" s="23"/>
      <c r="H1076" s="40"/>
      <c r="I1076" s="40"/>
      <c r="J1076" s="70"/>
      <c r="K1076" s="23"/>
      <c r="L1076" s="70"/>
      <c r="M1076" s="70"/>
      <c r="N1076" s="23"/>
      <c r="O1076" s="23"/>
      <c r="P1076" s="23"/>
      <c r="Q1076" s="23"/>
      <c r="R1076" s="72"/>
      <c r="S1076" s="23"/>
      <c r="T1076" s="23"/>
      <c r="U1076" s="23"/>
      <c r="V1076" s="23"/>
      <c r="W1076" s="23"/>
      <c r="X1076" s="23"/>
      <c r="Y1076" s="23"/>
      <c r="Z1076" s="23"/>
      <c r="AA1076" s="23"/>
      <c r="AB1076" s="23"/>
      <c r="AC1076" s="23"/>
      <c r="AD1076" s="23"/>
      <c r="AE1076" s="23"/>
    </row>
    <row r="1077" spans="1:31" ht="24" customHeight="1">
      <c r="A1077" s="23"/>
      <c r="B1077" s="40"/>
      <c r="C1077" s="40"/>
      <c r="D1077" s="23"/>
      <c r="E1077" s="23"/>
      <c r="F1077" s="23"/>
      <c r="G1077" s="23"/>
      <c r="H1077" s="40"/>
      <c r="I1077" s="40"/>
      <c r="J1077" s="70"/>
      <c r="K1077" s="23"/>
      <c r="L1077" s="70"/>
      <c r="M1077" s="70"/>
      <c r="N1077" s="23"/>
      <c r="O1077" s="23"/>
      <c r="P1077" s="23"/>
      <c r="Q1077" s="23"/>
      <c r="R1077" s="72"/>
      <c r="S1077" s="23"/>
      <c r="T1077" s="23"/>
      <c r="U1077" s="23"/>
      <c r="V1077" s="23"/>
      <c r="W1077" s="23"/>
      <c r="X1077" s="23"/>
      <c r="Y1077" s="23"/>
      <c r="Z1077" s="23"/>
      <c r="AA1077" s="23"/>
      <c r="AB1077" s="23"/>
      <c r="AC1077" s="23"/>
      <c r="AD1077" s="23"/>
      <c r="AE1077" s="23"/>
    </row>
    <row r="1078" spans="1:31">
      <c r="A1078" s="23"/>
      <c r="B1078" s="40"/>
      <c r="C1078" s="40"/>
      <c r="D1078" s="23"/>
      <c r="E1078" s="23"/>
      <c r="F1078" s="23"/>
      <c r="G1078" s="23"/>
      <c r="H1078" s="40"/>
      <c r="I1078" s="40"/>
      <c r="J1078" s="70"/>
      <c r="K1078" s="23"/>
      <c r="L1078" s="70"/>
      <c r="M1078" s="70"/>
      <c r="N1078" s="23"/>
      <c r="O1078" s="23"/>
      <c r="P1078" s="23"/>
      <c r="Q1078" s="23"/>
      <c r="R1078" s="72"/>
      <c r="S1078" s="23"/>
      <c r="T1078" s="23"/>
      <c r="U1078" s="23"/>
      <c r="V1078" s="23"/>
      <c r="W1078" s="23"/>
      <c r="X1078" s="23"/>
      <c r="Y1078" s="23"/>
      <c r="Z1078" s="23"/>
      <c r="AA1078" s="23"/>
      <c r="AB1078" s="23"/>
      <c r="AC1078" s="23"/>
      <c r="AD1078" s="23"/>
      <c r="AE1078" s="23"/>
    </row>
    <row r="1079" spans="1:31">
      <c r="A1079" s="23"/>
      <c r="B1079" s="40"/>
      <c r="C1079" s="40"/>
      <c r="D1079" s="23"/>
      <c r="E1079" s="23"/>
      <c r="F1079" s="23"/>
      <c r="G1079" s="23"/>
      <c r="H1079" s="23"/>
      <c r="I1079" s="40"/>
      <c r="J1079" s="70"/>
      <c r="K1079" s="23"/>
      <c r="L1079" s="70"/>
      <c r="M1079" s="70"/>
      <c r="N1079" s="23"/>
      <c r="O1079" s="23"/>
      <c r="P1079" s="23"/>
      <c r="Q1079" s="23"/>
      <c r="R1079" s="72"/>
      <c r="S1079" s="23"/>
      <c r="T1079" s="23"/>
      <c r="U1079" s="23"/>
      <c r="V1079" s="23"/>
      <c r="W1079" s="23"/>
      <c r="X1079" s="23"/>
      <c r="Y1079" s="23"/>
      <c r="Z1079" s="23"/>
      <c r="AA1079" s="23"/>
      <c r="AB1079" s="23"/>
      <c r="AC1079" s="23"/>
      <c r="AD1079" s="23"/>
      <c r="AE1079" s="23"/>
    </row>
    <row r="1080" spans="1:31">
      <c r="A1080" s="23"/>
      <c r="B1080" s="40"/>
      <c r="C1080" s="40"/>
      <c r="D1080" s="23"/>
      <c r="E1080" s="23"/>
      <c r="F1080" s="23"/>
      <c r="G1080" s="23"/>
      <c r="H1080" s="23"/>
      <c r="I1080" s="40"/>
      <c r="J1080" s="70"/>
      <c r="K1080" s="23"/>
      <c r="L1080" s="70"/>
      <c r="M1080" s="70"/>
      <c r="N1080" s="23"/>
      <c r="O1080" s="23"/>
      <c r="P1080" s="23"/>
      <c r="Q1080" s="23"/>
      <c r="R1080" s="72"/>
      <c r="S1080" s="23"/>
      <c r="T1080" s="23"/>
      <c r="U1080" s="23"/>
      <c r="V1080" s="23"/>
      <c r="W1080" s="23"/>
      <c r="X1080" s="23"/>
      <c r="Y1080" s="23"/>
      <c r="Z1080" s="23"/>
      <c r="AA1080" s="23"/>
      <c r="AB1080" s="23"/>
      <c r="AC1080" s="23"/>
      <c r="AD1080" s="23"/>
      <c r="AE1080" s="23"/>
    </row>
    <row r="1081" spans="1:31">
      <c r="A1081" s="23"/>
      <c r="B1081" s="40"/>
      <c r="C1081" s="40"/>
      <c r="D1081" s="23"/>
      <c r="E1081" s="23"/>
      <c r="F1081" s="23"/>
      <c r="G1081" s="23"/>
      <c r="H1081" s="23"/>
      <c r="I1081" s="40"/>
      <c r="J1081" s="70"/>
      <c r="K1081" s="23"/>
      <c r="L1081" s="70"/>
      <c r="M1081" s="70"/>
      <c r="N1081" s="23"/>
      <c r="O1081" s="23"/>
      <c r="P1081" s="23"/>
      <c r="Q1081" s="23"/>
      <c r="R1081" s="72"/>
      <c r="S1081" s="23"/>
      <c r="T1081" s="23"/>
      <c r="U1081" s="23"/>
      <c r="V1081" s="23"/>
      <c r="W1081" s="23"/>
      <c r="X1081" s="23"/>
      <c r="Y1081" s="23"/>
      <c r="Z1081" s="23"/>
      <c r="AA1081" s="23"/>
      <c r="AB1081" s="23"/>
      <c r="AC1081" s="23"/>
      <c r="AD1081" s="23"/>
      <c r="AE1081" s="23"/>
    </row>
    <row r="1082" spans="1:31">
      <c r="A1082" s="23"/>
      <c r="B1082" s="40"/>
      <c r="C1082" s="40"/>
      <c r="D1082" s="23"/>
      <c r="E1082" s="23"/>
      <c r="F1082" s="23"/>
      <c r="G1082" s="23"/>
      <c r="H1082" s="23"/>
      <c r="I1082" s="40"/>
      <c r="J1082" s="70"/>
      <c r="K1082" s="23"/>
      <c r="L1082" s="70"/>
      <c r="M1082" s="70"/>
      <c r="N1082" s="23"/>
      <c r="O1082" s="23"/>
      <c r="P1082" s="23"/>
      <c r="Q1082" s="23"/>
      <c r="R1082" s="72"/>
      <c r="S1082" s="23"/>
      <c r="T1082" s="23"/>
      <c r="U1082" s="23"/>
      <c r="V1082" s="23"/>
      <c r="W1082" s="23"/>
      <c r="X1082" s="23"/>
      <c r="Y1082" s="23"/>
      <c r="Z1082" s="23"/>
      <c r="AA1082" s="23"/>
      <c r="AB1082" s="23"/>
      <c r="AC1082" s="23"/>
      <c r="AD1082" s="23"/>
      <c r="AE1082" s="23"/>
    </row>
    <row r="1083" spans="1:31">
      <c r="A1083" s="23"/>
      <c r="B1083" s="40"/>
      <c r="C1083" s="40"/>
      <c r="D1083" s="23"/>
      <c r="E1083" s="23"/>
      <c r="F1083" s="23"/>
      <c r="G1083" s="23"/>
      <c r="H1083" s="23"/>
      <c r="I1083" s="40"/>
      <c r="J1083" s="70"/>
      <c r="K1083" s="23"/>
      <c r="L1083" s="70"/>
      <c r="M1083" s="70"/>
      <c r="N1083" s="23"/>
      <c r="O1083" s="23"/>
      <c r="P1083" s="23"/>
      <c r="Q1083" s="23"/>
      <c r="R1083" s="72"/>
      <c r="S1083" s="23"/>
      <c r="T1083" s="23"/>
      <c r="U1083" s="23"/>
      <c r="V1083" s="23"/>
      <c r="W1083" s="23"/>
      <c r="X1083" s="23"/>
      <c r="Y1083" s="23"/>
      <c r="Z1083" s="23"/>
      <c r="AA1083" s="23"/>
      <c r="AB1083" s="23"/>
      <c r="AC1083" s="23"/>
      <c r="AD1083" s="23"/>
      <c r="AE1083" s="23"/>
    </row>
    <row r="1084" spans="1:31" ht="24" customHeight="1">
      <c r="A1084" s="23"/>
      <c r="B1084" s="40"/>
      <c r="C1084" s="40"/>
      <c r="D1084" s="23"/>
      <c r="E1084" s="23"/>
      <c r="F1084" s="23"/>
      <c r="G1084" s="23"/>
      <c r="H1084" s="40"/>
      <c r="I1084" s="40"/>
      <c r="J1084" s="70"/>
      <c r="K1084" s="23"/>
      <c r="L1084" s="70"/>
      <c r="M1084" s="70"/>
      <c r="N1084" s="23"/>
      <c r="O1084" s="23"/>
      <c r="P1084" s="23"/>
      <c r="Q1084" s="23"/>
      <c r="R1084" s="72"/>
      <c r="S1084" s="23"/>
      <c r="T1084" s="23"/>
      <c r="U1084" s="23"/>
      <c r="V1084" s="23"/>
      <c r="W1084" s="23"/>
      <c r="X1084" s="23"/>
      <c r="Y1084" s="23"/>
      <c r="Z1084" s="23"/>
      <c r="AA1084" s="23"/>
      <c r="AB1084" s="23"/>
      <c r="AC1084" s="23"/>
      <c r="AD1084" s="23"/>
      <c r="AE1084" s="23"/>
    </row>
    <row r="1085" spans="1:31">
      <c r="A1085" s="23"/>
      <c r="B1085" s="40"/>
      <c r="C1085" s="40"/>
      <c r="D1085" s="23"/>
      <c r="E1085" s="23"/>
      <c r="F1085" s="23"/>
      <c r="G1085" s="23"/>
      <c r="H1085" s="40"/>
      <c r="I1085" s="40"/>
      <c r="J1085" s="70"/>
      <c r="K1085" s="23"/>
      <c r="L1085" s="70"/>
      <c r="M1085" s="70"/>
      <c r="N1085" s="23"/>
      <c r="O1085" s="23"/>
      <c r="P1085" s="23"/>
      <c r="Q1085" s="23"/>
      <c r="R1085" s="72"/>
      <c r="S1085" s="23"/>
      <c r="T1085" s="23"/>
      <c r="U1085" s="23"/>
      <c r="V1085" s="23"/>
      <c r="W1085" s="23"/>
      <c r="X1085" s="23"/>
      <c r="Y1085" s="23"/>
      <c r="Z1085" s="23"/>
      <c r="AA1085" s="23"/>
      <c r="AB1085" s="23"/>
      <c r="AC1085" s="23"/>
      <c r="AD1085" s="23"/>
      <c r="AE1085" s="23"/>
    </row>
    <row r="1086" spans="1:31">
      <c r="A1086" s="23"/>
      <c r="B1086" s="40"/>
      <c r="C1086" s="40"/>
      <c r="D1086" s="23"/>
      <c r="E1086" s="23"/>
      <c r="F1086" s="23"/>
      <c r="G1086" s="23"/>
      <c r="H1086" s="40"/>
      <c r="I1086" s="40"/>
      <c r="J1086" s="70"/>
      <c r="K1086" s="23"/>
      <c r="L1086" s="70"/>
      <c r="M1086" s="70"/>
      <c r="N1086" s="23"/>
      <c r="O1086" s="23"/>
      <c r="P1086" s="23"/>
      <c r="Q1086" s="23"/>
      <c r="R1086" s="72"/>
      <c r="S1086" s="23"/>
      <c r="T1086" s="23"/>
      <c r="U1086" s="23"/>
      <c r="V1086" s="23"/>
      <c r="W1086" s="23"/>
      <c r="X1086" s="23"/>
      <c r="Y1086" s="23"/>
      <c r="Z1086" s="23"/>
      <c r="AA1086" s="23"/>
      <c r="AB1086" s="23"/>
      <c r="AC1086" s="23"/>
      <c r="AD1086" s="23"/>
      <c r="AE1086" s="23"/>
    </row>
    <row r="1087" spans="1:31">
      <c r="A1087" s="23"/>
      <c r="B1087" s="40"/>
      <c r="C1087" s="40"/>
      <c r="D1087" s="23"/>
      <c r="E1087" s="23"/>
      <c r="F1087" s="23"/>
      <c r="G1087" s="23"/>
      <c r="H1087" s="40"/>
      <c r="I1087" s="40"/>
      <c r="J1087" s="70"/>
      <c r="K1087" s="23"/>
      <c r="L1087" s="70"/>
      <c r="M1087" s="70"/>
      <c r="N1087" s="23"/>
      <c r="O1087" s="23"/>
      <c r="P1087" s="23"/>
      <c r="Q1087" s="23"/>
      <c r="R1087" s="72"/>
      <c r="S1087" s="23"/>
      <c r="T1087" s="23"/>
      <c r="U1087" s="23"/>
      <c r="V1087" s="23"/>
      <c r="W1087" s="23"/>
      <c r="X1087" s="23"/>
      <c r="Y1087" s="23"/>
      <c r="Z1087" s="23"/>
      <c r="AA1087" s="23"/>
      <c r="AB1087" s="23"/>
      <c r="AC1087" s="23"/>
      <c r="AD1087" s="23"/>
      <c r="AE1087" s="23"/>
    </row>
    <row r="1088" spans="1:31">
      <c r="A1088" s="23"/>
      <c r="B1088" s="40"/>
      <c r="C1088" s="40"/>
      <c r="D1088" s="23"/>
      <c r="E1088" s="23"/>
      <c r="F1088" s="23"/>
      <c r="G1088" s="23"/>
      <c r="H1088" s="23"/>
      <c r="I1088" s="40"/>
      <c r="J1088" s="70"/>
      <c r="K1088" s="23"/>
      <c r="L1088" s="70"/>
      <c r="M1088" s="70"/>
      <c r="N1088" s="23"/>
      <c r="O1088" s="23"/>
      <c r="P1088" s="23"/>
      <c r="Q1088" s="23"/>
      <c r="R1088" s="72"/>
      <c r="S1088" s="23"/>
      <c r="T1088" s="23"/>
      <c r="U1088" s="23"/>
      <c r="V1088" s="23"/>
      <c r="W1088" s="23"/>
      <c r="X1088" s="23"/>
      <c r="Y1088" s="23"/>
      <c r="Z1088" s="23"/>
      <c r="AA1088" s="23"/>
      <c r="AB1088" s="23"/>
      <c r="AC1088" s="23"/>
      <c r="AD1088" s="23"/>
      <c r="AE1088" s="23"/>
    </row>
    <row r="1089" spans="1:31">
      <c r="A1089" s="23"/>
      <c r="B1089" s="40"/>
      <c r="C1089" s="40"/>
      <c r="D1089" s="23"/>
      <c r="E1089" s="23"/>
      <c r="F1089" s="23"/>
      <c r="G1089" s="23"/>
      <c r="H1089" s="23"/>
      <c r="I1089" s="40"/>
      <c r="J1089" s="70"/>
      <c r="K1089" s="23"/>
      <c r="L1089" s="70"/>
      <c r="M1089" s="70"/>
      <c r="N1089" s="23"/>
      <c r="O1089" s="23"/>
      <c r="P1089" s="23"/>
      <c r="Q1089" s="23"/>
      <c r="R1089" s="72"/>
      <c r="S1089" s="23"/>
      <c r="T1089" s="23"/>
      <c r="U1089" s="23"/>
      <c r="V1089" s="23"/>
      <c r="W1089" s="23"/>
      <c r="X1089" s="23"/>
      <c r="Y1089" s="23"/>
      <c r="Z1089" s="23"/>
      <c r="AA1089" s="23"/>
      <c r="AB1089" s="23"/>
      <c r="AC1089" s="23"/>
      <c r="AD1089" s="23"/>
      <c r="AE1089" s="23"/>
    </row>
    <row r="1090" spans="1:31" ht="24" customHeight="1">
      <c r="A1090" s="23"/>
      <c r="B1090" s="40"/>
      <c r="C1090" s="40"/>
      <c r="D1090" s="23"/>
      <c r="E1090" s="23"/>
      <c r="F1090" s="23"/>
      <c r="G1090" s="23"/>
      <c r="H1090" s="40"/>
      <c r="I1090" s="40"/>
      <c r="J1090" s="70"/>
      <c r="K1090" s="23"/>
      <c r="L1090" s="70"/>
      <c r="M1090" s="70"/>
      <c r="N1090" s="23"/>
      <c r="O1090" s="23"/>
      <c r="P1090" s="23"/>
      <c r="Q1090" s="23"/>
      <c r="R1090" s="72"/>
      <c r="S1090" s="23"/>
      <c r="T1090" s="23"/>
      <c r="U1090" s="23"/>
      <c r="V1090" s="23"/>
      <c r="W1090" s="23"/>
      <c r="X1090" s="23"/>
      <c r="Y1090" s="23"/>
      <c r="Z1090" s="23"/>
      <c r="AA1090" s="23"/>
      <c r="AB1090" s="23"/>
      <c r="AC1090" s="23"/>
      <c r="AD1090" s="23"/>
      <c r="AE1090" s="23"/>
    </row>
    <row r="1091" spans="1:31">
      <c r="A1091" s="23"/>
      <c r="B1091" s="40"/>
      <c r="C1091" s="40"/>
      <c r="D1091" s="23"/>
      <c r="E1091" s="23"/>
      <c r="F1091" s="23"/>
      <c r="G1091" s="23"/>
      <c r="H1091" s="40"/>
      <c r="I1091" s="40"/>
      <c r="J1091" s="70"/>
      <c r="K1091" s="23"/>
      <c r="L1091" s="70"/>
      <c r="M1091" s="70"/>
      <c r="N1091" s="23"/>
      <c r="O1091" s="23"/>
      <c r="P1091" s="23"/>
      <c r="Q1091" s="23"/>
      <c r="R1091" s="72"/>
      <c r="S1091" s="23"/>
      <c r="T1091" s="23"/>
      <c r="U1091" s="23"/>
      <c r="V1091" s="23"/>
      <c r="W1091" s="23"/>
      <c r="X1091" s="23"/>
      <c r="Y1091" s="23"/>
      <c r="Z1091" s="23"/>
      <c r="AA1091" s="23"/>
      <c r="AB1091" s="23"/>
      <c r="AC1091" s="23"/>
      <c r="AD1091" s="23"/>
      <c r="AE1091" s="23"/>
    </row>
    <row r="1092" spans="1:31">
      <c r="A1092" s="23"/>
      <c r="B1092" s="40"/>
      <c r="C1092" s="40"/>
      <c r="D1092" s="23"/>
      <c r="E1092" s="23"/>
      <c r="F1092" s="23"/>
      <c r="G1092" s="23"/>
      <c r="H1092" s="40"/>
      <c r="I1092" s="40"/>
      <c r="J1092" s="70"/>
      <c r="K1092" s="23"/>
      <c r="L1092" s="70"/>
      <c r="M1092" s="70"/>
      <c r="N1092" s="23"/>
      <c r="O1092" s="23"/>
      <c r="P1092" s="23"/>
      <c r="Q1092" s="23"/>
      <c r="R1092" s="72"/>
      <c r="S1092" s="23"/>
      <c r="T1092" s="23"/>
      <c r="U1092" s="23"/>
      <c r="V1092" s="23"/>
      <c r="W1092" s="23"/>
      <c r="X1092" s="23"/>
      <c r="Y1092" s="23"/>
      <c r="Z1092" s="23"/>
      <c r="AA1092" s="23"/>
      <c r="AB1092" s="23"/>
      <c r="AC1092" s="23"/>
      <c r="AD1092" s="23"/>
      <c r="AE1092" s="23"/>
    </row>
    <row r="1093" spans="1:31">
      <c r="A1093" s="23"/>
      <c r="B1093" s="40"/>
      <c r="C1093" s="40"/>
      <c r="D1093" s="23"/>
      <c r="E1093" s="23"/>
      <c r="F1093" s="23"/>
      <c r="G1093" s="23"/>
      <c r="H1093" s="40"/>
      <c r="I1093" s="40"/>
      <c r="J1093" s="70"/>
      <c r="K1093" s="23"/>
      <c r="L1093" s="70"/>
      <c r="M1093" s="70"/>
      <c r="N1093" s="23"/>
      <c r="O1093" s="23"/>
      <c r="P1093" s="23"/>
      <c r="Q1093" s="23"/>
      <c r="R1093" s="72"/>
      <c r="S1093" s="23"/>
      <c r="T1093" s="23"/>
      <c r="U1093" s="23"/>
      <c r="V1093" s="23"/>
      <c r="W1093" s="23"/>
      <c r="X1093" s="23"/>
      <c r="Y1093" s="23"/>
      <c r="Z1093" s="23"/>
      <c r="AA1093" s="23"/>
      <c r="AB1093" s="23"/>
      <c r="AC1093" s="23"/>
      <c r="AD1093" s="23"/>
      <c r="AE1093" s="23"/>
    </row>
    <row r="1094" spans="1:31">
      <c r="A1094" s="23"/>
      <c r="B1094" s="40"/>
      <c r="C1094" s="40"/>
      <c r="D1094" s="23"/>
      <c r="E1094" s="23"/>
      <c r="F1094" s="23"/>
      <c r="G1094" s="23"/>
      <c r="H1094" s="40"/>
      <c r="I1094" s="40"/>
      <c r="J1094" s="70"/>
      <c r="K1094" s="23"/>
      <c r="L1094" s="70"/>
      <c r="M1094" s="70"/>
      <c r="N1094" s="23"/>
      <c r="O1094" s="23"/>
      <c r="P1094" s="23"/>
      <c r="Q1094" s="23"/>
      <c r="R1094" s="72"/>
      <c r="S1094" s="23"/>
      <c r="T1094" s="23"/>
      <c r="U1094" s="23"/>
      <c r="V1094" s="23"/>
      <c r="W1094" s="23"/>
      <c r="X1094" s="23"/>
      <c r="Y1094" s="23"/>
      <c r="Z1094" s="23"/>
      <c r="AA1094" s="23"/>
      <c r="AB1094" s="23"/>
      <c r="AC1094" s="23"/>
      <c r="AD1094" s="23"/>
      <c r="AE1094" s="23"/>
    </row>
    <row r="1095" spans="1:31" ht="24" customHeight="1">
      <c r="A1095" s="23"/>
      <c r="B1095" s="40"/>
      <c r="C1095" s="40"/>
      <c r="D1095" s="23"/>
      <c r="E1095" s="23"/>
      <c r="F1095" s="23"/>
      <c r="G1095" s="23"/>
      <c r="H1095" s="40"/>
      <c r="I1095" s="40"/>
      <c r="J1095" s="70"/>
      <c r="K1095" s="23"/>
      <c r="L1095" s="70"/>
      <c r="M1095" s="70"/>
      <c r="N1095" s="23"/>
      <c r="O1095" s="23"/>
      <c r="P1095" s="23"/>
      <c r="Q1095" s="23"/>
      <c r="R1095" s="72"/>
      <c r="S1095" s="23"/>
      <c r="T1095" s="23"/>
      <c r="U1095" s="23"/>
      <c r="V1095" s="23"/>
      <c r="W1095" s="23"/>
      <c r="X1095" s="23"/>
      <c r="Y1095" s="23"/>
      <c r="Z1095" s="23"/>
      <c r="AA1095" s="23"/>
      <c r="AB1095" s="23"/>
      <c r="AC1095" s="23"/>
      <c r="AD1095" s="23"/>
      <c r="AE1095" s="23"/>
    </row>
    <row r="1096" spans="1:31">
      <c r="A1096" s="23"/>
      <c r="B1096" s="40"/>
      <c r="C1096" s="40"/>
      <c r="D1096" s="23"/>
      <c r="E1096" s="23"/>
      <c r="F1096" s="23"/>
      <c r="G1096" s="23"/>
      <c r="H1096" s="40"/>
      <c r="I1096" s="40"/>
      <c r="J1096" s="70"/>
      <c r="K1096" s="23"/>
      <c r="L1096" s="70"/>
      <c r="M1096" s="70"/>
      <c r="N1096" s="23"/>
      <c r="O1096" s="23"/>
      <c r="P1096" s="23"/>
      <c r="Q1096" s="23"/>
      <c r="R1096" s="72"/>
      <c r="S1096" s="23"/>
      <c r="T1096" s="23"/>
      <c r="U1096" s="23"/>
      <c r="V1096" s="23"/>
      <c r="W1096" s="23"/>
      <c r="X1096" s="23"/>
      <c r="Y1096" s="23"/>
      <c r="Z1096" s="23"/>
      <c r="AA1096" s="23"/>
      <c r="AB1096" s="23"/>
      <c r="AC1096" s="23"/>
      <c r="AD1096" s="23"/>
      <c r="AE1096" s="23"/>
    </row>
    <row r="1097" spans="1:31">
      <c r="A1097" s="23"/>
      <c r="B1097" s="40"/>
      <c r="C1097" s="40"/>
      <c r="D1097" s="23"/>
      <c r="E1097" s="23"/>
      <c r="F1097" s="23"/>
      <c r="G1097" s="23"/>
      <c r="H1097" s="23"/>
      <c r="I1097" s="40"/>
      <c r="J1097" s="70"/>
      <c r="K1097" s="23"/>
      <c r="L1097" s="70"/>
      <c r="M1097" s="70"/>
      <c r="N1097" s="23"/>
      <c r="O1097" s="23"/>
      <c r="P1097" s="23"/>
      <c r="Q1097" s="23"/>
      <c r="R1097" s="72"/>
      <c r="S1097" s="23"/>
      <c r="T1097" s="23"/>
      <c r="U1097" s="23"/>
      <c r="V1097" s="23"/>
      <c r="W1097" s="23"/>
      <c r="X1097" s="23"/>
      <c r="Y1097" s="23"/>
      <c r="Z1097" s="23"/>
      <c r="AA1097" s="23"/>
      <c r="AB1097" s="23"/>
      <c r="AC1097" s="23"/>
      <c r="AD1097" s="23"/>
      <c r="AE1097" s="23"/>
    </row>
    <row r="1098" spans="1:31">
      <c r="A1098" s="23"/>
      <c r="B1098" s="40"/>
      <c r="C1098" s="40"/>
      <c r="D1098" s="23"/>
      <c r="E1098" s="23"/>
      <c r="F1098" s="23"/>
      <c r="G1098" s="23"/>
      <c r="H1098" s="23"/>
      <c r="I1098" s="40"/>
      <c r="J1098" s="70"/>
      <c r="K1098" s="23"/>
      <c r="L1098" s="70"/>
      <c r="M1098" s="70"/>
      <c r="N1098" s="23"/>
      <c r="O1098" s="23"/>
      <c r="P1098" s="23"/>
      <c r="Q1098" s="23"/>
      <c r="R1098" s="72"/>
      <c r="S1098" s="23"/>
      <c r="T1098" s="23"/>
      <c r="U1098" s="23"/>
      <c r="V1098" s="23"/>
      <c r="W1098" s="23"/>
      <c r="X1098" s="23"/>
      <c r="Y1098" s="23"/>
      <c r="Z1098" s="23"/>
      <c r="AA1098" s="23"/>
      <c r="AB1098" s="23"/>
      <c r="AC1098" s="23"/>
      <c r="AD1098" s="23"/>
      <c r="AE1098" s="23"/>
    </row>
    <row r="1099" spans="1:31">
      <c r="A1099" s="23"/>
      <c r="B1099" s="40"/>
      <c r="C1099" s="40"/>
      <c r="D1099" s="23"/>
      <c r="E1099" s="23"/>
      <c r="F1099" s="23"/>
      <c r="G1099" s="23"/>
      <c r="H1099" s="23"/>
      <c r="I1099" s="40"/>
      <c r="J1099" s="70"/>
      <c r="K1099" s="23"/>
      <c r="L1099" s="70"/>
      <c r="M1099" s="70"/>
      <c r="N1099" s="23"/>
      <c r="O1099" s="23"/>
      <c r="P1099" s="23"/>
      <c r="Q1099" s="23"/>
      <c r="R1099" s="72"/>
      <c r="S1099" s="23"/>
      <c r="T1099" s="23"/>
      <c r="U1099" s="23"/>
      <c r="V1099" s="23"/>
      <c r="W1099" s="23"/>
      <c r="X1099" s="23"/>
      <c r="Y1099" s="23"/>
      <c r="Z1099" s="23"/>
      <c r="AA1099" s="23"/>
      <c r="AB1099" s="23"/>
      <c r="AC1099" s="23"/>
      <c r="AD1099" s="23"/>
      <c r="AE1099" s="23"/>
    </row>
    <row r="1100" spans="1:31">
      <c r="A1100" s="23"/>
      <c r="B1100" s="40"/>
      <c r="C1100" s="40"/>
      <c r="D1100" s="23"/>
      <c r="E1100" s="23"/>
      <c r="F1100" s="23"/>
      <c r="G1100" s="23"/>
      <c r="H1100" s="23"/>
      <c r="I1100" s="40"/>
      <c r="J1100" s="70"/>
      <c r="K1100" s="23"/>
      <c r="L1100" s="70"/>
      <c r="M1100" s="70"/>
      <c r="N1100" s="23"/>
      <c r="O1100" s="23"/>
      <c r="P1100" s="23"/>
      <c r="Q1100" s="23"/>
      <c r="R1100" s="72"/>
      <c r="S1100" s="23"/>
      <c r="T1100" s="23"/>
      <c r="U1100" s="23"/>
      <c r="V1100" s="23"/>
      <c r="W1100" s="23"/>
      <c r="X1100" s="23"/>
      <c r="Y1100" s="23"/>
      <c r="Z1100" s="23"/>
      <c r="AA1100" s="23"/>
      <c r="AB1100" s="23"/>
      <c r="AC1100" s="23"/>
      <c r="AD1100" s="23"/>
      <c r="AE1100" s="23"/>
    </row>
    <row r="1101" spans="1:31">
      <c r="A1101" s="23"/>
      <c r="B1101" s="40"/>
      <c r="C1101" s="40"/>
      <c r="D1101" s="23"/>
      <c r="E1101" s="23"/>
      <c r="F1101" s="23"/>
      <c r="G1101" s="23"/>
      <c r="H1101" s="23"/>
      <c r="I1101" s="40"/>
      <c r="J1101" s="70"/>
      <c r="K1101" s="23"/>
      <c r="L1101" s="70"/>
      <c r="M1101" s="70"/>
      <c r="N1101" s="23"/>
      <c r="O1101" s="23"/>
      <c r="P1101" s="23"/>
      <c r="Q1101" s="23"/>
      <c r="R1101" s="72"/>
      <c r="S1101" s="23"/>
      <c r="T1101" s="23"/>
      <c r="U1101" s="23"/>
      <c r="V1101" s="23"/>
      <c r="W1101" s="23"/>
      <c r="X1101" s="23"/>
      <c r="Y1101" s="23"/>
      <c r="Z1101" s="23"/>
      <c r="AA1101" s="23"/>
      <c r="AB1101" s="23"/>
      <c r="AC1101" s="23"/>
      <c r="AD1101" s="23"/>
      <c r="AE1101" s="23"/>
    </row>
    <row r="1102" spans="1:31">
      <c r="A1102" s="23"/>
      <c r="B1102" s="40"/>
      <c r="C1102" s="40"/>
      <c r="D1102" s="23"/>
      <c r="E1102" s="23"/>
      <c r="F1102" s="23"/>
      <c r="G1102" s="23"/>
      <c r="H1102" s="23"/>
      <c r="I1102" s="40"/>
      <c r="J1102" s="70"/>
      <c r="K1102" s="23"/>
      <c r="L1102" s="70"/>
      <c r="M1102" s="70"/>
      <c r="N1102" s="23"/>
      <c r="O1102" s="23"/>
      <c r="P1102" s="23"/>
      <c r="Q1102" s="23"/>
      <c r="R1102" s="72"/>
      <c r="S1102" s="23"/>
      <c r="T1102" s="23"/>
      <c r="U1102" s="23"/>
      <c r="V1102" s="23"/>
      <c r="W1102" s="23"/>
      <c r="X1102" s="23"/>
      <c r="Y1102" s="23"/>
      <c r="Z1102" s="23"/>
      <c r="AA1102" s="23"/>
      <c r="AB1102" s="23"/>
      <c r="AC1102" s="23"/>
      <c r="AD1102" s="23"/>
      <c r="AE1102" s="23"/>
    </row>
    <row r="1103" spans="1:31">
      <c r="A1103" s="23"/>
      <c r="B1103" s="40"/>
      <c r="C1103" s="40"/>
      <c r="D1103" s="23"/>
      <c r="E1103" s="23"/>
      <c r="F1103" s="23"/>
      <c r="G1103" s="23"/>
      <c r="H1103" s="23"/>
      <c r="I1103" s="40"/>
      <c r="J1103" s="70"/>
      <c r="K1103" s="23"/>
      <c r="L1103" s="70"/>
      <c r="M1103" s="70"/>
      <c r="N1103" s="23"/>
      <c r="O1103" s="23"/>
      <c r="P1103" s="23"/>
      <c r="Q1103" s="23"/>
      <c r="R1103" s="72"/>
      <c r="S1103" s="23"/>
      <c r="T1103" s="23"/>
      <c r="U1103" s="23"/>
      <c r="V1103" s="23"/>
      <c r="W1103" s="23"/>
      <c r="X1103" s="23"/>
      <c r="Y1103" s="23"/>
      <c r="Z1103" s="23"/>
      <c r="AA1103" s="23"/>
      <c r="AB1103" s="23"/>
      <c r="AC1103" s="23"/>
      <c r="AD1103" s="23"/>
      <c r="AE1103" s="23"/>
    </row>
    <row r="1104" spans="1:31" ht="24" customHeight="1">
      <c r="A1104" s="23"/>
      <c r="B1104" s="40"/>
      <c r="C1104" s="40"/>
      <c r="D1104" s="23"/>
      <c r="E1104" s="23"/>
      <c r="F1104" s="23"/>
      <c r="G1104" s="23"/>
      <c r="H1104" s="40"/>
      <c r="I1104" s="40"/>
      <c r="J1104" s="70"/>
      <c r="K1104" s="23"/>
      <c r="L1104" s="70"/>
      <c r="M1104" s="70"/>
      <c r="N1104" s="23"/>
      <c r="O1104" s="23"/>
      <c r="P1104" s="23"/>
      <c r="Q1104" s="23"/>
      <c r="R1104" s="72"/>
      <c r="S1104" s="23"/>
      <c r="T1104" s="23"/>
      <c r="U1104" s="23"/>
      <c r="V1104" s="23"/>
      <c r="W1104" s="23"/>
      <c r="X1104" s="23"/>
      <c r="Y1104" s="23"/>
      <c r="Z1104" s="23"/>
      <c r="AA1104" s="23"/>
      <c r="AB1104" s="23"/>
      <c r="AC1104" s="23"/>
      <c r="AD1104" s="23"/>
      <c r="AE1104" s="23"/>
    </row>
    <row r="1105" spans="1:31">
      <c r="A1105" s="23"/>
      <c r="B1105" s="40"/>
      <c r="C1105" s="40"/>
      <c r="D1105" s="23"/>
      <c r="E1105" s="23"/>
      <c r="F1105" s="23"/>
      <c r="G1105" s="23"/>
      <c r="H1105" s="40"/>
      <c r="I1105" s="40"/>
      <c r="J1105" s="70"/>
      <c r="K1105" s="23"/>
      <c r="L1105" s="70"/>
      <c r="M1105" s="70"/>
      <c r="N1105" s="23"/>
      <c r="O1105" s="23"/>
      <c r="P1105" s="23"/>
      <c r="Q1105" s="23"/>
      <c r="R1105" s="72"/>
      <c r="S1105" s="23"/>
      <c r="T1105" s="23"/>
      <c r="U1105" s="23"/>
      <c r="V1105" s="23"/>
      <c r="W1105" s="23"/>
      <c r="X1105" s="23"/>
      <c r="Y1105" s="23"/>
      <c r="Z1105" s="23"/>
      <c r="AA1105" s="23"/>
      <c r="AB1105" s="23"/>
      <c r="AC1105" s="23"/>
      <c r="AD1105" s="23"/>
      <c r="AE1105" s="23"/>
    </row>
    <row r="1106" spans="1:31">
      <c r="A1106" s="23"/>
      <c r="B1106" s="40"/>
      <c r="C1106" s="40"/>
      <c r="D1106" s="23"/>
      <c r="E1106" s="23"/>
      <c r="F1106" s="23"/>
      <c r="G1106" s="23"/>
      <c r="H1106" s="40"/>
      <c r="I1106" s="40"/>
      <c r="J1106" s="70"/>
      <c r="K1106" s="23"/>
      <c r="L1106" s="70"/>
      <c r="M1106" s="70"/>
      <c r="N1106" s="23"/>
      <c r="O1106" s="23"/>
      <c r="P1106" s="23"/>
      <c r="Q1106" s="23"/>
      <c r="R1106" s="72"/>
      <c r="S1106" s="23"/>
      <c r="T1106" s="23"/>
      <c r="U1106" s="23"/>
      <c r="V1106" s="23"/>
      <c r="W1106" s="23"/>
      <c r="X1106" s="23"/>
      <c r="Y1106" s="23"/>
      <c r="Z1106" s="23"/>
      <c r="AA1106" s="23"/>
      <c r="AB1106" s="23"/>
      <c r="AC1106" s="23"/>
      <c r="AD1106" s="23"/>
      <c r="AE1106" s="23"/>
    </row>
    <row r="1107" spans="1:31">
      <c r="A1107" s="23"/>
      <c r="B1107" s="40"/>
      <c r="C1107" s="40"/>
      <c r="D1107" s="23"/>
      <c r="E1107" s="23"/>
      <c r="F1107" s="23"/>
      <c r="G1107" s="23"/>
      <c r="H1107" s="40"/>
      <c r="I1107" s="40"/>
      <c r="J1107" s="70"/>
      <c r="K1107" s="23"/>
      <c r="L1107" s="70"/>
      <c r="M1107" s="70"/>
      <c r="N1107" s="23"/>
      <c r="O1107" s="23"/>
      <c r="P1107" s="23"/>
      <c r="Q1107" s="23"/>
      <c r="R1107" s="72"/>
      <c r="S1107" s="23"/>
      <c r="T1107" s="23"/>
      <c r="U1107" s="23"/>
      <c r="V1107" s="23"/>
      <c r="W1107" s="23"/>
      <c r="X1107" s="23"/>
      <c r="Y1107" s="23"/>
      <c r="Z1107" s="23"/>
      <c r="AA1107" s="23"/>
      <c r="AB1107" s="23"/>
      <c r="AC1107" s="23"/>
      <c r="AD1107" s="23"/>
      <c r="AE1107" s="23"/>
    </row>
    <row r="1108" spans="1:31">
      <c r="A1108" s="23"/>
      <c r="B1108" s="40"/>
      <c r="C1108" s="40"/>
      <c r="D1108" s="23"/>
      <c r="E1108" s="23"/>
      <c r="F1108" s="23"/>
      <c r="G1108" s="23"/>
      <c r="H1108" s="40"/>
      <c r="I1108" s="40"/>
      <c r="J1108" s="70"/>
      <c r="K1108" s="23"/>
      <c r="L1108" s="70"/>
      <c r="M1108" s="70"/>
      <c r="N1108" s="23"/>
      <c r="O1108" s="23"/>
      <c r="P1108" s="23"/>
      <c r="Q1108" s="23"/>
      <c r="R1108" s="72"/>
      <c r="S1108" s="23"/>
      <c r="T1108" s="23"/>
      <c r="U1108" s="23"/>
      <c r="V1108" s="23"/>
      <c r="W1108" s="23"/>
      <c r="X1108" s="23"/>
      <c r="Y1108" s="23"/>
      <c r="Z1108" s="23"/>
      <c r="AA1108" s="23"/>
      <c r="AB1108" s="23"/>
      <c r="AC1108" s="23"/>
      <c r="AD1108" s="23"/>
      <c r="AE1108" s="23"/>
    </row>
    <row r="1109" spans="1:31">
      <c r="A1109" s="23"/>
      <c r="B1109" s="40"/>
      <c r="C1109" s="40"/>
      <c r="D1109" s="23"/>
      <c r="E1109" s="23"/>
      <c r="F1109" s="23"/>
      <c r="G1109" s="23"/>
      <c r="H1109" s="40"/>
      <c r="I1109" s="40"/>
      <c r="J1109" s="70"/>
      <c r="K1109" s="23"/>
      <c r="L1109" s="70"/>
      <c r="M1109" s="70"/>
      <c r="N1109" s="23"/>
      <c r="O1109" s="23"/>
      <c r="P1109" s="23"/>
      <c r="Q1109" s="23"/>
      <c r="R1109" s="72"/>
      <c r="S1109" s="23"/>
      <c r="T1109" s="23"/>
      <c r="U1109" s="23"/>
      <c r="V1109" s="23"/>
      <c r="W1109" s="23"/>
      <c r="X1109" s="23"/>
      <c r="Y1109" s="23"/>
      <c r="Z1109" s="23"/>
      <c r="AA1109" s="23"/>
      <c r="AB1109" s="23"/>
      <c r="AC1109" s="23"/>
      <c r="AD1109" s="23"/>
      <c r="AE1109" s="23"/>
    </row>
    <row r="1110" spans="1:31">
      <c r="A1110" s="23"/>
      <c r="B1110" s="40"/>
      <c r="C1110" s="40"/>
      <c r="D1110" s="23"/>
      <c r="E1110" s="23"/>
      <c r="F1110" s="23"/>
      <c r="G1110" s="23"/>
      <c r="H1110" s="23"/>
      <c r="I1110" s="40"/>
      <c r="J1110" s="70"/>
      <c r="K1110" s="23"/>
      <c r="L1110" s="70"/>
      <c r="M1110" s="70"/>
      <c r="N1110" s="23"/>
      <c r="O1110" s="23"/>
      <c r="P1110" s="23"/>
      <c r="Q1110" s="23"/>
      <c r="R1110" s="72"/>
      <c r="S1110" s="23"/>
      <c r="T1110" s="23"/>
      <c r="U1110" s="23"/>
      <c r="V1110" s="23"/>
      <c r="W1110" s="23"/>
      <c r="X1110" s="23"/>
      <c r="Y1110" s="23"/>
      <c r="Z1110" s="23"/>
      <c r="AA1110" s="23"/>
      <c r="AB1110" s="23"/>
      <c r="AC1110" s="23"/>
      <c r="AD1110" s="23"/>
      <c r="AE1110" s="23"/>
    </row>
    <row r="1111" spans="1:31">
      <c r="A1111" s="23"/>
      <c r="B1111" s="40"/>
      <c r="C1111" s="40"/>
      <c r="D1111" s="23"/>
      <c r="E1111" s="23"/>
      <c r="F1111" s="23"/>
      <c r="G1111" s="23"/>
      <c r="H1111" s="23"/>
      <c r="I1111" s="40"/>
      <c r="J1111" s="70"/>
      <c r="K1111" s="23"/>
      <c r="L1111" s="70"/>
      <c r="M1111" s="70"/>
      <c r="N1111" s="23"/>
      <c r="O1111" s="23"/>
      <c r="P1111" s="23"/>
      <c r="Q1111" s="23"/>
      <c r="R1111" s="72"/>
      <c r="S1111" s="23"/>
      <c r="T1111" s="23"/>
      <c r="U1111" s="23"/>
      <c r="V1111" s="23"/>
      <c r="W1111" s="23"/>
      <c r="X1111" s="23"/>
      <c r="Y1111" s="23"/>
      <c r="Z1111" s="23"/>
      <c r="AA1111" s="23"/>
      <c r="AB1111" s="23"/>
      <c r="AC1111" s="23"/>
      <c r="AD1111" s="23"/>
      <c r="AE1111" s="23"/>
    </row>
    <row r="1112" spans="1:31">
      <c r="A1112" s="23"/>
      <c r="B1112" s="40"/>
      <c r="C1112" s="40"/>
      <c r="D1112" s="23"/>
      <c r="E1112" s="23"/>
      <c r="F1112" s="23"/>
      <c r="G1112" s="23"/>
      <c r="H1112" s="23"/>
      <c r="I1112" s="40"/>
      <c r="J1112" s="70"/>
      <c r="K1112" s="23"/>
      <c r="L1112" s="70"/>
      <c r="M1112" s="70"/>
      <c r="N1112" s="23"/>
      <c r="O1112" s="23"/>
      <c r="P1112" s="23"/>
      <c r="Q1112" s="23"/>
      <c r="R1112" s="72"/>
      <c r="S1112" s="23"/>
      <c r="T1112" s="23"/>
      <c r="U1112" s="23"/>
      <c r="V1112" s="23"/>
      <c r="W1112" s="23"/>
      <c r="X1112" s="23"/>
      <c r="Y1112" s="23"/>
      <c r="Z1112" s="23"/>
      <c r="AA1112" s="23"/>
      <c r="AB1112" s="23"/>
      <c r="AC1112" s="23"/>
      <c r="AD1112" s="23"/>
      <c r="AE1112" s="23"/>
    </row>
    <row r="1113" spans="1:31">
      <c r="A1113" s="23"/>
      <c r="B1113" s="40"/>
      <c r="C1113" s="40"/>
      <c r="D1113" s="23"/>
      <c r="E1113" s="23"/>
      <c r="F1113" s="23"/>
      <c r="G1113" s="23"/>
      <c r="H1113" s="23"/>
      <c r="I1113" s="40"/>
      <c r="J1113" s="70"/>
      <c r="K1113" s="23"/>
      <c r="L1113" s="70"/>
      <c r="M1113" s="70"/>
      <c r="N1113" s="23"/>
      <c r="O1113" s="23"/>
      <c r="P1113" s="23"/>
      <c r="Q1113" s="23"/>
      <c r="R1113" s="72"/>
      <c r="S1113" s="23"/>
      <c r="T1113" s="23"/>
      <c r="U1113" s="23"/>
      <c r="V1113" s="23"/>
      <c r="W1113" s="23"/>
      <c r="X1113" s="23"/>
      <c r="Y1113" s="23"/>
      <c r="Z1113" s="23"/>
      <c r="AA1113" s="23"/>
      <c r="AB1113" s="23"/>
      <c r="AC1113" s="23"/>
      <c r="AD1113" s="23"/>
      <c r="AE1113" s="23"/>
    </row>
    <row r="1114" spans="1:31">
      <c r="A1114" s="23"/>
      <c r="B1114" s="40"/>
      <c r="C1114" s="40"/>
      <c r="D1114" s="23"/>
      <c r="E1114" s="23"/>
      <c r="F1114" s="23"/>
      <c r="G1114" s="23"/>
      <c r="H1114" s="23"/>
      <c r="I1114" s="40"/>
      <c r="J1114" s="70"/>
      <c r="K1114" s="23"/>
      <c r="L1114" s="70"/>
      <c r="M1114" s="70"/>
      <c r="N1114" s="23"/>
      <c r="O1114" s="23"/>
      <c r="P1114" s="23"/>
      <c r="Q1114" s="23"/>
      <c r="R1114" s="72"/>
      <c r="S1114" s="23"/>
      <c r="T1114" s="23"/>
      <c r="U1114" s="23"/>
      <c r="V1114" s="23"/>
      <c r="W1114" s="23"/>
      <c r="X1114" s="23"/>
      <c r="Y1114" s="23"/>
      <c r="Z1114" s="23"/>
      <c r="AA1114" s="23"/>
      <c r="AB1114" s="23"/>
      <c r="AC1114" s="23"/>
      <c r="AD1114" s="23"/>
      <c r="AE1114" s="23"/>
    </row>
    <row r="1115" spans="1:31">
      <c r="A1115" s="23"/>
      <c r="B1115" s="40"/>
      <c r="C1115" s="40"/>
      <c r="D1115" s="23"/>
      <c r="E1115" s="23"/>
      <c r="F1115" s="23"/>
      <c r="G1115" s="23"/>
      <c r="H1115" s="23"/>
      <c r="I1115" s="40"/>
      <c r="J1115" s="70"/>
      <c r="K1115" s="23"/>
      <c r="L1115" s="70"/>
      <c r="M1115" s="70"/>
      <c r="N1115" s="23"/>
      <c r="O1115" s="23"/>
      <c r="P1115" s="23"/>
      <c r="Q1115" s="23"/>
      <c r="R1115" s="72"/>
      <c r="S1115" s="23"/>
      <c r="T1115" s="23"/>
      <c r="U1115" s="23"/>
      <c r="V1115" s="23"/>
      <c r="W1115" s="23"/>
      <c r="X1115" s="23"/>
      <c r="Y1115" s="23"/>
      <c r="Z1115" s="23"/>
      <c r="AA1115" s="23"/>
      <c r="AB1115" s="23"/>
      <c r="AC1115" s="23"/>
      <c r="AD1115" s="23"/>
      <c r="AE1115" s="23"/>
    </row>
    <row r="1116" spans="1:31">
      <c r="A1116" s="23"/>
      <c r="B1116" s="40"/>
      <c r="C1116" s="40"/>
      <c r="D1116" s="23"/>
      <c r="E1116" s="23"/>
      <c r="F1116" s="23"/>
      <c r="G1116" s="23"/>
      <c r="H1116" s="23"/>
      <c r="I1116" s="40"/>
      <c r="J1116" s="70"/>
      <c r="K1116" s="23"/>
      <c r="L1116" s="70"/>
      <c r="M1116" s="70"/>
      <c r="N1116" s="23"/>
      <c r="O1116" s="23"/>
      <c r="P1116" s="23"/>
      <c r="Q1116" s="23"/>
      <c r="R1116" s="72"/>
      <c r="S1116" s="23"/>
      <c r="T1116" s="23"/>
      <c r="U1116" s="23"/>
      <c r="V1116" s="23"/>
      <c r="W1116" s="23"/>
      <c r="X1116" s="23"/>
      <c r="Y1116" s="23"/>
      <c r="Z1116" s="23"/>
      <c r="AA1116" s="23"/>
      <c r="AB1116" s="23"/>
      <c r="AC1116" s="23"/>
      <c r="AD1116" s="23"/>
      <c r="AE1116" s="23"/>
    </row>
    <row r="1117" spans="1:31">
      <c r="A1117" s="23"/>
      <c r="B1117" s="40"/>
      <c r="C1117" s="40"/>
      <c r="D1117" s="23"/>
      <c r="E1117" s="23"/>
      <c r="F1117" s="23"/>
      <c r="G1117" s="23"/>
      <c r="H1117" s="23"/>
      <c r="I1117" s="40"/>
      <c r="J1117" s="70"/>
      <c r="K1117" s="23"/>
      <c r="L1117" s="70"/>
      <c r="M1117" s="70"/>
      <c r="N1117" s="23"/>
      <c r="O1117" s="23"/>
      <c r="P1117" s="23"/>
      <c r="Q1117" s="23"/>
      <c r="R1117" s="72"/>
      <c r="S1117" s="23"/>
      <c r="T1117" s="23"/>
      <c r="U1117" s="23"/>
      <c r="V1117" s="23"/>
      <c r="W1117" s="23"/>
      <c r="X1117" s="23"/>
      <c r="Y1117" s="23"/>
      <c r="Z1117" s="23"/>
      <c r="AA1117" s="23"/>
      <c r="AB1117" s="23"/>
      <c r="AC1117" s="23"/>
      <c r="AD1117" s="23"/>
      <c r="AE1117" s="23"/>
    </row>
    <row r="1118" spans="1:31" ht="24" customHeight="1">
      <c r="A1118" s="23"/>
      <c r="B1118" s="40"/>
      <c r="C1118" s="40"/>
      <c r="D1118" s="23"/>
      <c r="E1118" s="23"/>
      <c r="F1118" s="23"/>
      <c r="G1118" s="23"/>
      <c r="H1118" s="40"/>
      <c r="I1118" s="40"/>
      <c r="J1118" s="70"/>
      <c r="K1118" s="23"/>
      <c r="L1118" s="70"/>
      <c r="M1118" s="70"/>
      <c r="N1118" s="23"/>
      <c r="O1118" s="23"/>
      <c r="P1118" s="23"/>
      <c r="Q1118" s="23"/>
      <c r="R1118" s="72"/>
      <c r="S1118" s="23"/>
      <c r="T1118" s="23"/>
      <c r="U1118" s="23"/>
      <c r="V1118" s="23"/>
      <c r="W1118" s="23"/>
      <c r="X1118" s="23"/>
      <c r="Y1118" s="23"/>
      <c r="Z1118" s="23"/>
      <c r="AA1118" s="23"/>
      <c r="AB1118" s="23"/>
      <c r="AC1118" s="23"/>
      <c r="AD1118" s="23"/>
      <c r="AE1118" s="23"/>
    </row>
    <row r="1119" spans="1:31">
      <c r="A1119" s="23"/>
      <c r="B1119" s="40"/>
      <c r="C1119" s="40"/>
      <c r="D1119" s="23"/>
      <c r="E1119" s="23"/>
      <c r="F1119" s="23"/>
      <c r="G1119" s="23"/>
      <c r="H1119" s="40"/>
      <c r="I1119" s="40"/>
      <c r="J1119" s="70"/>
      <c r="K1119" s="23"/>
      <c r="L1119" s="70"/>
      <c r="M1119" s="70"/>
      <c r="N1119" s="23"/>
      <c r="O1119" s="23"/>
      <c r="P1119" s="23"/>
      <c r="Q1119" s="23"/>
      <c r="R1119" s="72"/>
      <c r="S1119" s="23"/>
      <c r="T1119" s="23"/>
      <c r="U1119" s="23"/>
      <c r="V1119" s="23"/>
      <c r="W1119" s="23"/>
      <c r="X1119" s="23"/>
      <c r="Y1119" s="23"/>
      <c r="Z1119" s="23"/>
      <c r="AA1119" s="23"/>
      <c r="AB1119" s="23"/>
      <c r="AC1119" s="23"/>
      <c r="AD1119" s="23"/>
      <c r="AE1119" s="23"/>
    </row>
    <row r="1120" spans="1:31">
      <c r="A1120" s="23"/>
      <c r="B1120" s="40"/>
      <c r="C1120" s="40"/>
      <c r="D1120" s="23"/>
      <c r="E1120" s="23"/>
      <c r="F1120" s="23"/>
      <c r="G1120" s="23"/>
      <c r="H1120" s="40"/>
      <c r="I1120" s="40"/>
      <c r="J1120" s="70"/>
      <c r="K1120" s="23"/>
      <c r="L1120" s="70"/>
      <c r="M1120" s="70"/>
      <c r="N1120" s="23"/>
      <c r="O1120" s="23"/>
      <c r="P1120" s="23"/>
      <c r="Q1120" s="23"/>
      <c r="R1120" s="72"/>
      <c r="S1120" s="23"/>
      <c r="T1120" s="23"/>
      <c r="U1120" s="23"/>
      <c r="V1120" s="23"/>
      <c r="W1120" s="23"/>
      <c r="X1120" s="23"/>
      <c r="Y1120" s="23"/>
      <c r="Z1120" s="23"/>
      <c r="AA1120" s="23"/>
      <c r="AB1120" s="23"/>
      <c r="AC1120" s="23"/>
      <c r="AD1120" s="23"/>
      <c r="AE1120" s="23"/>
    </row>
    <row r="1121" spans="1:31">
      <c r="A1121" s="23"/>
      <c r="B1121" s="40"/>
      <c r="C1121" s="40"/>
      <c r="D1121" s="23"/>
      <c r="E1121" s="23"/>
      <c r="F1121" s="23"/>
      <c r="G1121" s="23"/>
      <c r="H1121" s="40"/>
      <c r="I1121" s="40"/>
      <c r="J1121" s="70"/>
      <c r="K1121" s="23"/>
      <c r="L1121" s="70"/>
      <c r="M1121" s="70"/>
      <c r="N1121" s="23"/>
      <c r="O1121" s="23"/>
      <c r="P1121" s="23"/>
      <c r="Q1121" s="23"/>
      <c r="R1121" s="72"/>
      <c r="S1121" s="23"/>
      <c r="T1121" s="23"/>
      <c r="U1121" s="23"/>
      <c r="V1121" s="23"/>
      <c r="W1121" s="23"/>
      <c r="X1121" s="23"/>
      <c r="Y1121" s="23"/>
      <c r="Z1121" s="23"/>
      <c r="AA1121" s="23"/>
      <c r="AB1121" s="23"/>
      <c r="AC1121" s="23"/>
      <c r="AD1121" s="23"/>
      <c r="AE1121" s="23"/>
    </row>
    <row r="1122" spans="1:31">
      <c r="A1122" s="23"/>
      <c r="B1122" s="40"/>
      <c r="C1122" s="40"/>
      <c r="D1122" s="23"/>
      <c r="E1122" s="23"/>
      <c r="F1122" s="23"/>
      <c r="G1122" s="23"/>
      <c r="H1122" s="40"/>
      <c r="I1122" s="40"/>
      <c r="J1122" s="70"/>
      <c r="K1122" s="23"/>
      <c r="L1122" s="70"/>
      <c r="M1122" s="70"/>
      <c r="N1122" s="23"/>
      <c r="O1122" s="23"/>
      <c r="P1122" s="23"/>
      <c r="Q1122" s="23"/>
      <c r="R1122" s="72"/>
      <c r="S1122" s="23"/>
      <c r="T1122" s="23"/>
      <c r="U1122" s="23"/>
      <c r="V1122" s="23"/>
      <c r="W1122" s="23"/>
      <c r="X1122" s="23"/>
      <c r="Y1122" s="23"/>
      <c r="Z1122" s="23"/>
      <c r="AA1122" s="23"/>
      <c r="AB1122" s="23"/>
      <c r="AC1122" s="23"/>
      <c r="AD1122" s="23"/>
      <c r="AE1122" s="23"/>
    </row>
    <row r="1123" spans="1:31">
      <c r="A1123" s="23"/>
      <c r="B1123" s="40"/>
      <c r="C1123" s="40"/>
      <c r="D1123" s="23"/>
      <c r="E1123" s="23"/>
      <c r="F1123" s="23"/>
      <c r="G1123" s="23"/>
      <c r="H1123" s="40"/>
      <c r="I1123" s="40"/>
      <c r="J1123" s="70"/>
      <c r="K1123" s="23"/>
      <c r="L1123" s="70"/>
      <c r="M1123" s="70"/>
      <c r="N1123" s="23"/>
      <c r="O1123" s="23"/>
      <c r="P1123" s="23"/>
      <c r="Q1123" s="23"/>
      <c r="R1123" s="72"/>
      <c r="S1123" s="23"/>
      <c r="T1123" s="23"/>
      <c r="U1123" s="23"/>
      <c r="V1123" s="23"/>
      <c r="W1123" s="23"/>
      <c r="X1123" s="23"/>
      <c r="Y1123" s="23"/>
      <c r="Z1123" s="23"/>
      <c r="AA1123" s="23"/>
      <c r="AB1123" s="23"/>
      <c r="AC1123" s="23"/>
      <c r="AD1123" s="23"/>
      <c r="AE1123" s="23"/>
    </row>
    <row r="1124" spans="1:31">
      <c r="A1124" s="23"/>
      <c r="B1124" s="40"/>
      <c r="C1124" s="40"/>
      <c r="D1124" s="23"/>
      <c r="E1124" s="23"/>
      <c r="F1124" s="23"/>
      <c r="G1124" s="23"/>
      <c r="H1124" s="23"/>
      <c r="I1124" s="40"/>
      <c r="J1124" s="70"/>
      <c r="K1124" s="23"/>
      <c r="L1124" s="70"/>
      <c r="M1124" s="70"/>
      <c r="N1124" s="23"/>
      <c r="O1124" s="23"/>
      <c r="P1124" s="23"/>
      <c r="Q1124" s="23"/>
      <c r="R1124" s="72"/>
      <c r="S1124" s="23"/>
      <c r="T1124" s="23"/>
      <c r="U1124" s="23"/>
      <c r="V1124" s="23"/>
      <c r="W1124" s="23"/>
      <c r="X1124" s="23"/>
      <c r="Y1124" s="23"/>
      <c r="Z1124" s="23"/>
      <c r="AA1124" s="23"/>
      <c r="AB1124" s="23"/>
      <c r="AC1124" s="23"/>
      <c r="AD1124" s="23"/>
      <c r="AE1124" s="23"/>
    </row>
    <row r="1125" spans="1:31">
      <c r="A1125" s="23"/>
      <c r="B1125" s="40"/>
      <c r="C1125" s="40"/>
      <c r="D1125" s="23"/>
      <c r="E1125" s="23"/>
      <c r="F1125" s="23"/>
      <c r="G1125" s="23"/>
      <c r="H1125" s="23"/>
      <c r="I1125" s="40"/>
      <c r="J1125" s="70"/>
      <c r="K1125" s="23"/>
      <c r="L1125" s="70"/>
      <c r="M1125" s="70"/>
      <c r="N1125" s="23"/>
      <c r="O1125" s="23"/>
      <c r="P1125" s="23"/>
      <c r="Q1125" s="23"/>
      <c r="R1125" s="72"/>
      <c r="S1125" s="23"/>
      <c r="T1125" s="23"/>
      <c r="U1125" s="23"/>
      <c r="V1125" s="23"/>
      <c r="W1125" s="23"/>
      <c r="X1125" s="23"/>
      <c r="Y1125" s="23"/>
      <c r="Z1125" s="23"/>
      <c r="AA1125" s="23"/>
      <c r="AB1125" s="23"/>
      <c r="AC1125" s="23"/>
      <c r="AD1125" s="23"/>
      <c r="AE1125" s="23"/>
    </row>
    <row r="1126" spans="1:31">
      <c r="A1126" s="23"/>
      <c r="B1126" s="40"/>
      <c r="C1126" s="40"/>
      <c r="D1126" s="23"/>
      <c r="E1126" s="23"/>
      <c r="F1126" s="23"/>
      <c r="G1126" s="23"/>
      <c r="H1126" s="23"/>
      <c r="I1126" s="40"/>
      <c r="J1126" s="70"/>
      <c r="K1126" s="23"/>
      <c r="L1126" s="70"/>
      <c r="M1126" s="70"/>
      <c r="N1126" s="23"/>
      <c r="O1126" s="23"/>
      <c r="P1126" s="23"/>
      <c r="Q1126" s="23"/>
      <c r="R1126" s="72"/>
      <c r="S1126" s="23"/>
      <c r="T1126" s="23"/>
      <c r="U1126" s="23"/>
      <c r="V1126" s="23"/>
      <c r="W1126" s="23"/>
      <c r="X1126" s="23"/>
      <c r="Y1126" s="23"/>
      <c r="Z1126" s="23"/>
      <c r="AA1126" s="23"/>
      <c r="AB1126" s="23"/>
      <c r="AC1126" s="23"/>
      <c r="AD1126" s="23"/>
      <c r="AE1126" s="23"/>
    </row>
    <row r="1127" spans="1:31">
      <c r="A1127" s="23"/>
      <c r="B1127" s="40"/>
      <c r="C1127" s="40"/>
      <c r="D1127" s="23"/>
      <c r="E1127" s="23"/>
      <c r="F1127" s="23"/>
      <c r="G1127" s="23"/>
      <c r="H1127" s="23"/>
      <c r="I1127" s="40"/>
      <c r="J1127" s="70"/>
      <c r="K1127" s="23"/>
      <c r="L1127" s="70"/>
      <c r="M1127" s="70"/>
      <c r="N1127" s="23"/>
      <c r="O1127" s="23"/>
      <c r="P1127" s="23"/>
      <c r="Q1127" s="23"/>
      <c r="R1127" s="72"/>
      <c r="S1127" s="23"/>
      <c r="T1127" s="23"/>
      <c r="U1127" s="23"/>
      <c r="V1127" s="23"/>
      <c r="W1127" s="23"/>
      <c r="X1127" s="23"/>
      <c r="Y1127" s="23"/>
      <c r="Z1127" s="23"/>
      <c r="AA1127" s="23"/>
      <c r="AB1127" s="23"/>
      <c r="AC1127" s="23"/>
      <c r="AD1127" s="23"/>
      <c r="AE1127" s="23"/>
    </row>
    <row r="1128" spans="1:31">
      <c r="A1128" s="23"/>
      <c r="B1128" s="40"/>
      <c r="C1128" s="40"/>
      <c r="D1128" s="23"/>
      <c r="E1128" s="23"/>
      <c r="F1128" s="23"/>
      <c r="G1128" s="23"/>
      <c r="H1128" s="23"/>
      <c r="I1128" s="40"/>
      <c r="J1128" s="70"/>
      <c r="K1128" s="23"/>
      <c r="L1128" s="70"/>
      <c r="M1128" s="70"/>
      <c r="N1128" s="23"/>
      <c r="O1128" s="23"/>
      <c r="P1128" s="23"/>
      <c r="Q1128" s="23"/>
      <c r="R1128" s="72"/>
      <c r="S1128" s="23"/>
      <c r="T1128" s="23"/>
      <c r="U1128" s="23"/>
      <c r="V1128" s="23"/>
      <c r="W1128" s="23"/>
      <c r="X1128" s="23"/>
      <c r="Y1128" s="23"/>
      <c r="Z1128" s="23"/>
      <c r="AA1128" s="23"/>
      <c r="AB1128" s="23"/>
      <c r="AC1128" s="23"/>
      <c r="AD1128" s="23"/>
      <c r="AE1128" s="23"/>
    </row>
    <row r="1129" spans="1:31">
      <c r="A1129" s="23"/>
      <c r="B1129" s="40"/>
      <c r="C1129" s="40"/>
      <c r="D1129" s="23"/>
      <c r="E1129" s="23"/>
      <c r="F1129" s="23"/>
      <c r="G1129" s="23"/>
      <c r="H1129" s="23"/>
      <c r="I1129" s="40"/>
      <c r="J1129" s="70"/>
      <c r="K1129" s="23"/>
      <c r="L1129" s="70"/>
      <c r="M1129" s="70"/>
      <c r="N1129" s="23"/>
      <c r="O1129" s="23"/>
      <c r="P1129" s="23"/>
      <c r="Q1129" s="23"/>
      <c r="R1129" s="72"/>
      <c r="S1129" s="23"/>
      <c r="T1129" s="23"/>
      <c r="U1129" s="23"/>
      <c r="V1129" s="23"/>
      <c r="W1129" s="23"/>
      <c r="X1129" s="23"/>
      <c r="Y1129" s="23"/>
      <c r="Z1129" s="23"/>
      <c r="AA1129" s="23"/>
      <c r="AB1129" s="23"/>
      <c r="AC1129" s="23"/>
      <c r="AD1129" s="23"/>
      <c r="AE1129" s="23"/>
    </row>
    <row r="1130" spans="1:31">
      <c r="A1130" s="23"/>
      <c r="B1130" s="40"/>
      <c r="C1130" s="40"/>
      <c r="D1130" s="23"/>
      <c r="E1130" s="23"/>
      <c r="F1130" s="23"/>
      <c r="G1130" s="23"/>
      <c r="H1130" s="23"/>
      <c r="I1130" s="40"/>
      <c r="J1130" s="70"/>
      <c r="K1130" s="23"/>
      <c r="L1130" s="70"/>
      <c r="M1130" s="70"/>
      <c r="N1130" s="23"/>
      <c r="O1130" s="23"/>
      <c r="P1130" s="23"/>
      <c r="Q1130" s="23"/>
      <c r="R1130" s="72"/>
      <c r="S1130" s="23"/>
      <c r="T1130" s="23"/>
      <c r="U1130" s="23"/>
      <c r="V1130" s="23"/>
      <c r="W1130" s="23"/>
      <c r="X1130" s="23"/>
      <c r="Y1130" s="23"/>
      <c r="Z1130" s="23"/>
      <c r="AA1130" s="23"/>
      <c r="AB1130" s="23"/>
      <c r="AC1130" s="23"/>
      <c r="AD1130" s="23"/>
      <c r="AE1130" s="23"/>
    </row>
    <row r="1131" spans="1:31">
      <c r="A1131" s="23"/>
      <c r="B1131" s="40"/>
      <c r="C1131" s="40"/>
      <c r="D1131" s="23"/>
      <c r="E1131" s="23"/>
      <c r="F1131" s="23"/>
      <c r="G1131" s="23"/>
      <c r="H1131" s="23"/>
      <c r="I1131" s="40"/>
      <c r="J1131" s="70"/>
      <c r="K1131" s="23"/>
      <c r="L1131" s="70"/>
      <c r="M1131" s="70"/>
      <c r="N1131" s="23"/>
      <c r="O1131" s="23"/>
      <c r="P1131" s="23"/>
      <c r="Q1131" s="23"/>
      <c r="R1131" s="72"/>
      <c r="S1131" s="23"/>
      <c r="T1131" s="23"/>
      <c r="U1131" s="23"/>
      <c r="V1131" s="23"/>
      <c r="W1131" s="23"/>
      <c r="X1131" s="23"/>
      <c r="Y1131" s="23"/>
      <c r="Z1131" s="23"/>
      <c r="AA1131" s="23"/>
      <c r="AB1131" s="23"/>
      <c r="AC1131" s="23"/>
      <c r="AD1131" s="23"/>
      <c r="AE1131" s="23"/>
    </row>
    <row r="1132" spans="1:31" ht="24" customHeight="1">
      <c r="A1132" s="23"/>
      <c r="B1132" s="40"/>
      <c r="C1132" s="40"/>
      <c r="D1132" s="23"/>
      <c r="E1132" s="23"/>
      <c r="F1132" s="23"/>
      <c r="G1132" s="23"/>
      <c r="H1132" s="40"/>
      <c r="I1132" s="40"/>
      <c r="J1132" s="70"/>
      <c r="K1132" s="23"/>
      <c r="L1132" s="70"/>
      <c r="M1132" s="70"/>
      <c r="N1132" s="23"/>
      <c r="O1132" s="23"/>
      <c r="P1132" s="23"/>
      <c r="Q1132" s="23"/>
      <c r="R1132" s="72"/>
      <c r="S1132" s="23"/>
      <c r="T1132" s="23"/>
      <c r="U1132" s="23"/>
      <c r="V1132" s="23"/>
      <c r="W1132" s="23"/>
      <c r="X1132" s="23"/>
      <c r="Y1132" s="23"/>
      <c r="Z1132" s="23"/>
      <c r="AA1132" s="23"/>
      <c r="AB1132" s="23"/>
      <c r="AC1132" s="23"/>
      <c r="AD1132" s="23"/>
      <c r="AE1132" s="23"/>
    </row>
    <row r="1133" spans="1:31">
      <c r="A1133" s="23"/>
      <c r="B1133" s="40"/>
      <c r="C1133" s="40"/>
      <c r="D1133" s="23"/>
      <c r="E1133" s="23"/>
      <c r="F1133" s="23"/>
      <c r="G1133" s="23"/>
      <c r="H1133" s="40"/>
      <c r="I1133" s="40"/>
      <c r="J1133" s="70"/>
      <c r="K1133" s="23"/>
      <c r="L1133" s="70"/>
      <c r="M1133" s="70"/>
      <c r="N1133" s="23"/>
      <c r="O1133" s="23"/>
      <c r="P1133" s="23"/>
      <c r="Q1133" s="23"/>
      <c r="R1133" s="72"/>
      <c r="S1133" s="23"/>
      <c r="T1133" s="23"/>
      <c r="U1133" s="23"/>
      <c r="V1133" s="23"/>
      <c r="W1133" s="23"/>
      <c r="X1133" s="23"/>
      <c r="Y1133" s="23"/>
      <c r="Z1133" s="23"/>
      <c r="AA1133" s="23"/>
      <c r="AB1133" s="23"/>
      <c r="AC1133" s="23"/>
      <c r="AD1133" s="23"/>
      <c r="AE1133" s="23"/>
    </row>
    <row r="1134" spans="1:31">
      <c r="A1134" s="23"/>
      <c r="B1134" s="40"/>
      <c r="C1134" s="40"/>
      <c r="D1134" s="23"/>
      <c r="E1134" s="23"/>
      <c r="F1134" s="23"/>
      <c r="G1134" s="23"/>
      <c r="H1134" s="40"/>
      <c r="I1134" s="40"/>
      <c r="J1134" s="70"/>
      <c r="K1134" s="23"/>
      <c r="L1134" s="70"/>
      <c r="M1134" s="70"/>
      <c r="N1134" s="23"/>
      <c r="O1134" s="23"/>
      <c r="P1134" s="23"/>
      <c r="Q1134" s="23"/>
      <c r="R1134" s="72"/>
      <c r="S1134" s="23"/>
      <c r="T1134" s="23"/>
      <c r="U1134" s="23"/>
      <c r="V1134" s="23"/>
      <c r="W1134" s="23"/>
      <c r="X1134" s="23"/>
      <c r="Y1134" s="23"/>
      <c r="Z1134" s="23"/>
      <c r="AA1134" s="23"/>
      <c r="AB1134" s="23"/>
      <c r="AC1134" s="23"/>
      <c r="AD1134" s="23"/>
      <c r="AE1134" s="23"/>
    </row>
    <row r="1135" spans="1:31">
      <c r="A1135" s="23"/>
      <c r="B1135" s="40"/>
      <c r="C1135" s="40"/>
      <c r="D1135" s="23"/>
      <c r="E1135" s="23"/>
      <c r="F1135" s="23"/>
      <c r="G1135" s="23"/>
      <c r="H1135" s="40"/>
      <c r="I1135" s="40"/>
      <c r="J1135" s="70"/>
      <c r="K1135" s="23"/>
      <c r="L1135" s="70"/>
      <c r="M1135" s="70"/>
      <c r="N1135" s="23"/>
      <c r="O1135" s="23"/>
      <c r="P1135" s="23"/>
      <c r="Q1135" s="23"/>
      <c r="R1135" s="72"/>
      <c r="S1135" s="23"/>
      <c r="T1135" s="23"/>
      <c r="U1135" s="23"/>
      <c r="V1135" s="23"/>
      <c r="W1135" s="23"/>
      <c r="X1135" s="23"/>
      <c r="Y1135" s="23"/>
      <c r="Z1135" s="23"/>
      <c r="AA1135" s="23"/>
      <c r="AB1135" s="23"/>
      <c r="AC1135" s="23"/>
      <c r="AD1135" s="23"/>
      <c r="AE1135" s="23"/>
    </row>
    <row r="1136" spans="1:31">
      <c r="A1136" s="23"/>
      <c r="B1136" s="40"/>
      <c r="C1136" s="40"/>
      <c r="D1136" s="23"/>
      <c r="E1136" s="23"/>
      <c r="F1136" s="23"/>
      <c r="G1136" s="23"/>
      <c r="H1136" s="40"/>
      <c r="I1136" s="40"/>
      <c r="J1136" s="70"/>
      <c r="K1136" s="23"/>
      <c r="L1136" s="70"/>
      <c r="M1136" s="70"/>
      <c r="N1136" s="23"/>
      <c r="O1136" s="23"/>
      <c r="P1136" s="23"/>
      <c r="Q1136" s="23"/>
      <c r="R1136" s="72"/>
      <c r="S1136" s="23"/>
      <c r="T1136" s="23"/>
      <c r="U1136" s="23"/>
      <c r="V1136" s="23"/>
      <c r="W1136" s="23"/>
      <c r="X1136" s="23"/>
      <c r="Y1136" s="23"/>
      <c r="Z1136" s="23"/>
      <c r="AA1136" s="23"/>
      <c r="AB1136" s="23"/>
      <c r="AC1136" s="23"/>
      <c r="AD1136" s="23"/>
      <c r="AE1136" s="23"/>
    </row>
    <row r="1137" spans="1:31">
      <c r="A1137" s="23"/>
      <c r="B1137" s="40"/>
      <c r="C1137" s="40"/>
      <c r="D1137" s="23"/>
      <c r="E1137" s="23"/>
      <c r="F1137" s="23"/>
      <c r="G1137" s="23"/>
      <c r="H1137" s="40"/>
      <c r="I1137" s="40"/>
      <c r="J1137" s="70"/>
      <c r="K1137" s="23"/>
      <c r="L1137" s="70"/>
      <c r="M1137" s="70"/>
      <c r="N1137" s="23"/>
      <c r="O1137" s="23"/>
      <c r="P1137" s="23"/>
      <c r="Q1137" s="23"/>
      <c r="R1137" s="72"/>
      <c r="S1137" s="23"/>
      <c r="T1137" s="23"/>
      <c r="U1137" s="23"/>
      <c r="V1137" s="23"/>
      <c r="W1137" s="23"/>
      <c r="X1137" s="23"/>
      <c r="Y1137" s="23"/>
      <c r="Z1137" s="23"/>
      <c r="AA1137" s="23"/>
      <c r="AB1137" s="23"/>
      <c r="AC1137" s="23"/>
      <c r="AD1137" s="23"/>
      <c r="AE1137" s="23"/>
    </row>
    <row r="1138" spans="1:31">
      <c r="A1138" s="23"/>
      <c r="B1138" s="40"/>
      <c r="C1138" s="40"/>
      <c r="D1138" s="23"/>
      <c r="E1138" s="23"/>
      <c r="F1138" s="23"/>
      <c r="G1138" s="23"/>
      <c r="H1138" s="23"/>
      <c r="I1138" s="40"/>
      <c r="J1138" s="70"/>
      <c r="K1138" s="23"/>
      <c r="L1138" s="70"/>
      <c r="M1138" s="70"/>
      <c r="N1138" s="23"/>
      <c r="O1138" s="23"/>
      <c r="P1138" s="23"/>
      <c r="Q1138" s="23"/>
      <c r="R1138" s="72"/>
      <c r="S1138" s="23"/>
      <c r="T1138" s="23"/>
      <c r="U1138" s="23"/>
      <c r="V1138" s="23"/>
      <c r="W1138" s="23"/>
      <c r="X1138" s="23"/>
      <c r="Y1138" s="23"/>
      <c r="Z1138" s="23"/>
      <c r="AA1138" s="23"/>
      <c r="AB1138" s="23"/>
      <c r="AC1138" s="23"/>
      <c r="AD1138" s="23"/>
      <c r="AE1138" s="23"/>
    </row>
    <row r="1139" spans="1:31">
      <c r="A1139" s="23"/>
      <c r="B1139" s="40"/>
      <c r="C1139" s="40"/>
      <c r="D1139" s="23"/>
      <c r="E1139" s="23"/>
      <c r="F1139" s="23"/>
      <c r="G1139" s="23"/>
      <c r="H1139" s="23"/>
      <c r="I1139" s="40"/>
      <c r="J1139" s="70"/>
      <c r="K1139" s="23"/>
      <c r="L1139" s="70"/>
      <c r="M1139" s="70"/>
      <c r="N1139" s="23"/>
      <c r="O1139" s="23"/>
      <c r="P1139" s="23"/>
      <c r="Q1139" s="23"/>
      <c r="R1139" s="72"/>
      <c r="S1139" s="23"/>
      <c r="T1139" s="23"/>
      <c r="U1139" s="23"/>
      <c r="V1139" s="23"/>
      <c r="W1139" s="23"/>
      <c r="X1139" s="23"/>
      <c r="Y1139" s="23"/>
      <c r="Z1139" s="23"/>
      <c r="AA1139" s="23"/>
      <c r="AB1139" s="23"/>
      <c r="AC1139" s="23"/>
      <c r="AD1139" s="23"/>
      <c r="AE1139" s="23"/>
    </row>
    <row r="1140" spans="1:31">
      <c r="A1140" s="23"/>
      <c r="B1140" s="40"/>
      <c r="C1140" s="40"/>
      <c r="D1140" s="23"/>
      <c r="E1140" s="23"/>
      <c r="F1140" s="23"/>
      <c r="G1140" s="23"/>
      <c r="H1140" s="23"/>
      <c r="I1140" s="40"/>
      <c r="J1140" s="70"/>
      <c r="K1140" s="23"/>
      <c r="L1140" s="70"/>
      <c r="M1140" s="70"/>
      <c r="N1140" s="23"/>
      <c r="O1140" s="23"/>
      <c r="P1140" s="23"/>
      <c r="Q1140" s="23"/>
      <c r="R1140" s="72"/>
      <c r="S1140" s="23"/>
      <c r="T1140" s="23"/>
      <c r="U1140" s="23"/>
      <c r="V1140" s="23"/>
      <c r="W1140" s="23"/>
      <c r="X1140" s="23"/>
      <c r="Y1140" s="23"/>
      <c r="Z1140" s="23"/>
      <c r="AA1140" s="23"/>
      <c r="AB1140" s="23"/>
      <c r="AC1140" s="23"/>
      <c r="AD1140" s="23"/>
      <c r="AE1140" s="23"/>
    </row>
    <row r="1141" spans="1:31">
      <c r="A1141" s="23"/>
      <c r="B1141" s="40"/>
      <c r="C1141" s="40"/>
      <c r="D1141" s="23"/>
      <c r="E1141" s="23"/>
      <c r="F1141" s="23"/>
      <c r="G1141" s="23"/>
      <c r="H1141" s="23"/>
      <c r="I1141" s="40"/>
      <c r="J1141" s="70"/>
      <c r="K1141" s="23"/>
      <c r="L1141" s="70"/>
      <c r="M1141" s="70"/>
      <c r="N1141" s="23"/>
      <c r="O1141" s="23"/>
      <c r="P1141" s="23"/>
      <c r="Q1141" s="23"/>
      <c r="R1141" s="72"/>
      <c r="S1141" s="23"/>
      <c r="T1141" s="23"/>
      <c r="U1141" s="23"/>
      <c r="V1141" s="23"/>
      <c r="W1141" s="23"/>
      <c r="X1141" s="23"/>
      <c r="Y1141" s="23"/>
      <c r="Z1141" s="23"/>
      <c r="AA1141" s="23"/>
      <c r="AB1141" s="23"/>
      <c r="AC1141" s="23"/>
      <c r="AD1141" s="23"/>
      <c r="AE1141" s="23"/>
    </row>
    <row r="1142" spans="1:31">
      <c r="A1142" s="23"/>
      <c r="B1142" s="40"/>
      <c r="C1142" s="40"/>
      <c r="D1142" s="23"/>
      <c r="E1142" s="23"/>
      <c r="F1142" s="23"/>
      <c r="G1142" s="23"/>
      <c r="H1142" s="23"/>
      <c r="I1142" s="40"/>
      <c r="J1142" s="70"/>
      <c r="K1142" s="23"/>
      <c r="L1142" s="70"/>
      <c r="M1142" s="70"/>
      <c r="N1142" s="23"/>
      <c r="O1142" s="23"/>
      <c r="P1142" s="23"/>
      <c r="Q1142" s="23"/>
      <c r="R1142" s="72"/>
      <c r="S1142" s="23"/>
      <c r="T1142" s="23"/>
      <c r="U1142" s="23"/>
      <c r="V1142" s="23"/>
      <c r="W1142" s="23"/>
      <c r="X1142" s="23"/>
      <c r="Y1142" s="23"/>
      <c r="Z1142" s="23"/>
      <c r="AA1142" s="23"/>
      <c r="AB1142" s="23"/>
      <c r="AC1142" s="23"/>
      <c r="AD1142" s="23"/>
      <c r="AE1142" s="23"/>
    </row>
    <row r="1143" spans="1:31">
      <c r="A1143" s="23"/>
      <c r="B1143" s="40"/>
      <c r="C1143" s="40"/>
      <c r="D1143" s="23"/>
      <c r="E1143" s="23"/>
      <c r="F1143" s="23"/>
      <c r="G1143" s="23"/>
      <c r="H1143" s="23"/>
      <c r="I1143" s="40"/>
      <c r="J1143" s="70"/>
      <c r="K1143" s="23"/>
      <c r="L1143" s="70"/>
      <c r="M1143" s="70"/>
      <c r="N1143" s="23"/>
      <c r="O1143" s="23"/>
      <c r="P1143" s="23"/>
      <c r="Q1143" s="23"/>
      <c r="R1143" s="72"/>
      <c r="S1143" s="23"/>
      <c r="T1143" s="23"/>
      <c r="U1143" s="23"/>
      <c r="V1143" s="23"/>
      <c r="W1143" s="23"/>
      <c r="X1143" s="23"/>
      <c r="Y1143" s="23"/>
      <c r="Z1143" s="23"/>
      <c r="AA1143" s="23"/>
      <c r="AB1143" s="23"/>
      <c r="AC1143" s="23"/>
      <c r="AD1143" s="23"/>
      <c r="AE1143" s="23"/>
    </row>
    <row r="1144" spans="1:31">
      <c r="A1144" s="23"/>
      <c r="B1144" s="40"/>
      <c r="C1144" s="40"/>
      <c r="D1144" s="23"/>
      <c r="E1144" s="23"/>
      <c r="F1144" s="23"/>
      <c r="G1144" s="23"/>
      <c r="H1144" s="23"/>
      <c r="I1144" s="40"/>
      <c r="J1144" s="70"/>
      <c r="K1144" s="23"/>
      <c r="L1144" s="70"/>
      <c r="M1144" s="70"/>
      <c r="N1144" s="23"/>
      <c r="O1144" s="23"/>
      <c r="P1144" s="23"/>
      <c r="Q1144" s="23"/>
      <c r="R1144" s="72"/>
      <c r="S1144" s="23"/>
      <c r="T1144" s="23"/>
      <c r="U1144" s="23"/>
      <c r="V1144" s="23"/>
      <c r="W1144" s="23"/>
      <c r="X1144" s="23"/>
      <c r="Y1144" s="23"/>
      <c r="Z1144" s="23"/>
      <c r="AA1144" s="23"/>
      <c r="AB1144" s="23"/>
      <c r="AC1144" s="23"/>
      <c r="AD1144" s="23"/>
      <c r="AE1144" s="23"/>
    </row>
    <row r="1145" spans="1:31">
      <c r="A1145" s="23"/>
      <c r="B1145" s="40"/>
      <c r="C1145" s="40"/>
      <c r="D1145" s="23"/>
      <c r="E1145" s="23"/>
      <c r="F1145" s="23"/>
      <c r="G1145" s="23"/>
      <c r="H1145" s="23"/>
      <c r="I1145" s="40"/>
      <c r="J1145" s="70"/>
      <c r="K1145" s="23"/>
      <c r="L1145" s="70"/>
      <c r="M1145" s="70"/>
      <c r="N1145" s="23"/>
      <c r="O1145" s="23"/>
      <c r="P1145" s="23"/>
      <c r="Q1145" s="23"/>
      <c r="R1145" s="72"/>
      <c r="S1145" s="23"/>
      <c r="T1145" s="23"/>
      <c r="U1145" s="23"/>
      <c r="V1145" s="23"/>
      <c r="W1145" s="23"/>
      <c r="X1145" s="23"/>
      <c r="Y1145" s="23"/>
      <c r="Z1145" s="23"/>
      <c r="AA1145" s="23"/>
      <c r="AB1145" s="23"/>
      <c r="AC1145" s="23"/>
      <c r="AD1145" s="23"/>
      <c r="AE1145" s="23"/>
    </row>
    <row r="1146" spans="1:31">
      <c r="A1146" s="23"/>
      <c r="B1146" s="40"/>
      <c r="C1146" s="40"/>
      <c r="D1146" s="23"/>
      <c r="E1146" s="23"/>
      <c r="F1146" s="23"/>
      <c r="G1146" s="23"/>
      <c r="H1146" s="23"/>
      <c r="I1146" s="40"/>
      <c r="J1146" s="70"/>
      <c r="K1146" s="23"/>
      <c r="L1146" s="70"/>
      <c r="M1146" s="70"/>
      <c r="N1146" s="23"/>
      <c r="O1146" s="23"/>
      <c r="P1146" s="23"/>
      <c r="Q1146" s="23"/>
      <c r="R1146" s="72"/>
      <c r="S1146" s="23"/>
      <c r="T1146" s="23"/>
      <c r="U1146" s="23"/>
      <c r="V1146" s="23"/>
      <c r="W1146" s="23"/>
      <c r="X1146" s="23"/>
      <c r="Y1146" s="23"/>
      <c r="Z1146" s="23"/>
      <c r="AA1146" s="23"/>
      <c r="AB1146" s="23"/>
      <c r="AC1146" s="23"/>
      <c r="AD1146" s="23"/>
      <c r="AE1146" s="23"/>
    </row>
    <row r="1147" spans="1:31">
      <c r="A1147" s="23"/>
      <c r="B1147" s="40"/>
      <c r="C1147" s="40"/>
      <c r="D1147" s="23"/>
      <c r="E1147" s="23"/>
      <c r="F1147" s="23"/>
      <c r="G1147" s="23"/>
      <c r="H1147" s="23"/>
      <c r="I1147" s="40"/>
      <c r="J1147" s="70"/>
      <c r="K1147" s="23"/>
      <c r="L1147" s="70"/>
      <c r="M1147" s="70"/>
      <c r="N1147" s="23"/>
      <c r="O1147" s="23"/>
      <c r="P1147" s="23"/>
      <c r="Q1147" s="23"/>
      <c r="R1147" s="72"/>
      <c r="S1147" s="23"/>
      <c r="T1147" s="23"/>
      <c r="U1147" s="23"/>
      <c r="V1147" s="23"/>
      <c r="W1147" s="23"/>
      <c r="X1147" s="23"/>
      <c r="Y1147" s="23"/>
      <c r="Z1147" s="23"/>
      <c r="AA1147" s="23"/>
      <c r="AB1147" s="23"/>
      <c r="AC1147" s="23"/>
      <c r="AD1147" s="23"/>
      <c r="AE1147" s="23"/>
    </row>
    <row r="1148" spans="1:31" ht="24" customHeight="1">
      <c r="A1148" s="23"/>
      <c r="B1148" s="40"/>
      <c r="C1148" s="40"/>
      <c r="D1148" s="23"/>
      <c r="E1148" s="23"/>
      <c r="F1148" s="23"/>
      <c r="G1148" s="23"/>
      <c r="H1148" s="40"/>
      <c r="I1148" s="40"/>
      <c r="J1148" s="70"/>
      <c r="K1148" s="23"/>
      <c r="L1148" s="70"/>
      <c r="M1148" s="70"/>
      <c r="N1148" s="23"/>
      <c r="O1148" s="23"/>
      <c r="P1148" s="23"/>
      <c r="Q1148" s="23"/>
      <c r="R1148" s="72"/>
      <c r="S1148" s="23"/>
      <c r="T1148" s="23"/>
      <c r="U1148" s="23"/>
      <c r="V1148" s="23"/>
      <c r="W1148" s="23"/>
      <c r="X1148" s="23"/>
      <c r="Y1148" s="23"/>
      <c r="Z1148" s="23"/>
      <c r="AA1148" s="23"/>
      <c r="AB1148" s="23"/>
      <c r="AC1148" s="23"/>
      <c r="AD1148" s="23"/>
      <c r="AE1148" s="23"/>
    </row>
    <row r="1149" spans="1:31">
      <c r="A1149" s="23"/>
      <c r="B1149" s="40"/>
      <c r="C1149" s="40"/>
      <c r="D1149" s="23"/>
      <c r="E1149" s="23"/>
      <c r="F1149" s="23"/>
      <c r="G1149" s="23"/>
      <c r="H1149" s="40"/>
      <c r="I1149" s="40"/>
      <c r="J1149" s="70"/>
      <c r="K1149" s="23"/>
      <c r="L1149" s="70"/>
      <c r="M1149" s="70"/>
      <c r="N1149" s="23"/>
      <c r="O1149" s="23"/>
      <c r="P1149" s="23"/>
      <c r="Q1149" s="23"/>
      <c r="R1149" s="72"/>
      <c r="S1149" s="23"/>
      <c r="T1149" s="23"/>
      <c r="U1149" s="23"/>
      <c r="V1149" s="23"/>
      <c r="W1149" s="23"/>
      <c r="X1149" s="23"/>
      <c r="Y1149" s="23"/>
      <c r="Z1149" s="23"/>
      <c r="AA1149" s="23"/>
      <c r="AB1149" s="23"/>
      <c r="AC1149" s="23"/>
      <c r="AD1149" s="23"/>
      <c r="AE1149" s="23"/>
    </row>
    <row r="1150" spans="1:31">
      <c r="A1150" s="23"/>
      <c r="B1150" s="40"/>
      <c r="C1150" s="40"/>
      <c r="D1150" s="23"/>
      <c r="E1150" s="23"/>
      <c r="F1150" s="23"/>
      <c r="G1150" s="23"/>
      <c r="H1150" s="40"/>
      <c r="I1150" s="40"/>
      <c r="J1150" s="70"/>
      <c r="K1150" s="23"/>
      <c r="L1150" s="70"/>
      <c r="M1150" s="70"/>
      <c r="N1150" s="23"/>
      <c r="O1150" s="23"/>
      <c r="P1150" s="23"/>
      <c r="Q1150" s="23"/>
      <c r="R1150" s="72"/>
      <c r="S1150" s="23"/>
      <c r="T1150" s="23"/>
      <c r="U1150" s="23"/>
      <c r="V1150" s="23"/>
      <c r="W1150" s="23"/>
      <c r="X1150" s="23"/>
      <c r="Y1150" s="23"/>
      <c r="Z1150" s="23"/>
      <c r="AA1150" s="23"/>
      <c r="AB1150" s="23"/>
      <c r="AC1150" s="23"/>
      <c r="AD1150" s="23"/>
      <c r="AE1150" s="23"/>
    </row>
    <row r="1151" spans="1:31">
      <c r="A1151" s="23"/>
      <c r="B1151" s="40"/>
      <c r="C1151" s="40"/>
      <c r="D1151" s="23"/>
      <c r="E1151" s="23"/>
      <c r="F1151" s="23"/>
      <c r="G1151" s="23"/>
      <c r="H1151" s="40"/>
      <c r="I1151" s="40"/>
      <c r="J1151" s="70"/>
      <c r="K1151" s="23"/>
      <c r="L1151" s="70"/>
      <c r="M1151" s="70"/>
      <c r="N1151" s="23"/>
      <c r="O1151" s="23"/>
      <c r="P1151" s="23"/>
      <c r="Q1151" s="23"/>
      <c r="R1151" s="72"/>
      <c r="S1151" s="23"/>
      <c r="T1151" s="23"/>
      <c r="U1151" s="23"/>
      <c r="V1151" s="23"/>
      <c r="W1151" s="23"/>
      <c r="X1151" s="23"/>
      <c r="Y1151" s="23"/>
      <c r="Z1151" s="23"/>
      <c r="AA1151" s="23"/>
      <c r="AB1151" s="23"/>
      <c r="AC1151" s="23"/>
      <c r="AD1151" s="23"/>
      <c r="AE1151" s="23"/>
    </row>
    <row r="1152" spans="1:31">
      <c r="A1152" s="23"/>
      <c r="B1152" s="40"/>
      <c r="C1152" s="40"/>
      <c r="D1152" s="23"/>
      <c r="E1152" s="23"/>
      <c r="F1152" s="23"/>
      <c r="G1152" s="23"/>
      <c r="H1152" s="40"/>
      <c r="I1152" s="40"/>
      <c r="J1152" s="70"/>
      <c r="K1152" s="23"/>
      <c r="L1152" s="70"/>
      <c r="M1152" s="70"/>
      <c r="N1152" s="23"/>
      <c r="O1152" s="23"/>
      <c r="P1152" s="23"/>
      <c r="Q1152" s="23"/>
      <c r="R1152" s="72"/>
      <c r="S1152" s="23"/>
      <c r="T1152" s="23"/>
      <c r="U1152" s="23"/>
      <c r="V1152" s="23"/>
      <c r="W1152" s="23"/>
      <c r="X1152" s="23"/>
      <c r="Y1152" s="23"/>
      <c r="Z1152" s="23"/>
      <c r="AA1152" s="23"/>
      <c r="AB1152" s="23"/>
      <c r="AC1152" s="23"/>
      <c r="AD1152" s="23"/>
      <c r="AE1152" s="23"/>
    </row>
    <row r="1153" spans="1:31">
      <c r="A1153" s="23"/>
      <c r="B1153" s="40"/>
      <c r="C1153" s="40"/>
      <c r="D1153" s="23"/>
      <c r="E1153" s="23"/>
      <c r="F1153" s="23"/>
      <c r="G1153" s="23"/>
      <c r="H1153" s="40"/>
      <c r="I1153" s="40"/>
      <c r="J1153" s="70"/>
      <c r="K1153" s="23"/>
      <c r="L1153" s="70"/>
      <c r="M1153" s="70"/>
      <c r="N1153" s="23"/>
      <c r="O1153" s="23"/>
      <c r="P1153" s="23"/>
      <c r="Q1153" s="23"/>
      <c r="R1153" s="72"/>
      <c r="S1153" s="23"/>
      <c r="T1153" s="23"/>
      <c r="U1153" s="23"/>
      <c r="V1153" s="23"/>
      <c r="W1153" s="23"/>
      <c r="X1153" s="23"/>
      <c r="Y1153" s="23"/>
      <c r="Z1153" s="23"/>
      <c r="AA1153" s="23"/>
      <c r="AB1153" s="23"/>
      <c r="AC1153" s="23"/>
      <c r="AD1153" s="23"/>
      <c r="AE1153" s="23"/>
    </row>
    <row r="1154" spans="1:31">
      <c r="A1154" s="23"/>
      <c r="B1154" s="40"/>
      <c r="C1154" s="40"/>
      <c r="D1154" s="23"/>
      <c r="E1154" s="23"/>
      <c r="F1154" s="23"/>
      <c r="G1154" s="23"/>
      <c r="H1154" s="40"/>
      <c r="I1154" s="40"/>
      <c r="J1154" s="70"/>
      <c r="K1154" s="23"/>
      <c r="L1154" s="70"/>
      <c r="M1154" s="70"/>
      <c r="N1154" s="23"/>
      <c r="O1154" s="23"/>
      <c r="P1154" s="23"/>
      <c r="Q1154" s="23"/>
      <c r="R1154" s="72"/>
      <c r="S1154" s="23"/>
      <c r="T1154" s="23"/>
      <c r="U1154" s="23"/>
      <c r="V1154" s="23"/>
      <c r="W1154" s="23"/>
      <c r="X1154" s="23"/>
      <c r="Y1154" s="23"/>
      <c r="Z1154" s="23"/>
      <c r="AA1154" s="23"/>
      <c r="AB1154" s="23"/>
      <c r="AC1154" s="23"/>
      <c r="AD1154" s="23"/>
      <c r="AE1154" s="23"/>
    </row>
    <row r="1155" spans="1:31">
      <c r="A1155" s="23"/>
      <c r="B1155" s="40"/>
      <c r="C1155" s="40"/>
      <c r="D1155" s="23"/>
      <c r="E1155" s="23"/>
      <c r="F1155" s="23"/>
      <c r="G1155" s="23"/>
      <c r="H1155" s="40"/>
      <c r="I1155" s="40"/>
      <c r="J1155" s="70"/>
      <c r="K1155" s="23"/>
      <c r="L1155" s="70"/>
      <c r="M1155" s="70"/>
      <c r="N1155" s="23"/>
      <c r="O1155" s="23"/>
      <c r="P1155" s="23"/>
      <c r="Q1155" s="23"/>
      <c r="R1155" s="72"/>
      <c r="S1155" s="23"/>
      <c r="T1155" s="23"/>
      <c r="U1155" s="23"/>
      <c r="V1155" s="23"/>
      <c r="W1155" s="23"/>
      <c r="X1155" s="23"/>
      <c r="Y1155" s="23"/>
      <c r="Z1155" s="23"/>
      <c r="AA1155" s="23"/>
      <c r="AB1155" s="23"/>
      <c r="AC1155" s="23"/>
      <c r="AD1155" s="23"/>
      <c r="AE1155" s="23"/>
    </row>
    <row r="1156" spans="1:31">
      <c r="A1156" s="23"/>
      <c r="B1156" s="40"/>
      <c r="C1156" s="40"/>
      <c r="D1156" s="23"/>
      <c r="E1156" s="23"/>
      <c r="F1156" s="23"/>
      <c r="G1156" s="23"/>
      <c r="H1156" s="23"/>
      <c r="I1156" s="40"/>
      <c r="J1156" s="70"/>
      <c r="K1156" s="23"/>
      <c r="L1156" s="70"/>
      <c r="M1156" s="70"/>
      <c r="N1156" s="23"/>
      <c r="O1156" s="23"/>
      <c r="P1156" s="23"/>
      <c r="Q1156" s="23"/>
      <c r="R1156" s="72"/>
      <c r="S1156" s="23"/>
      <c r="T1156" s="23"/>
      <c r="U1156" s="23"/>
      <c r="V1156" s="23"/>
      <c r="W1156" s="23"/>
      <c r="X1156" s="23"/>
      <c r="Y1156" s="23"/>
      <c r="Z1156" s="23"/>
      <c r="AA1156" s="23"/>
      <c r="AB1156" s="23"/>
      <c r="AC1156" s="23"/>
      <c r="AD1156" s="23"/>
      <c r="AE1156" s="23"/>
    </row>
    <row r="1157" spans="1:31">
      <c r="A1157" s="23"/>
      <c r="B1157" s="40"/>
      <c r="C1157" s="40"/>
      <c r="D1157" s="23"/>
      <c r="E1157" s="23"/>
      <c r="F1157" s="23"/>
      <c r="G1157" s="23"/>
      <c r="H1157" s="23"/>
      <c r="I1157" s="40"/>
      <c r="J1157" s="70"/>
      <c r="K1157" s="23"/>
      <c r="L1157" s="70"/>
      <c r="M1157" s="70"/>
      <c r="N1157" s="23"/>
      <c r="O1157" s="23"/>
      <c r="P1157" s="23"/>
      <c r="Q1157" s="23"/>
      <c r="R1157" s="72"/>
      <c r="S1157" s="23"/>
      <c r="T1157" s="23"/>
      <c r="U1157" s="23"/>
      <c r="V1157" s="23"/>
      <c r="W1157" s="23"/>
      <c r="X1157" s="23"/>
      <c r="Y1157" s="23"/>
      <c r="Z1157" s="23"/>
      <c r="AA1157" s="23"/>
      <c r="AB1157" s="23"/>
      <c r="AC1157" s="23"/>
      <c r="AD1157" s="23"/>
      <c r="AE1157" s="23"/>
    </row>
    <row r="1158" spans="1:31">
      <c r="A1158" s="23"/>
      <c r="B1158" s="40"/>
      <c r="C1158" s="40"/>
      <c r="D1158" s="23"/>
      <c r="E1158" s="23"/>
      <c r="F1158" s="23"/>
      <c r="G1158" s="23"/>
      <c r="H1158" s="23"/>
      <c r="I1158" s="40"/>
      <c r="J1158" s="70"/>
      <c r="K1158" s="23"/>
      <c r="L1158" s="70"/>
      <c r="M1158" s="70"/>
      <c r="N1158" s="23"/>
      <c r="O1158" s="23"/>
      <c r="P1158" s="23"/>
      <c r="Q1158" s="23"/>
      <c r="R1158" s="72"/>
      <c r="S1158" s="23"/>
      <c r="T1158" s="23"/>
      <c r="U1158" s="23"/>
      <c r="V1158" s="23"/>
      <c r="W1158" s="23"/>
      <c r="X1158" s="23"/>
      <c r="Y1158" s="23"/>
      <c r="Z1158" s="23"/>
      <c r="AA1158" s="23"/>
      <c r="AB1158" s="23"/>
      <c r="AC1158" s="23"/>
      <c r="AD1158" s="23"/>
      <c r="AE1158" s="23"/>
    </row>
    <row r="1159" spans="1:31">
      <c r="A1159" s="23"/>
      <c r="B1159" s="40"/>
      <c r="C1159" s="40"/>
      <c r="D1159" s="23"/>
      <c r="E1159" s="23"/>
      <c r="F1159" s="23"/>
      <c r="G1159" s="23"/>
      <c r="H1159" s="23"/>
      <c r="I1159" s="40"/>
      <c r="J1159" s="70"/>
      <c r="K1159" s="23"/>
      <c r="L1159" s="70"/>
      <c r="M1159" s="70"/>
      <c r="N1159" s="23"/>
      <c r="O1159" s="23"/>
      <c r="P1159" s="23"/>
      <c r="Q1159" s="23"/>
      <c r="R1159" s="72"/>
      <c r="S1159" s="23"/>
      <c r="T1159" s="23"/>
      <c r="U1159" s="23"/>
      <c r="V1159" s="23"/>
      <c r="W1159" s="23"/>
      <c r="X1159" s="23"/>
      <c r="Y1159" s="23"/>
      <c r="Z1159" s="23"/>
      <c r="AA1159" s="23"/>
      <c r="AB1159" s="23"/>
      <c r="AC1159" s="23"/>
      <c r="AD1159" s="23"/>
      <c r="AE1159" s="23"/>
    </row>
    <row r="1160" spans="1:31" ht="24" customHeight="1">
      <c r="A1160" s="23"/>
      <c r="B1160" s="40"/>
      <c r="C1160" s="40"/>
      <c r="D1160" s="23"/>
      <c r="E1160" s="23"/>
      <c r="F1160" s="23"/>
      <c r="G1160" s="23"/>
      <c r="H1160" s="40"/>
      <c r="I1160" s="40"/>
      <c r="J1160" s="70"/>
      <c r="K1160" s="23"/>
      <c r="L1160" s="70"/>
      <c r="M1160" s="70"/>
      <c r="N1160" s="23"/>
      <c r="O1160" s="23"/>
      <c r="P1160" s="23"/>
      <c r="Q1160" s="23"/>
      <c r="R1160" s="72"/>
      <c r="S1160" s="23"/>
      <c r="T1160" s="23"/>
      <c r="U1160" s="23"/>
      <c r="V1160" s="23"/>
      <c r="W1160" s="23"/>
      <c r="X1160" s="23"/>
      <c r="Y1160" s="23"/>
      <c r="Z1160" s="23"/>
      <c r="AA1160" s="23"/>
      <c r="AB1160" s="23"/>
      <c r="AC1160" s="23"/>
      <c r="AD1160" s="23"/>
      <c r="AE1160" s="23"/>
    </row>
    <row r="1161" spans="1:31">
      <c r="A1161" s="23"/>
      <c r="B1161" s="40"/>
      <c r="C1161" s="40"/>
      <c r="D1161" s="23"/>
      <c r="E1161" s="23"/>
      <c r="F1161" s="23"/>
      <c r="G1161" s="23"/>
      <c r="H1161" s="40"/>
      <c r="I1161" s="40"/>
      <c r="J1161" s="70"/>
      <c r="K1161" s="23"/>
      <c r="L1161" s="70"/>
      <c r="M1161" s="70"/>
      <c r="N1161" s="23"/>
      <c r="O1161" s="23"/>
      <c r="P1161" s="23"/>
      <c r="Q1161" s="23"/>
      <c r="R1161" s="72"/>
      <c r="S1161" s="23"/>
      <c r="T1161" s="23"/>
      <c r="U1161" s="23"/>
      <c r="V1161" s="23"/>
      <c r="W1161" s="23"/>
      <c r="X1161" s="23"/>
      <c r="Y1161" s="23"/>
      <c r="Z1161" s="23"/>
      <c r="AA1161" s="23"/>
      <c r="AB1161" s="23"/>
      <c r="AC1161" s="23"/>
      <c r="AD1161" s="23"/>
      <c r="AE1161" s="23"/>
    </row>
    <row r="1162" spans="1:31">
      <c r="A1162" s="23"/>
      <c r="B1162" s="40"/>
      <c r="C1162" s="40"/>
      <c r="D1162" s="23"/>
      <c r="E1162" s="23"/>
      <c r="F1162" s="23"/>
      <c r="G1162" s="23"/>
      <c r="H1162" s="40"/>
      <c r="I1162" s="40"/>
      <c r="J1162" s="70"/>
      <c r="K1162" s="23"/>
      <c r="L1162" s="70"/>
      <c r="M1162" s="70"/>
      <c r="N1162" s="23"/>
      <c r="O1162" s="23"/>
      <c r="P1162" s="23"/>
      <c r="Q1162" s="23"/>
      <c r="R1162" s="72"/>
      <c r="S1162" s="23"/>
      <c r="T1162" s="23"/>
      <c r="U1162" s="23"/>
      <c r="V1162" s="23"/>
      <c r="W1162" s="23"/>
      <c r="X1162" s="23"/>
      <c r="Y1162" s="23"/>
      <c r="Z1162" s="23"/>
      <c r="AA1162" s="23"/>
      <c r="AB1162" s="23"/>
      <c r="AC1162" s="23"/>
      <c r="AD1162" s="23"/>
      <c r="AE1162" s="23"/>
    </row>
    <row r="1163" spans="1:31">
      <c r="A1163" s="23"/>
      <c r="B1163" s="40"/>
      <c r="C1163" s="40"/>
      <c r="D1163" s="23"/>
      <c r="E1163" s="23"/>
      <c r="F1163" s="23"/>
      <c r="G1163" s="23"/>
      <c r="H1163" s="40"/>
      <c r="I1163" s="40"/>
      <c r="J1163" s="70"/>
      <c r="K1163" s="23"/>
      <c r="L1163" s="70"/>
      <c r="M1163" s="70"/>
      <c r="N1163" s="23"/>
      <c r="O1163" s="23"/>
      <c r="P1163" s="23"/>
      <c r="Q1163" s="23"/>
      <c r="R1163" s="72"/>
      <c r="S1163" s="23"/>
      <c r="T1163" s="23"/>
      <c r="U1163" s="23"/>
      <c r="V1163" s="23"/>
      <c r="W1163" s="23"/>
      <c r="X1163" s="23"/>
      <c r="Y1163" s="23"/>
      <c r="Z1163" s="23"/>
      <c r="AA1163" s="23"/>
      <c r="AB1163" s="23"/>
      <c r="AC1163" s="23"/>
      <c r="AD1163" s="23"/>
      <c r="AE1163" s="23"/>
    </row>
    <row r="1164" spans="1:31">
      <c r="A1164" s="23"/>
      <c r="B1164" s="40"/>
      <c r="C1164" s="40"/>
      <c r="D1164" s="23"/>
      <c r="E1164" s="23"/>
      <c r="F1164" s="23"/>
      <c r="G1164" s="23"/>
      <c r="H1164" s="40"/>
      <c r="I1164" s="40"/>
      <c r="J1164" s="70"/>
      <c r="K1164" s="23"/>
      <c r="L1164" s="70"/>
      <c r="M1164" s="70"/>
      <c r="N1164" s="23"/>
      <c r="O1164" s="23"/>
      <c r="P1164" s="23"/>
      <c r="Q1164" s="23"/>
      <c r="R1164" s="72"/>
      <c r="S1164" s="23"/>
      <c r="T1164" s="23"/>
      <c r="U1164" s="23"/>
      <c r="V1164" s="23"/>
      <c r="W1164" s="23"/>
      <c r="X1164" s="23"/>
      <c r="Y1164" s="23"/>
      <c r="Z1164" s="23"/>
      <c r="AA1164" s="23"/>
      <c r="AB1164" s="23"/>
      <c r="AC1164" s="23"/>
      <c r="AD1164" s="23"/>
      <c r="AE1164" s="23"/>
    </row>
    <row r="1165" spans="1:31">
      <c r="A1165" s="23"/>
      <c r="B1165" s="40"/>
      <c r="C1165" s="40"/>
      <c r="D1165" s="23"/>
      <c r="E1165" s="23"/>
      <c r="F1165" s="23"/>
      <c r="G1165" s="23"/>
      <c r="H1165" s="40"/>
      <c r="I1165" s="40"/>
      <c r="J1165" s="70"/>
      <c r="K1165" s="23"/>
      <c r="L1165" s="70"/>
      <c r="M1165" s="70"/>
      <c r="N1165" s="23"/>
      <c r="O1165" s="23"/>
      <c r="P1165" s="23"/>
      <c r="Q1165" s="23"/>
      <c r="R1165" s="72"/>
      <c r="S1165" s="23"/>
      <c r="T1165" s="23"/>
      <c r="U1165" s="23"/>
      <c r="V1165" s="23"/>
      <c r="W1165" s="23"/>
      <c r="X1165" s="23"/>
      <c r="Y1165" s="23"/>
      <c r="Z1165" s="23"/>
      <c r="AA1165" s="23"/>
      <c r="AB1165" s="23"/>
      <c r="AC1165" s="23"/>
      <c r="AD1165" s="23"/>
      <c r="AE1165" s="23"/>
    </row>
    <row r="1166" spans="1:31">
      <c r="A1166" s="23"/>
      <c r="B1166" s="40"/>
      <c r="C1166" s="40"/>
      <c r="D1166" s="23"/>
      <c r="E1166" s="23"/>
      <c r="F1166" s="23"/>
      <c r="G1166" s="23"/>
      <c r="H1166" s="40"/>
      <c r="I1166" s="40"/>
      <c r="J1166" s="70"/>
      <c r="K1166" s="23"/>
      <c r="L1166" s="70"/>
      <c r="M1166" s="70"/>
      <c r="N1166" s="23"/>
      <c r="O1166" s="23"/>
      <c r="P1166" s="23"/>
      <c r="Q1166" s="23"/>
      <c r="R1166" s="72"/>
      <c r="S1166" s="23"/>
      <c r="T1166" s="23"/>
      <c r="U1166" s="23"/>
      <c r="V1166" s="23"/>
      <c r="W1166" s="23"/>
      <c r="X1166" s="23"/>
      <c r="Y1166" s="23"/>
      <c r="Z1166" s="23"/>
      <c r="AA1166" s="23"/>
      <c r="AB1166" s="23"/>
      <c r="AC1166" s="23"/>
      <c r="AD1166" s="23"/>
      <c r="AE1166" s="23"/>
    </row>
    <row r="1167" spans="1:31">
      <c r="A1167" s="23"/>
      <c r="B1167" s="40"/>
      <c r="C1167" s="40"/>
      <c r="D1167" s="23"/>
      <c r="E1167" s="23"/>
      <c r="F1167" s="23"/>
      <c r="G1167" s="23"/>
      <c r="H1167" s="40"/>
      <c r="I1167" s="40"/>
      <c r="J1167" s="70"/>
      <c r="K1167" s="23"/>
      <c r="L1167" s="70"/>
      <c r="M1167" s="70"/>
      <c r="N1167" s="23"/>
      <c r="O1167" s="23"/>
      <c r="P1167" s="23"/>
      <c r="Q1167" s="23"/>
      <c r="R1167" s="72"/>
      <c r="S1167" s="23"/>
      <c r="T1167" s="23"/>
      <c r="U1167" s="23"/>
      <c r="V1167" s="23"/>
      <c r="W1167" s="23"/>
      <c r="X1167" s="23"/>
      <c r="Y1167" s="23"/>
      <c r="Z1167" s="23"/>
      <c r="AA1167" s="23"/>
      <c r="AB1167" s="23"/>
      <c r="AC1167" s="23"/>
      <c r="AD1167" s="23"/>
      <c r="AE1167" s="23"/>
    </row>
    <row r="1168" spans="1:31">
      <c r="A1168" s="23"/>
      <c r="B1168" s="40"/>
      <c r="C1168" s="40"/>
      <c r="D1168" s="23"/>
      <c r="E1168" s="23"/>
      <c r="F1168" s="23"/>
      <c r="G1168" s="23"/>
      <c r="H1168" s="23"/>
      <c r="I1168" s="40"/>
      <c r="J1168" s="70"/>
      <c r="K1168" s="23"/>
      <c r="L1168" s="70"/>
      <c r="M1168" s="70"/>
      <c r="N1168" s="23"/>
      <c r="O1168" s="23"/>
      <c r="P1168" s="23"/>
      <c r="Q1168" s="23"/>
      <c r="R1168" s="72"/>
      <c r="S1168" s="23"/>
      <c r="T1168" s="23"/>
      <c r="U1168" s="23"/>
      <c r="V1168" s="23"/>
      <c r="W1168" s="23"/>
      <c r="X1168" s="23"/>
      <c r="Y1168" s="23"/>
      <c r="Z1168" s="23"/>
      <c r="AA1168" s="23"/>
      <c r="AB1168" s="23"/>
      <c r="AC1168" s="23"/>
      <c r="AD1168" s="23"/>
      <c r="AE1168" s="23"/>
    </row>
    <row r="1169" spans="1:31">
      <c r="A1169" s="23"/>
      <c r="B1169" s="40"/>
      <c r="C1169" s="40"/>
      <c r="D1169" s="23"/>
      <c r="E1169" s="23"/>
      <c r="F1169" s="23"/>
      <c r="G1169" s="23"/>
      <c r="H1169" s="23"/>
      <c r="I1169" s="40"/>
      <c r="J1169" s="70"/>
      <c r="K1169" s="23"/>
      <c r="L1169" s="70"/>
      <c r="M1169" s="70"/>
      <c r="N1169" s="23"/>
      <c r="O1169" s="23"/>
      <c r="P1169" s="23"/>
      <c r="Q1169" s="23"/>
      <c r="R1169" s="72"/>
      <c r="S1169" s="23"/>
      <c r="T1169" s="23"/>
      <c r="U1169" s="23"/>
      <c r="V1169" s="23"/>
      <c r="W1169" s="23"/>
      <c r="X1169" s="23"/>
      <c r="Y1169" s="23"/>
      <c r="Z1169" s="23"/>
      <c r="AA1169" s="23"/>
      <c r="AB1169" s="23"/>
      <c r="AC1169" s="23"/>
      <c r="AD1169" s="23"/>
      <c r="AE1169" s="23"/>
    </row>
    <row r="1170" spans="1:31">
      <c r="A1170" s="23"/>
      <c r="B1170" s="40"/>
      <c r="C1170" s="40"/>
      <c r="D1170" s="23"/>
      <c r="E1170" s="23"/>
      <c r="F1170" s="23"/>
      <c r="G1170" s="23"/>
      <c r="H1170" s="23"/>
      <c r="I1170" s="40"/>
      <c r="J1170" s="70"/>
      <c r="K1170" s="23"/>
      <c r="L1170" s="70"/>
      <c r="M1170" s="70"/>
      <c r="N1170" s="23"/>
      <c r="O1170" s="23"/>
      <c r="P1170" s="23"/>
      <c r="Q1170" s="23"/>
      <c r="R1170" s="72"/>
      <c r="S1170" s="23"/>
      <c r="T1170" s="23"/>
      <c r="U1170" s="23"/>
      <c r="V1170" s="23"/>
      <c r="W1170" s="23"/>
      <c r="X1170" s="23"/>
      <c r="Y1170" s="23"/>
      <c r="Z1170" s="23"/>
      <c r="AA1170" s="23"/>
      <c r="AB1170" s="23"/>
      <c r="AC1170" s="23"/>
      <c r="AD1170" s="23"/>
      <c r="AE1170" s="23"/>
    </row>
    <row r="1171" spans="1:31">
      <c r="A1171" s="23"/>
      <c r="B1171" s="40"/>
      <c r="C1171" s="40"/>
      <c r="D1171" s="23"/>
      <c r="E1171" s="23"/>
      <c r="F1171" s="23"/>
      <c r="G1171" s="23"/>
      <c r="H1171" s="23"/>
      <c r="I1171" s="40"/>
      <c r="J1171" s="70"/>
      <c r="K1171" s="23"/>
      <c r="L1171" s="70"/>
      <c r="M1171" s="70"/>
      <c r="N1171" s="23"/>
      <c r="O1171" s="23"/>
      <c r="P1171" s="23"/>
      <c r="Q1171" s="23"/>
      <c r="R1171" s="72"/>
      <c r="S1171" s="23"/>
      <c r="T1171" s="23"/>
      <c r="U1171" s="23"/>
      <c r="V1171" s="23"/>
      <c r="W1171" s="23"/>
      <c r="X1171" s="23"/>
      <c r="Y1171" s="23"/>
      <c r="Z1171" s="23"/>
      <c r="AA1171" s="23"/>
      <c r="AB1171" s="23"/>
      <c r="AC1171" s="23"/>
      <c r="AD1171" s="23"/>
      <c r="AE1171" s="23"/>
    </row>
    <row r="1172" spans="1:31">
      <c r="A1172" s="23"/>
      <c r="B1172" s="40"/>
      <c r="C1172" s="40"/>
      <c r="D1172" s="23"/>
      <c r="E1172" s="23"/>
      <c r="F1172" s="23"/>
      <c r="G1172" s="23"/>
      <c r="H1172" s="23"/>
      <c r="I1172" s="40"/>
      <c r="J1172" s="70"/>
      <c r="K1172" s="23"/>
      <c r="L1172" s="70"/>
      <c r="M1172" s="70"/>
      <c r="N1172" s="23"/>
      <c r="O1172" s="23"/>
      <c r="P1172" s="23"/>
      <c r="Q1172" s="23"/>
      <c r="R1172" s="72"/>
      <c r="S1172" s="23"/>
      <c r="T1172" s="23"/>
      <c r="U1172" s="23"/>
      <c r="V1172" s="23"/>
      <c r="W1172" s="23"/>
      <c r="X1172" s="23"/>
      <c r="Y1172" s="23"/>
      <c r="Z1172" s="23"/>
      <c r="AA1172" s="23"/>
      <c r="AB1172" s="23"/>
      <c r="AC1172" s="23"/>
      <c r="AD1172" s="23"/>
      <c r="AE1172" s="23"/>
    </row>
    <row r="1173" spans="1:31" ht="24" customHeight="1">
      <c r="A1173" s="23"/>
      <c r="B1173" s="40"/>
      <c r="C1173" s="40"/>
      <c r="D1173" s="23"/>
      <c r="E1173" s="23"/>
      <c r="F1173" s="23"/>
      <c r="G1173" s="23"/>
      <c r="H1173" s="40"/>
      <c r="I1173" s="40"/>
      <c r="J1173" s="70"/>
      <c r="K1173" s="23"/>
      <c r="L1173" s="70"/>
      <c r="M1173" s="70"/>
      <c r="N1173" s="23"/>
      <c r="O1173" s="23"/>
      <c r="P1173" s="23"/>
      <c r="Q1173" s="23"/>
      <c r="R1173" s="72"/>
      <c r="S1173" s="23"/>
      <c r="T1173" s="23"/>
      <c r="U1173" s="23"/>
      <c r="V1173" s="23"/>
      <c r="W1173" s="23"/>
      <c r="X1173" s="23"/>
      <c r="Y1173" s="23"/>
      <c r="Z1173" s="23"/>
      <c r="AA1173" s="23"/>
      <c r="AB1173" s="23"/>
      <c r="AC1173" s="23"/>
      <c r="AD1173" s="23"/>
      <c r="AE1173" s="23"/>
    </row>
    <row r="1174" spans="1:31">
      <c r="A1174" s="23"/>
      <c r="B1174" s="40"/>
      <c r="C1174" s="40"/>
      <c r="D1174" s="23"/>
      <c r="E1174" s="23"/>
      <c r="F1174" s="23"/>
      <c r="G1174" s="23"/>
      <c r="H1174" s="40"/>
      <c r="I1174" s="40"/>
      <c r="J1174" s="70"/>
      <c r="K1174" s="23"/>
      <c r="L1174" s="70"/>
      <c r="M1174" s="70"/>
      <c r="N1174" s="23"/>
      <c r="O1174" s="23"/>
      <c r="P1174" s="23"/>
      <c r="Q1174" s="23"/>
      <c r="R1174" s="72"/>
      <c r="S1174" s="23"/>
      <c r="T1174" s="23"/>
      <c r="U1174" s="23"/>
      <c r="V1174" s="23"/>
      <c r="W1174" s="23"/>
      <c r="X1174" s="23"/>
      <c r="Y1174" s="23"/>
      <c r="Z1174" s="23"/>
      <c r="AA1174" s="23"/>
      <c r="AB1174" s="23"/>
      <c r="AC1174" s="23"/>
      <c r="AD1174" s="23"/>
      <c r="AE1174" s="23"/>
    </row>
    <row r="1175" spans="1:31">
      <c r="A1175" s="23"/>
      <c r="B1175" s="40"/>
      <c r="C1175" s="40"/>
      <c r="D1175" s="23"/>
      <c r="E1175" s="23"/>
      <c r="F1175" s="23"/>
      <c r="G1175" s="23"/>
      <c r="H1175" s="40"/>
      <c r="I1175" s="40"/>
      <c r="J1175" s="70"/>
      <c r="K1175" s="23"/>
      <c r="L1175" s="70"/>
      <c r="M1175" s="70"/>
      <c r="N1175" s="23"/>
      <c r="O1175" s="23"/>
      <c r="P1175" s="23"/>
      <c r="Q1175" s="23"/>
      <c r="R1175" s="72"/>
      <c r="S1175" s="23"/>
      <c r="T1175" s="23"/>
      <c r="U1175" s="23"/>
      <c r="V1175" s="23"/>
      <c r="W1175" s="23"/>
      <c r="X1175" s="23"/>
      <c r="Y1175" s="23"/>
      <c r="Z1175" s="23"/>
      <c r="AA1175" s="23"/>
      <c r="AB1175" s="23"/>
      <c r="AC1175" s="23"/>
      <c r="AD1175" s="23"/>
      <c r="AE1175" s="23"/>
    </row>
    <row r="1176" spans="1:31">
      <c r="A1176" s="23"/>
      <c r="B1176" s="40"/>
      <c r="C1176" s="40"/>
      <c r="D1176" s="23"/>
      <c r="E1176" s="23"/>
      <c r="F1176" s="23"/>
      <c r="G1176" s="23"/>
      <c r="H1176" s="40"/>
      <c r="I1176" s="40"/>
      <c r="J1176" s="70"/>
      <c r="K1176" s="23"/>
      <c r="L1176" s="70"/>
      <c r="M1176" s="70"/>
      <c r="N1176" s="23"/>
      <c r="O1176" s="23"/>
      <c r="P1176" s="23"/>
      <c r="Q1176" s="23"/>
      <c r="R1176" s="72"/>
      <c r="S1176" s="23"/>
      <c r="T1176" s="23"/>
      <c r="U1176" s="23"/>
      <c r="V1176" s="23"/>
      <c r="W1176" s="23"/>
      <c r="X1176" s="23"/>
      <c r="Y1176" s="23"/>
      <c r="Z1176" s="23"/>
      <c r="AA1176" s="23"/>
      <c r="AB1176" s="23"/>
      <c r="AC1176" s="23"/>
      <c r="AD1176" s="23"/>
      <c r="AE1176" s="23"/>
    </row>
    <row r="1177" spans="1:31">
      <c r="A1177" s="23"/>
      <c r="B1177" s="40"/>
      <c r="C1177" s="40"/>
      <c r="D1177" s="23"/>
      <c r="E1177" s="23"/>
      <c r="F1177" s="23"/>
      <c r="G1177" s="23"/>
      <c r="H1177" s="40"/>
      <c r="I1177" s="40"/>
      <c r="J1177" s="70"/>
      <c r="K1177" s="23"/>
      <c r="L1177" s="70"/>
      <c r="M1177" s="70"/>
      <c r="N1177" s="23"/>
      <c r="O1177" s="23"/>
      <c r="P1177" s="23"/>
      <c r="Q1177" s="23"/>
      <c r="R1177" s="72"/>
      <c r="S1177" s="23"/>
      <c r="T1177" s="23"/>
      <c r="U1177" s="23"/>
      <c r="V1177" s="23"/>
      <c r="W1177" s="23"/>
      <c r="X1177" s="23"/>
      <c r="Y1177" s="23"/>
      <c r="Z1177" s="23"/>
      <c r="AA1177" s="23"/>
      <c r="AB1177" s="23"/>
      <c r="AC1177" s="23"/>
      <c r="AD1177" s="23"/>
      <c r="AE1177" s="23"/>
    </row>
    <row r="1178" spans="1:31">
      <c r="A1178" s="23"/>
      <c r="B1178" s="40"/>
      <c r="C1178" s="40"/>
      <c r="D1178" s="23"/>
      <c r="E1178" s="23"/>
      <c r="F1178" s="23"/>
      <c r="G1178" s="23"/>
      <c r="H1178" s="40"/>
      <c r="I1178" s="40"/>
      <c r="J1178" s="70"/>
      <c r="K1178" s="23"/>
      <c r="L1178" s="70"/>
      <c r="M1178" s="70"/>
      <c r="N1178" s="23"/>
      <c r="O1178" s="23"/>
      <c r="P1178" s="23"/>
      <c r="Q1178" s="23"/>
      <c r="R1178" s="72"/>
      <c r="S1178" s="23"/>
      <c r="T1178" s="23"/>
      <c r="U1178" s="23"/>
      <c r="V1178" s="23"/>
      <c r="W1178" s="23"/>
      <c r="X1178" s="23"/>
      <c r="Y1178" s="23"/>
      <c r="Z1178" s="23"/>
      <c r="AA1178" s="23"/>
      <c r="AB1178" s="23"/>
      <c r="AC1178" s="23"/>
      <c r="AD1178" s="23"/>
      <c r="AE1178" s="23"/>
    </row>
    <row r="1179" spans="1:31">
      <c r="A1179" s="23"/>
      <c r="B1179" s="40"/>
      <c r="C1179" s="40"/>
      <c r="D1179" s="23"/>
      <c r="E1179" s="23"/>
      <c r="F1179" s="23"/>
      <c r="G1179" s="23"/>
      <c r="H1179" s="23"/>
      <c r="I1179" s="40"/>
      <c r="J1179" s="70"/>
      <c r="K1179" s="23"/>
      <c r="L1179" s="70"/>
      <c r="M1179" s="70"/>
      <c r="N1179" s="23"/>
      <c r="O1179" s="23"/>
      <c r="P1179" s="23"/>
      <c r="Q1179" s="23"/>
      <c r="R1179" s="72"/>
      <c r="S1179" s="23"/>
      <c r="T1179" s="23"/>
      <c r="U1179" s="23"/>
      <c r="V1179" s="23"/>
      <c r="W1179" s="23"/>
      <c r="X1179" s="23"/>
      <c r="Y1179" s="23"/>
      <c r="Z1179" s="23"/>
      <c r="AA1179" s="23"/>
      <c r="AB1179" s="23"/>
      <c r="AC1179" s="23"/>
      <c r="AD1179" s="23"/>
      <c r="AE1179" s="23"/>
    </row>
    <row r="1180" spans="1:31">
      <c r="A1180" s="23"/>
      <c r="B1180" s="40"/>
      <c r="C1180" s="40"/>
      <c r="D1180" s="23"/>
      <c r="E1180" s="23"/>
      <c r="F1180" s="23"/>
      <c r="G1180" s="23"/>
      <c r="H1180" s="23"/>
      <c r="I1180" s="40"/>
      <c r="J1180" s="70"/>
      <c r="K1180" s="23"/>
      <c r="L1180" s="70"/>
      <c r="M1180" s="70"/>
      <c r="N1180" s="23"/>
      <c r="O1180" s="23"/>
      <c r="P1180" s="23"/>
      <c r="Q1180" s="23"/>
      <c r="R1180" s="72"/>
      <c r="S1180" s="23"/>
      <c r="T1180" s="23"/>
      <c r="U1180" s="23"/>
      <c r="V1180" s="23"/>
      <c r="W1180" s="23"/>
      <c r="X1180" s="23"/>
      <c r="Y1180" s="23"/>
      <c r="Z1180" s="23"/>
      <c r="AA1180" s="23"/>
      <c r="AB1180" s="23"/>
      <c r="AC1180" s="23"/>
      <c r="AD1180" s="23"/>
      <c r="AE1180" s="23"/>
    </row>
    <row r="1181" spans="1:31">
      <c r="A1181" s="23"/>
      <c r="B1181" s="40"/>
      <c r="C1181" s="40"/>
      <c r="D1181" s="23"/>
      <c r="E1181" s="23"/>
      <c r="F1181" s="23"/>
      <c r="G1181" s="23"/>
      <c r="H1181" s="23"/>
      <c r="I1181" s="40"/>
      <c r="J1181" s="70"/>
      <c r="K1181" s="23"/>
      <c r="L1181" s="70"/>
      <c r="M1181" s="70"/>
      <c r="N1181" s="23"/>
      <c r="O1181" s="23"/>
      <c r="P1181" s="23"/>
      <c r="Q1181" s="23"/>
      <c r="R1181" s="72"/>
      <c r="S1181" s="23"/>
      <c r="T1181" s="23"/>
      <c r="U1181" s="23"/>
      <c r="V1181" s="23"/>
      <c r="W1181" s="23"/>
      <c r="X1181" s="23"/>
      <c r="Y1181" s="23"/>
      <c r="Z1181" s="23"/>
      <c r="AA1181" s="23"/>
      <c r="AB1181" s="23"/>
      <c r="AC1181" s="23"/>
      <c r="AD1181" s="23"/>
      <c r="AE1181" s="23"/>
    </row>
    <row r="1182" spans="1:31">
      <c r="A1182" s="23"/>
      <c r="B1182" s="40"/>
      <c r="C1182" s="40"/>
      <c r="D1182" s="23"/>
      <c r="E1182" s="23"/>
      <c r="F1182" s="23"/>
      <c r="G1182" s="23"/>
      <c r="H1182" s="23"/>
      <c r="I1182" s="40"/>
      <c r="J1182" s="70"/>
      <c r="K1182" s="23"/>
      <c r="L1182" s="70"/>
      <c r="M1182" s="70"/>
      <c r="N1182" s="23"/>
      <c r="O1182" s="23"/>
      <c r="P1182" s="23"/>
      <c r="Q1182" s="23"/>
      <c r="R1182" s="72"/>
      <c r="S1182" s="23"/>
      <c r="T1182" s="23"/>
      <c r="U1182" s="23"/>
      <c r="V1182" s="23"/>
      <c r="W1182" s="23"/>
      <c r="X1182" s="23"/>
      <c r="Y1182" s="23"/>
      <c r="Z1182" s="23"/>
      <c r="AA1182" s="23"/>
      <c r="AB1182" s="23"/>
      <c r="AC1182" s="23"/>
      <c r="AD1182" s="23"/>
      <c r="AE1182" s="23"/>
    </row>
    <row r="1183" spans="1:31">
      <c r="A1183" s="23"/>
      <c r="B1183" s="40"/>
      <c r="C1183" s="40"/>
      <c r="D1183" s="23"/>
      <c r="E1183" s="23"/>
      <c r="F1183" s="23"/>
      <c r="G1183" s="23"/>
      <c r="H1183" s="23"/>
      <c r="I1183" s="40"/>
      <c r="J1183" s="70"/>
      <c r="K1183" s="23"/>
      <c r="L1183" s="70"/>
      <c r="M1183" s="70"/>
      <c r="N1183" s="23"/>
      <c r="O1183" s="23"/>
      <c r="P1183" s="23"/>
      <c r="Q1183" s="23"/>
      <c r="R1183" s="72"/>
      <c r="S1183" s="23"/>
      <c r="T1183" s="23"/>
      <c r="U1183" s="23"/>
      <c r="V1183" s="23"/>
      <c r="W1183" s="23"/>
      <c r="X1183" s="23"/>
      <c r="Y1183" s="23"/>
      <c r="Z1183" s="23"/>
      <c r="AA1183" s="23"/>
      <c r="AB1183" s="23"/>
      <c r="AC1183" s="23"/>
      <c r="AD1183" s="23"/>
      <c r="AE1183" s="23"/>
    </row>
    <row r="1184" spans="1:31">
      <c r="A1184" s="23"/>
      <c r="B1184" s="40"/>
      <c r="C1184" s="40"/>
      <c r="D1184" s="23"/>
      <c r="E1184" s="23"/>
      <c r="F1184" s="23"/>
      <c r="G1184" s="23"/>
      <c r="H1184" s="23"/>
      <c r="I1184" s="40"/>
      <c r="J1184" s="70"/>
      <c r="K1184" s="23"/>
      <c r="L1184" s="70"/>
      <c r="M1184" s="70"/>
      <c r="N1184" s="23"/>
      <c r="O1184" s="23"/>
      <c r="P1184" s="23"/>
      <c r="Q1184" s="23"/>
      <c r="R1184" s="72"/>
      <c r="S1184" s="23"/>
      <c r="T1184" s="23"/>
      <c r="U1184" s="23"/>
      <c r="V1184" s="23"/>
      <c r="W1184" s="23"/>
      <c r="X1184" s="23"/>
      <c r="Y1184" s="23"/>
      <c r="Z1184" s="23"/>
      <c r="AA1184" s="23"/>
      <c r="AB1184" s="23"/>
      <c r="AC1184" s="23"/>
      <c r="AD1184" s="23"/>
      <c r="AE1184" s="23"/>
    </row>
    <row r="1185" spans="1:31">
      <c r="A1185" s="23"/>
      <c r="B1185" s="40"/>
      <c r="C1185" s="40"/>
      <c r="D1185" s="23"/>
      <c r="E1185" s="23"/>
      <c r="F1185" s="23"/>
      <c r="G1185" s="23"/>
      <c r="H1185" s="23"/>
      <c r="I1185" s="40"/>
      <c r="J1185" s="70"/>
      <c r="K1185" s="23"/>
      <c r="L1185" s="70"/>
      <c r="M1185" s="70"/>
      <c r="N1185" s="23"/>
      <c r="O1185" s="23"/>
      <c r="P1185" s="23"/>
      <c r="Q1185" s="23"/>
      <c r="R1185" s="72"/>
      <c r="S1185" s="23"/>
      <c r="T1185" s="23"/>
      <c r="U1185" s="23"/>
      <c r="V1185" s="23"/>
      <c r="W1185" s="23"/>
      <c r="X1185" s="23"/>
      <c r="Y1185" s="23"/>
      <c r="Z1185" s="23"/>
      <c r="AA1185" s="23"/>
      <c r="AB1185" s="23"/>
      <c r="AC1185" s="23"/>
      <c r="AD1185" s="23"/>
      <c r="AE1185" s="23"/>
    </row>
    <row r="1186" spans="1:31">
      <c r="A1186" s="23"/>
      <c r="B1186" s="40"/>
      <c r="C1186" s="40"/>
      <c r="D1186" s="23"/>
      <c r="E1186" s="23"/>
      <c r="F1186" s="23"/>
      <c r="G1186" s="23"/>
      <c r="H1186" s="23"/>
      <c r="I1186" s="40"/>
      <c r="J1186" s="70"/>
      <c r="K1186" s="23"/>
      <c r="L1186" s="70"/>
      <c r="M1186" s="70"/>
      <c r="N1186" s="23"/>
      <c r="O1186" s="23"/>
      <c r="P1186" s="23"/>
      <c r="Q1186" s="23"/>
      <c r="R1186" s="72"/>
      <c r="S1186" s="23"/>
      <c r="T1186" s="23"/>
      <c r="U1186" s="23"/>
      <c r="V1186" s="23"/>
      <c r="W1186" s="23"/>
      <c r="X1186" s="23"/>
      <c r="Y1186" s="23"/>
      <c r="Z1186" s="23"/>
      <c r="AA1186" s="23"/>
      <c r="AB1186" s="23"/>
      <c r="AC1186" s="23"/>
      <c r="AD1186" s="23"/>
      <c r="AE1186" s="23"/>
    </row>
    <row r="1187" spans="1:31">
      <c r="A1187" s="23"/>
      <c r="B1187" s="40"/>
      <c r="C1187" s="40"/>
      <c r="D1187" s="23"/>
      <c r="E1187" s="23"/>
      <c r="F1187" s="23"/>
      <c r="G1187" s="23"/>
      <c r="H1187" s="23"/>
      <c r="I1187" s="40"/>
      <c r="J1187" s="70"/>
      <c r="K1187" s="23"/>
      <c r="L1187" s="70"/>
      <c r="M1187" s="70"/>
      <c r="N1187" s="23"/>
      <c r="O1187" s="23"/>
      <c r="P1187" s="23"/>
      <c r="Q1187" s="23"/>
      <c r="R1187" s="72"/>
      <c r="S1187" s="23"/>
      <c r="T1187" s="23"/>
      <c r="U1187" s="23"/>
      <c r="V1187" s="23"/>
      <c r="W1187" s="23"/>
      <c r="X1187" s="23"/>
      <c r="Y1187" s="23"/>
      <c r="Z1187" s="23"/>
      <c r="AA1187" s="23"/>
      <c r="AB1187" s="23"/>
      <c r="AC1187" s="23"/>
      <c r="AD1187" s="23"/>
      <c r="AE1187" s="23"/>
    </row>
    <row r="1188" spans="1:31" ht="24" customHeight="1">
      <c r="A1188" s="23"/>
      <c r="B1188" s="40"/>
      <c r="C1188" s="40"/>
      <c r="D1188" s="23"/>
      <c r="E1188" s="23"/>
      <c r="F1188" s="23"/>
      <c r="G1188" s="23"/>
      <c r="H1188" s="40"/>
      <c r="I1188" s="40"/>
      <c r="J1188" s="70"/>
      <c r="K1188" s="23"/>
      <c r="L1188" s="70"/>
      <c r="M1188" s="70"/>
      <c r="N1188" s="23"/>
      <c r="O1188" s="23"/>
      <c r="P1188" s="23"/>
      <c r="Q1188" s="23"/>
      <c r="R1188" s="72"/>
      <c r="S1188" s="23"/>
      <c r="T1188" s="23"/>
      <c r="U1188" s="23"/>
      <c r="V1188" s="23"/>
      <c r="W1188" s="23"/>
      <c r="X1188" s="23"/>
      <c r="Y1188" s="23"/>
      <c r="Z1188" s="23"/>
      <c r="AA1188" s="23"/>
      <c r="AB1188" s="23"/>
      <c r="AC1188" s="23"/>
      <c r="AD1188" s="23"/>
      <c r="AE1188" s="23"/>
    </row>
    <row r="1189" spans="1:31">
      <c r="A1189" s="23"/>
      <c r="B1189" s="40"/>
      <c r="C1189" s="40"/>
      <c r="D1189" s="23"/>
      <c r="E1189" s="23"/>
      <c r="F1189" s="23"/>
      <c r="G1189" s="23"/>
      <c r="H1189" s="40"/>
      <c r="I1189" s="40"/>
      <c r="J1189" s="70"/>
      <c r="K1189" s="23"/>
      <c r="L1189" s="70"/>
      <c r="M1189" s="70"/>
      <c r="N1189" s="23"/>
      <c r="O1189" s="23"/>
      <c r="P1189" s="23"/>
      <c r="Q1189" s="23"/>
      <c r="R1189" s="72"/>
      <c r="S1189" s="23"/>
      <c r="T1189" s="23"/>
      <c r="U1189" s="23"/>
      <c r="V1189" s="23"/>
      <c r="W1189" s="23"/>
      <c r="X1189" s="23"/>
      <c r="Y1189" s="23"/>
      <c r="Z1189" s="23"/>
      <c r="AA1189" s="23"/>
      <c r="AB1189" s="23"/>
      <c r="AC1189" s="23"/>
      <c r="AD1189" s="23"/>
      <c r="AE1189" s="23"/>
    </row>
    <row r="1190" spans="1:31">
      <c r="A1190" s="23"/>
      <c r="B1190" s="40"/>
      <c r="C1190" s="40"/>
      <c r="D1190" s="23"/>
      <c r="E1190" s="23"/>
      <c r="F1190" s="23"/>
      <c r="G1190" s="23"/>
      <c r="H1190" s="40"/>
      <c r="I1190" s="40"/>
      <c r="J1190" s="70"/>
      <c r="K1190" s="23"/>
      <c r="L1190" s="70"/>
      <c r="M1190" s="70"/>
      <c r="N1190" s="23"/>
      <c r="O1190" s="23"/>
      <c r="P1190" s="23"/>
      <c r="Q1190" s="23"/>
      <c r="R1190" s="72"/>
      <c r="S1190" s="23"/>
      <c r="T1190" s="23"/>
      <c r="U1190" s="23"/>
      <c r="V1190" s="23"/>
      <c r="W1190" s="23"/>
      <c r="X1190" s="23"/>
      <c r="Y1190" s="23"/>
      <c r="Z1190" s="23"/>
      <c r="AA1190" s="23"/>
      <c r="AB1190" s="23"/>
      <c r="AC1190" s="23"/>
      <c r="AD1190" s="23"/>
      <c r="AE1190" s="23"/>
    </row>
    <row r="1191" spans="1:31">
      <c r="A1191" s="23"/>
      <c r="B1191" s="40"/>
      <c r="C1191" s="40"/>
      <c r="D1191" s="23"/>
      <c r="E1191" s="23"/>
      <c r="F1191" s="23"/>
      <c r="G1191" s="23"/>
      <c r="H1191" s="40"/>
      <c r="I1191" s="40"/>
      <c r="J1191" s="70"/>
      <c r="K1191" s="23"/>
      <c r="L1191" s="70"/>
      <c r="M1191" s="70"/>
      <c r="N1191" s="23"/>
      <c r="O1191" s="23"/>
      <c r="P1191" s="23"/>
      <c r="Q1191" s="23"/>
      <c r="R1191" s="72"/>
      <c r="S1191" s="23"/>
      <c r="T1191" s="23"/>
      <c r="U1191" s="23"/>
      <c r="V1191" s="23"/>
      <c r="W1191" s="23"/>
      <c r="X1191" s="23"/>
      <c r="Y1191" s="23"/>
      <c r="Z1191" s="23"/>
      <c r="AA1191" s="23"/>
      <c r="AB1191" s="23"/>
      <c r="AC1191" s="23"/>
      <c r="AD1191" s="23"/>
      <c r="AE1191" s="23"/>
    </row>
    <row r="1192" spans="1:31">
      <c r="A1192" s="23"/>
      <c r="B1192" s="40"/>
      <c r="C1192" s="40"/>
      <c r="D1192" s="23"/>
      <c r="E1192" s="23"/>
      <c r="F1192" s="23"/>
      <c r="G1192" s="23"/>
      <c r="H1192" s="40"/>
      <c r="I1192" s="40"/>
      <c r="J1192" s="70"/>
      <c r="K1192" s="23"/>
      <c r="L1192" s="70"/>
      <c r="M1192" s="70"/>
      <c r="N1192" s="23"/>
      <c r="O1192" s="23"/>
      <c r="P1192" s="23"/>
      <c r="Q1192" s="23"/>
      <c r="R1192" s="72"/>
      <c r="S1192" s="23"/>
      <c r="T1192" s="23"/>
      <c r="U1192" s="23"/>
      <c r="V1192" s="23"/>
      <c r="W1192" s="23"/>
      <c r="X1192" s="23"/>
      <c r="Y1192" s="23"/>
      <c r="Z1192" s="23"/>
      <c r="AA1192" s="23"/>
      <c r="AB1192" s="23"/>
      <c r="AC1192" s="23"/>
      <c r="AD1192" s="23"/>
      <c r="AE1192" s="23"/>
    </row>
    <row r="1193" spans="1:31">
      <c r="A1193" s="23"/>
      <c r="B1193" s="40"/>
      <c r="C1193" s="40"/>
      <c r="D1193" s="23"/>
      <c r="E1193" s="23"/>
      <c r="F1193" s="23"/>
      <c r="G1193" s="23"/>
      <c r="H1193" s="40"/>
      <c r="I1193" s="40"/>
      <c r="J1193" s="70"/>
      <c r="K1193" s="23"/>
      <c r="L1193" s="70"/>
      <c r="M1193" s="70"/>
      <c r="N1193" s="23"/>
      <c r="O1193" s="23"/>
      <c r="P1193" s="23"/>
      <c r="Q1193" s="23"/>
      <c r="R1193" s="72"/>
      <c r="S1193" s="23"/>
      <c r="T1193" s="23"/>
      <c r="U1193" s="23"/>
      <c r="V1193" s="23"/>
      <c r="W1193" s="23"/>
      <c r="X1193" s="23"/>
      <c r="Y1193" s="23"/>
      <c r="Z1193" s="23"/>
      <c r="AA1193" s="23"/>
      <c r="AB1193" s="23"/>
      <c r="AC1193" s="23"/>
      <c r="AD1193" s="23"/>
      <c r="AE1193" s="23"/>
    </row>
    <row r="1194" spans="1:31">
      <c r="A1194" s="23"/>
      <c r="B1194" s="40"/>
      <c r="C1194" s="40"/>
      <c r="D1194" s="23"/>
      <c r="E1194" s="23"/>
      <c r="F1194" s="23"/>
      <c r="G1194" s="23"/>
      <c r="H1194" s="23"/>
      <c r="I1194" s="40"/>
      <c r="J1194" s="70"/>
      <c r="K1194" s="23"/>
      <c r="L1194" s="70"/>
      <c r="M1194" s="70"/>
      <c r="N1194" s="23"/>
      <c r="O1194" s="23"/>
      <c r="P1194" s="23"/>
      <c r="Q1194" s="23"/>
      <c r="R1194" s="72"/>
      <c r="S1194" s="23"/>
      <c r="T1194" s="23"/>
      <c r="U1194" s="23"/>
      <c r="V1194" s="23"/>
      <c r="W1194" s="23"/>
      <c r="X1194" s="23"/>
      <c r="Y1194" s="23"/>
      <c r="Z1194" s="23"/>
      <c r="AA1194" s="23"/>
      <c r="AB1194" s="23"/>
      <c r="AC1194" s="23"/>
      <c r="AD1194" s="23"/>
      <c r="AE1194" s="23"/>
    </row>
    <row r="1195" spans="1:31">
      <c r="A1195" s="23"/>
      <c r="B1195" s="40"/>
      <c r="C1195" s="40"/>
      <c r="D1195" s="23"/>
      <c r="E1195" s="23"/>
      <c r="F1195" s="23"/>
      <c r="G1195" s="23"/>
      <c r="H1195" s="23"/>
      <c r="I1195" s="40"/>
      <c r="J1195" s="70"/>
      <c r="K1195" s="23"/>
      <c r="L1195" s="70"/>
      <c r="M1195" s="70"/>
      <c r="N1195" s="23"/>
      <c r="O1195" s="23"/>
      <c r="P1195" s="23"/>
      <c r="Q1195" s="23"/>
      <c r="R1195" s="72"/>
      <c r="S1195" s="23"/>
      <c r="T1195" s="23"/>
      <c r="U1195" s="23"/>
      <c r="V1195" s="23"/>
      <c r="W1195" s="23"/>
      <c r="X1195" s="23"/>
      <c r="Y1195" s="23"/>
      <c r="Z1195" s="23"/>
      <c r="AA1195" s="23"/>
      <c r="AB1195" s="23"/>
      <c r="AC1195" s="23"/>
      <c r="AD1195" s="23"/>
      <c r="AE1195" s="23"/>
    </row>
    <row r="1196" spans="1:31" ht="24" customHeight="1">
      <c r="A1196" s="23"/>
      <c r="B1196" s="40"/>
      <c r="C1196" s="40"/>
      <c r="D1196" s="23"/>
      <c r="E1196" s="23"/>
      <c r="F1196" s="23"/>
      <c r="G1196" s="23"/>
      <c r="H1196" s="40"/>
      <c r="I1196" s="40"/>
      <c r="J1196" s="70"/>
      <c r="K1196" s="23"/>
      <c r="L1196" s="70"/>
      <c r="M1196" s="70"/>
      <c r="N1196" s="23"/>
      <c r="O1196" s="23"/>
      <c r="P1196" s="23"/>
      <c r="Q1196" s="23"/>
      <c r="R1196" s="72"/>
      <c r="S1196" s="23"/>
      <c r="T1196" s="23"/>
      <c r="U1196" s="23"/>
      <c r="V1196" s="23"/>
      <c r="W1196" s="23"/>
      <c r="X1196" s="23"/>
      <c r="Y1196" s="23"/>
      <c r="Z1196" s="23"/>
      <c r="AA1196" s="23"/>
      <c r="AB1196" s="23"/>
      <c r="AC1196" s="23"/>
      <c r="AD1196" s="23"/>
      <c r="AE1196" s="23"/>
    </row>
    <row r="1197" spans="1:31">
      <c r="A1197" s="23"/>
      <c r="B1197" s="40"/>
      <c r="C1197" s="40"/>
      <c r="D1197" s="23"/>
      <c r="E1197" s="23"/>
      <c r="F1197" s="23"/>
      <c r="G1197" s="23"/>
      <c r="H1197" s="40"/>
      <c r="I1197" s="40"/>
      <c r="J1197" s="70"/>
      <c r="K1197" s="23"/>
      <c r="L1197" s="70"/>
      <c r="M1197" s="70"/>
      <c r="N1197" s="23"/>
      <c r="O1197" s="23"/>
      <c r="P1197" s="23"/>
      <c r="Q1197" s="23"/>
      <c r="R1197" s="72"/>
      <c r="S1197" s="23"/>
      <c r="T1197" s="23"/>
      <c r="U1197" s="23"/>
      <c r="V1197" s="23"/>
      <c r="W1197" s="23"/>
      <c r="X1197" s="23"/>
      <c r="Y1197" s="23"/>
      <c r="Z1197" s="23"/>
      <c r="AA1197" s="23"/>
      <c r="AB1197" s="23"/>
      <c r="AC1197" s="23"/>
      <c r="AD1197" s="23"/>
      <c r="AE1197" s="23"/>
    </row>
    <row r="1198" spans="1:31">
      <c r="A1198" s="23"/>
      <c r="B1198" s="40"/>
      <c r="C1198" s="40"/>
      <c r="D1198" s="23"/>
      <c r="E1198" s="23"/>
      <c r="F1198" s="23"/>
      <c r="G1198" s="23"/>
      <c r="H1198" s="40"/>
      <c r="I1198" s="40"/>
      <c r="J1198" s="70"/>
      <c r="K1198" s="23"/>
      <c r="L1198" s="70"/>
      <c r="M1198" s="70"/>
      <c r="N1198" s="23"/>
      <c r="O1198" s="23"/>
      <c r="P1198" s="23"/>
      <c r="Q1198" s="23"/>
      <c r="R1198" s="72"/>
      <c r="S1198" s="23"/>
      <c r="T1198" s="23"/>
      <c r="U1198" s="23"/>
      <c r="V1198" s="23"/>
      <c r="W1198" s="23"/>
      <c r="X1198" s="23"/>
      <c r="Y1198" s="23"/>
      <c r="Z1198" s="23"/>
      <c r="AA1198" s="23"/>
      <c r="AB1198" s="23"/>
      <c r="AC1198" s="23"/>
      <c r="AD1198" s="23"/>
      <c r="AE1198" s="23"/>
    </row>
    <row r="1199" spans="1:31">
      <c r="A1199" s="23"/>
      <c r="B1199" s="40"/>
      <c r="C1199" s="40"/>
      <c r="D1199" s="23"/>
      <c r="E1199" s="23"/>
      <c r="F1199" s="23"/>
      <c r="G1199" s="23"/>
      <c r="H1199" s="40"/>
      <c r="I1199" s="40"/>
      <c r="J1199" s="70"/>
      <c r="K1199" s="23"/>
      <c r="L1199" s="70"/>
      <c r="M1199" s="70"/>
      <c r="N1199" s="23"/>
      <c r="O1199" s="23"/>
      <c r="P1199" s="23"/>
      <c r="Q1199" s="23"/>
      <c r="R1199" s="72"/>
      <c r="S1199" s="23"/>
      <c r="T1199" s="23"/>
      <c r="U1199" s="23"/>
      <c r="V1199" s="23"/>
      <c r="W1199" s="23"/>
      <c r="X1199" s="23"/>
      <c r="Y1199" s="23"/>
      <c r="Z1199" s="23"/>
      <c r="AA1199" s="23"/>
      <c r="AB1199" s="23"/>
      <c r="AC1199" s="23"/>
      <c r="AD1199" s="23"/>
      <c r="AE1199" s="23"/>
    </row>
    <row r="1200" spans="1:31">
      <c r="A1200" s="23"/>
      <c r="B1200" s="40"/>
      <c r="C1200" s="40"/>
      <c r="D1200" s="23"/>
      <c r="E1200" s="23"/>
      <c r="F1200" s="23"/>
      <c r="G1200" s="23"/>
      <c r="H1200" s="40"/>
      <c r="I1200" s="40"/>
      <c r="J1200" s="70"/>
      <c r="K1200" s="23"/>
      <c r="L1200" s="70"/>
      <c r="M1200" s="70"/>
      <c r="N1200" s="23"/>
      <c r="O1200" s="23"/>
      <c r="P1200" s="23"/>
      <c r="Q1200" s="23"/>
      <c r="R1200" s="72"/>
      <c r="S1200" s="23"/>
      <c r="T1200" s="23"/>
      <c r="U1200" s="23"/>
      <c r="V1200" s="23"/>
      <c r="W1200" s="23"/>
      <c r="X1200" s="23"/>
      <c r="Y1200" s="23"/>
      <c r="Z1200" s="23"/>
      <c r="AA1200" s="23"/>
      <c r="AB1200" s="23"/>
      <c r="AC1200" s="23"/>
      <c r="AD1200" s="23"/>
      <c r="AE1200" s="23"/>
    </row>
    <row r="1201" spans="1:31">
      <c r="A1201" s="23"/>
      <c r="B1201" s="40"/>
      <c r="C1201" s="40"/>
      <c r="D1201" s="23"/>
      <c r="E1201" s="23"/>
      <c r="F1201" s="23"/>
      <c r="G1201" s="23"/>
      <c r="H1201" s="23"/>
      <c r="I1201" s="40"/>
      <c r="J1201" s="70"/>
      <c r="K1201" s="23"/>
      <c r="L1201" s="70"/>
      <c r="M1201" s="70"/>
      <c r="N1201" s="23"/>
      <c r="O1201" s="23"/>
      <c r="P1201" s="23"/>
      <c r="Q1201" s="23"/>
      <c r="R1201" s="72"/>
      <c r="S1201" s="23"/>
      <c r="T1201" s="23"/>
      <c r="U1201" s="23"/>
      <c r="V1201" s="23"/>
      <c r="W1201" s="23"/>
      <c r="X1201" s="23"/>
      <c r="Y1201" s="23"/>
      <c r="Z1201" s="23"/>
      <c r="AA1201" s="23"/>
      <c r="AB1201" s="23"/>
      <c r="AC1201" s="23"/>
      <c r="AD1201" s="23"/>
      <c r="AE1201" s="23"/>
    </row>
    <row r="1202" spans="1:31">
      <c r="A1202" s="23"/>
      <c r="B1202" s="40"/>
      <c r="C1202" s="40"/>
      <c r="D1202" s="23"/>
      <c r="E1202" s="23"/>
      <c r="F1202" s="23"/>
      <c r="G1202" s="23"/>
      <c r="H1202" s="23"/>
      <c r="I1202" s="40"/>
      <c r="J1202" s="70"/>
      <c r="K1202" s="23"/>
      <c r="L1202" s="70"/>
      <c r="M1202" s="70"/>
      <c r="N1202" s="23"/>
      <c r="O1202" s="23"/>
      <c r="P1202" s="23"/>
      <c r="Q1202" s="23"/>
      <c r="R1202" s="72"/>
      <c r="S1202" s="23"/>
      <c r="T1202" s="23"/>
      <c r="U1202" s="23"/>
      <c r="V1202" s="23"/>
      <c r="W1202" s="23"/>
      <c r="X1202" s="23"/>
      <c r="Y1202" s="23"/>
      <c r="Z1202" s="23"/>
      <c r="AA1202" s="23"/>
      <c r="AB1202" s="23"/>
      <c r="AC1202" s="23"/>
      <c r="AD1202" s="23"/>
      <c r="AE1202" s="23"/>
    </row>
    <row r="1203" spans="1:31">
      <c r="A1203" s="23"/>
      <c r="B1203" s="40"/>
      <c r="C1203" s="40"/>
      <c r="D1203" s="23"/>
      <c r="E1203" s="23"/>
      <c r="F1203" s="23"/>
      <c r="G1203" s="23"/>
      <c r="H1203" s="23"/>
      <c r="I1203" s="40"/>
      <c r="J1203" s="70"/>
      <c r="K1203" s="23"/>
      <c r="L1203" s="70"/>
      <c r="M1203" s="70"/>
      <c r="N1203" s="23"/>
      <c r="O1203" s="23"/>
      <c r="P1203" s="23"/>
      <c r="Q1203" s="23"/>
      <c r="R1203" s="72"/>
      <c r="S1203" s="23"/>
      <c r="T1203" s="23"/>
      <c r="U1203" s="23"/>
      <c r="V1203" s="23"/>
      <c r="W1203" s="23"/>
      <c r="X1203" s="23"/>
      <c r="Y1203" s="23"/>
      <c r="Z1203" s="23"/>
      <c r="AA1203" s="23"/>
      <c r="AB1203" s="23"/>
      <c r="AC1203" s="23"/>
      <c r="AD1203" s="23"/>
      <c r="AE1203" s="23"/>
    </row>
    <row r="1204" spans="1:31">
      <c r="A1204" s="23"/>
      <c r="B1204" s="40"/>
      <c r="C1204" s="40"/>
      <c r="D1204" s="23"/>
      <c r="E1204" s="23"/>
      <c r="F1204" s="23"/>
      <c r="G1204" s="23"/>
      <c r="H1204" s="23"/>
      <c r="I1204" s="40"/>
      <c r="J1204" s="70"/>
      <c r="K1204" s="23"/>
      <c r="L1204" s="70"/>
      <c r="M1204" s="70"/>
      <c r="N1204" s="23"/>
      <c r="O1204" s="23"/>
      <c r="P1204" s="23"/>
      <c r="Q1204" s="23"/>
      <c r="R1204" s="72"/>
      <c r="S1204" s="23"/>
      <c r="T1204" s="23"/>
      <c r="U1204" s="23"/>
      <c r="V1204" s="23"/>
      <c r="W1204" s="23"/>
      <c r="X1204" s="23"/>
      <c r="Y1204" s="23"/>
      <c r="Z1204" s="23"/>
      <c r="AA1204" s="23"/>
      <c r="AB1204" s="23"/>
      <c r="AC1204" s="23"/>
      <c r="AD1204" s="23"/>
      <c r="AE1204" s="23"/>
    </row>
    <row r="1205" spans="1:31" ht="24" customHeight="1">
      <c r="A1205" s="23"/>
      <c r="B1205" s="40"/>
      <c r="C1205" s="40"/>
      <c r="D1205" s="23"/>
      <c r="E1205" s="23"/>
      <c r="F1205" s="23"/>
      <c r="G1205" s="23"/>
      <c r="H1205" s="40"/>
      <c r="I1205" s="40"/>
      <c r="J1205" s="70"/>
      <c r="K1205" s="23"/>
      <c r="L1205" s="70"/>
      <c r="M1205" s="70"/>
      <c r="N1205" s="23"/>
      <c r="O1205" s="23"/>
      <c r="P1205" s="23"/>
      <c r="Q1205" s="23"/>
      <c r="R1205" s="72"/>
      <c r="S1205" s="23"/>
      <c r="T1205" s="23"/>
      <c r="U1205" s="23"/>
      <c r="V1205" s="23"/>
      <c r="W1205" s="23"/>
      <c r="X1205" s="23"/>
      <c r="Y1205" s="23"/>
      <c r="Z1205" s="23"/>
      <c r="AA1205" s="23"/>
      <c r="AB1205" s="23"/>
      <c r="AC1205" s="23"/>
      <c r="AD1205" s="23"/>
      <c r="AE1205" s="23"/>
    </row>
    <row r="1206" spans="1:31">
      <c r="A1206" s="23"/>
      <c r="B1206" s="40"/>
      <c r="C1206" s="40"/>
      <c r="D1206" s="23"/>
      <c r="E1206" s="23"/>
      <c r="F1206" s="23"/>
      <c r="G1206" s="23"/>
      <c r="H1206" s="40"/>
      <c r="I1206" s="40"/>
      <c r="J1206" s="70"/>
      <c r="K1206" s="23"/>
      <c r="L1206" s="70"/>
      <c r="M1206" s="70"/>
      <c r="N1206" s="23"/>
      <c r="O1206" s="23"/>
      <c r="P1206" s="23"/>
      <c r="Q1206" s="23"/>
      <c r="R1206" s="72"/>
      <c r="S1206" s="23"/>
      <c r="T1206" s="23"/>
      <c r="U1206" s="23"/>
      <c r="V1206" s="23"/>
      <c r="W1206" s="23"/>
      <c r="X1206" s="23"/>
      <c r="Y1206" s="23"/>
      <c r="Z1206" s="23"/>
      <c r="AA1206" s="23"/>
      <c r="AB1206" s="23"/>
      <c r="AC1206" s="23"/>
      <c r="AD1206" s="23"/>
      <c r="AE1206" s="23"/>
    </row>
    <row r="1207" spans="1:31">
      <c r="A1207" s="23"/>
      <c r="B1207" s="40"/>
      <c r="C1207" s="40"/>
      <c r="D1207" s="23"/>
      <c r="E1207" s="23"/>
      <c r="F1207" s="23"/>
      <c r="G1207" s="23"/>
      <c r="H1207" s="40"/>
      <c r="I1207" s="40"/>
      <c r="J1207" s="70"/>
      <c r="K1207" s="23"/>
      <c r="L1207" s="70"/>
      <c r="M1207" s="70"/>
      <c r="N1207" s="23"/>
      <c r="O1207" s="23"/>
      <c r="P1207" s="23"/>
      <c r="Q1207" s="23"/>
      <c r="R1207" s="72"/>
      <c r="S1207" s="23"/>
      <c r="T1207" s="23"/>
      <c r="U1207" s="23"/>
      <c r="V1207" s="23"/>
      <c r="W1207" s="23"/>
      <c r="X1207" s="23"/>
      <c r="Y1207" s="23"/>
      <c r="Z1207" s="23"/>
      <c r="AA1207" s="23"/>
      <c r="AB1207" s="23"/>
      <c r="AC1207" s="23"/>
      <c r="AD1207" s="23"/>
      <c r="AE1207" s="23"/>
    </row>
    <row r="1208" spans="1:31">
      <c r="A1208" s="23"/>
      <c r="B1208" s="40"/>
      <c r="C1208" s="40"/>
      <c r="D1208" s="23"/>
      <c r="E1208" s="23"/>
      <c r="F1208" s="23"/>
      <c r="G1208" s="23"/>
      <c r="H1208" s="40"/>
      <c r="I1208" s="40"/>
      <c r="J1208" s="70"/>
      <c r="K1208" s="23"/>
      <c r="L1208" s="70"/>
      <c r="M1208" s="70"/>
      <c r="N1208" s="23"/>
      <c r="O1208" s="23"/>
      <c r="P1208" s="23"/>
      <c r="Q1208" s="23"/>
      <c r="R1208" s="72"/>
      <c r="S1208" s="23"/>
      <c r="T1208" s="23"/>
      <c r="U1208" s="23"/>
      <c r="V1208" s="23"/>
      <c r="W1208" s="23"/>
      <c r="X1208" s="23"/>
      <c r="Y1208" s="23"/>
      <c r="Z1208" s="23"/>
      <c r="AA1208" s="23"/>
      <c r="AB1208" s="23"/>
      <c r="AC1208" s="23"/>
      <c r="AD1208" s="23"/>
      <c r="AE1208" s="23"/>
    </row>
    <row r="1209" spans="1:31">
      <c r="A1209" s="23"/>
      <c r="B1209" s="40"/>
      <c r="C1209" s="40"/>
      <c r="D1209" s="23"/>
      <c r="E1209" s="23"/>
      <c r="F1209" s="23"/>
      <c r="G1209" s="23"/>
      <c r="H1209" s="40"/>
      <c r="I1209" s="40"/>
      <c r="J1209" s="70"/>
      <c r="K1209" s="23"/>
      <c r="L1209" s="70"/>
      <c r="M1209" s="70"/>
      <c r="N1209" s="23"/>
      <c r="O1209" s="23"/>
      <c r="P1209" s="23"/>
      <c r="Q1209" s="23"/>
      <c r="R1209" s="72"/>
      <c r="S1209" s="23"/>
      <c r="T1209" s="23"/>
      <c r="U1209" s="23"/>
      <c r="V1209" s="23"/>
      <c r="W1209" s="23"/>
      <c r="X1209" s="23"/>
      <c r="Y1209" s="23"/>
      <c r="Z1209" s="23"/>
      <c r="AA1209" s="23"/>
      <c r="AB1209" s="23"/>
      <c r="AC1209" s="23"/>
      <c r="AD1209" s="23"/>
      <c r="AE1209" s="23"/>
    </row>
    <row r="1210" spans="1:31">
      <c r="A1210" s="23"/>
      <c r="B1210" s="40"/>
      <c r="C1210" s="40"/>
      <c r="D1210" s="23"/>
      <c r="E1210" s="23"/>
      <c r="F1210" s="23"/>
      <c r="G1210" s="23"/>
      <c r="H1210" s="40"/>
      <c r="I1210" s="40"/>
      <c r="J1210" s="70"/>
      <c r="K1210" s="23"/>
      <c r="L1210" s="70"/>
      <c r="M1210" s="70"/>
      <c r="N1210" s="23"/>
      <c r="O1210" s="23"/>
      <c r="P1210" s="23"/>
      <c r="Q1210" s="23"/>
      <c r="R1210" s="72"/>
      <c r="S1210" s="23"/>
      <c r="T1210" s="23"/>
      <c r="U1210" s="23"/>
      <c r="V1210" s="23"/>
      <c r="W1210" s="23"/>
      <c r="X1210" s="23"/>
      <c r="Y1210" s="23"/>
      <c r="Z1210" s="23"/>
      <c r="AA1210" s="23"/>
      <c r="AB1210" s="23"/>
      <c r="AC1210" s="23"/>
      <c r="AD1210" s="23"/>
      <c r="AE1210" s="23"/>
    </row>
    <row r="1211" spans="1:31">
      <c r="A1211" s="23"/>
      <c r="B1211" s="40"/>
      <c r="C1211" s="40"/>
      <c r="D1211" s="23"/>
      <c r="E1211" s="23"/>
      <c r="F1211" s="23"/>
      <c r="G1211" s="23"/>
      <c r="H1211" s="23"/>
      <c r="I1211" s="40"/>
      <c r="J1211" s="70"/>
      <c r="K1211" s="23"/>
      <c r="L1211" s="70"/>
      <c r="M1211" s="70"/>
      <c r="N1211" s="23"/>
      <c r="O1211" s="23"/>
      <c r="P1211" s="23"/>
      <c r="Q1211" s="23"/>
      <c r="R1211" s="72"/>
      <c r="S1211" s="23"/>
      <c r="T1211" s="23"/>
      <c r="U1211" s="23"/>
      <c r="V1211" s="23"/>
      <c r="W1211" s="23"/>
      <c r="X1211" s="23"/>
      <c r="Y1211" s="23"/>
      <c r="Z1211" s="23"/>
      <c r="AA1211" s="23"/>
      <c r="AB1211" s="23"/>
      <c r="AC1211" s="23"/>
      <c r="AD1211" s="23"/>
      <c r="AE1211" s="23"/>
    </row>
    <row r="1212" spans="1:31">
      <c r="A1212" s="23"/>
      <c r="B1212" s="40"/>
      <c r="C1212" s="40"/>
      <c r="D1212" s="23"/>
      <c r="E1212" s="23"/>
      <c r="F1212" s="23"/>
      <c r="G1212" s="23"/>
      <c r="H1212" s="23"/>
      <c r="I1212" s="40"/>
      <c r="J1212" s="70"/>
      <c r="K1212" s="23"/>
      <c r="L1212" s="70"/>
      <c r="M1212" s="70"/>
      <c r="N1212" s="23"/>
      <c r="O1212" s="23"/>
      <c r="P1212" s="23"/>
      <c r="Q1212" s="23"/>
      <c r="R1212" s="72"/>
      <c r="S1212" s="23"/>
      <c r="T1212" s="23"/>
      <c r="U1212" s="23"/>
      <c r="V1212" s="23"/>
      <c r="W1212" s="23"/>
      <c r="X1212" s="23"/>
      <c r="Y1212" s="23"/>
      <c r="Z1212" s="23"/>
      <c r="AA1212" s="23"/>
      <c r="AB1212" s="23"/>
      <c r="AC1212" s="23"/>
      <c r="AD1212" s="23"/>
      <c r="AE1212" s="23"/>
    </row>
    <row r="1213" spans="1:31" ht="24" customHeight="1">
      <c r="A1213" s="23"/>
      <c r="B1213" s="40"/>
      <c r="C1213" s="40"/>
      <c r="D1213" s="23"/>
      <c r="E1213" s="23"/>
      <c r="F1213" s="23"/>
      <c r="G1213" s="23"/>
      <c r="H1213" s="40"/>
      <c r="I1213" s="40"/>
      <c r="J1213" s="70"/>
      <c r="K1213" s="23"/>
      <c r="L1213" s="70"/>
      <c r="M1213" s="70"/>
      <c r="N1213" s="23"/>
      <c r="O1213" s="23"/>
      <c r="P1213" s="23"/>
      <c r="Q1213" s="23"/>
      <c r="R1213" s="72"/>
      <c r="S1213" s="23"/>
      <c r="T1213" s="23"/>
      <c r="U1213" s="23"/>
      <c r="V1213" s="23"/>
      <c r="W1213" s="23"/>
      <c r="X1213" s="23"/>
      <c r="Y1213" s="23"/>
      <c r="Z1213" s="23"/>
      <c r="AA1213" s="23"/>
      <c r="AB1213" s="23"/>
      <c r="AC1213" s="23"/>
      <c r="AD1213" s="23"/>
      <c r="AE1213" s="23"/>
    </row>
    <row r="1214" spans="1:31">
      <c r="A1214" s="23"/>
      <c r="B1214" s="40"/>
      <c r="C1214" s="40"/>
      <c r="D1214" s="23"/>
      <c r="E1214" s="23"/>
      <c r="F1214" s="23"/>
      <c r="G1214" s="23"/>
      <c r="H1214" s="40"/>
      <c r="I1214" s="40"/>
      <c r="J1214" s="70"/>
      <c r="K1214" s="23"/>
      <c r="L1214" s="70"/>
      <c r="M1214" s="70"/>
      <c r="N1214" s="23"/>
      <c r="O1214" s="23"/>
      <c r="P1214" s="23"/>
      <c r="Q1214" s="23"/>
      <c r="R1214" s="72"/>
      <c r="S1214" s="23"/>
      <c r="T1214" s="23"/>
      <c r="U1214" s="23"/>
      <c r="V1214" s="23"/>
      <c r="W1214" s="23"/>
      <c r="X1214" s="23"/>
      <c r="Y1214" s="23"/>
      <c r="Z1214" s="23"/>
      <c r="AA1214" s="23"/>
      <c r="AB1214" s="23"/>
      <c r="AC1214" s="23"/>
      <c r="AD1214" s="23"/>
      <c r="AE1214" s="23"/>
    </row>
    <row r="1215" spans="1:31">
      <c r="A1215" s="23"/>
      <c r="B1215" s="40"/>
      <c r="C1215" s="40"/>
      <c r="D1215" s="23"/>
      <c r="E1215" s="23"/>
      <c r="F1215" s="23"/>
      <c r="G1215" s="23"/>
      <c r="H1215" s="40"/>
      <c r="I1215" s="40"/>
      <c r="J1215" s="70"/>
      <c r="K1215" s="23"/>
      <c r="L1215" s="70"/>
      <c r="M1215" s="70"/>
      <c r="N1215" s="23"/>
      <c r="O1215" s="23"/>
      <c r="P1215" s="23"/>
      <c r="Q1215" s="23"/>
      <c r="R1215" s="72"/>
      <c r="S1215" s="23"/>
      <c r="T1215" s="23"/>
      <c r="U1215" s="23"/>
      <c r="V1215" s="23"/>
      <c r="W1215" s="23"/>
      <c r="X1215" s="23"/>
      <c r="Y1215" s="23"/>
      <c r="Z1215" s="23"/>
      <c r="AA1215" s="23"/>
      <c r="AB1215" s="23"/>
      <c r="AC1215" s="23"/>
      <c r="AD1215" s="23"/>
      <c r="AE1215" s="23"/>
    </row>
    <row r="1216" spans="1:31">
      <c r="A1216" s="23"/>
      <c r="B1216" s="40"/>
      <c r="C1216" s="40"/>
      <c r="D1216" s="23"/>
      <c r="E1216" s="23"/>
      <c r="F1216" s="23"/>
      <c r="G1216" s="23"/>
      <c r="H1216" s="40"/>
      <c r="I1216" s="40"/>
      <c r="J1216" s="70"/>
      <c r="K1216" s="23"/>
      <c r="L1216" s="70"/>
      <c r="M1216" s="70"/>
      <c r="N1216" s="23"/>
      <c r="O1216" s="23"/>
      <c r="P1216" s="23"/>
      <c r="Q1216" s="23"/>
      <c r="R1216" s="72"/>
      <c r="S1216" s="23"/>
      <c r="T1216" s="23"/>
      <c r="U1216" s="23"/>
      <c r="V1216" s="23"/>
      <c r="W1216" s="23"/>
      <c r="X1216" s="23"/>
      <c r="Y1216" s="23"/>
      <c r="Z1216" s="23"/>
      <c r="AA1216" s="23"/>
      <c r="AB1216" s="23"/>
      <c r="AC1216" s="23"/>
      <c r="AD1216" s="23"/>
      <c r="AE1216" s="23"/>
    </row>
    <row r="1217" spans="1:31">
      <c r="A1217" s="23"/>
      <c r="B1217" s="40"/>
      <c r="C1217" s="40"/>
      <c r="D1217" s="23"/>
      <c r="E1217" s="23"/>
      <c r="F1217" s="23"/>
      <c r="G1217" s="23"/>
      <c r="H1217" s="40"/>
      <c r="I1217" s="40"/>
      <c r="J1217" s="70"/>
      <c r="K1217" s="23"/>
      <c r="L1217" s="70"/>
      <c r="M1217" s="70"/>
      <c r="N1217" s="23"/>
      <c r="O1217" s="23"/>
      <c r="P1217" s="23"/>
      <c r="Q1217" s="23"/>
      <c r="R1217" s="72"/>
      <c r="S1217" s="23"/>
      <c r="T1217" s="23"/>
      <c r="U1217" s="23"/>
      <c r="V1217" s="23"/>
      <c r="W1217" s="23"/>
      <c r="X1217" s="23"/>
      <c r="Y1217" s="23"/>
      <c r="Z1217" s="23"/>
      <c r="AA1217" s="23"/>
      <c r="AB1217" s="23"/>
      <c r="AC1217" s="23"/>
      <c r="AD1217" s="23"/>
      <c r="AE1217" s="23"/>
    </row>
    <row r="1218" spans="1:31">
      <c r="A1218" s="23"/>
      <c r="B1218" s="40"/>
      <c r="C1218" s="40"/>
      <c r="D1218" s="23"/>
      <c r="E1218" s="23"/>
      <c r="F1218" s="23"/>
      <c r="G1218" s="23"/>
      <c r="H1218" s="23"/>
      <c r="I1218" s="40"/>
      <c r="J1218" s="70"/>
      <c r="K1218" s="23"/>
      <c r="L1218" s="70"/>
      <c r="M1218" s="70"/>
      <c r="N1218" s="23"/>
      <c r="O1218" s="23"/>
      <c r="P1218" s="23"/>
      <c r="Q1218" s="23"/>
      <c r="R1218" s="72"/>
      <c r="S1218" s="23"/>
      <c r="T1218" s="23"/>
      <c r="U1218" s="23"/>
      <c r="V1218" s="23"/>
      <c r="W1218" s="23"/>
      <c r="X1218" s="23"/>
      <c r="Y1218" s="23"/>
      <c r="Z1218" s="23"/>
      <c r="AA1218" s="23"/>
      <c r="AB1218" s="23"/>
      <c r="AC1218" s="23"/>
      <c r="AD1218" s="23"/>
      <c r="AE1218" s="23"/>
    </row>
    <row r="1219" spans="1:31">
      <c r="A1219" s="23"/>
      <c r="B1219" s="40"/>
      <c r="C1219" s="40"/>
      <c r="D1219" s="23"/>
      <c r="E1219" s="23"/>
      <c r="F1219" s="23"/>
      <c r="G1219" s="23"/>
      <c r="H1219" s="23"/>
      <c r="I1219" s="40"/>
      <c r="J1219" s="70"/>
      <c r="K1219" s="23"/>
      <c r="L1219" s="70"/>
      <c r="M1219" s="70"/>
      <c r="N1219" s="23"/>
      <c r="O1219" s="23"/>
      <c r="P1219" s="23"/>
      <c r="Q1219" s="23"/>
      <c r="R1219" s="72"/>
      <c r="S1219" s="23"/>
      <c r="T1219" s="23"/>
      <c r="U1219" s="23"/>
      <c r="V1219" s="23"/>
      <c r="W1219" s="23"/>
      <c r="X1219" s="23"/>
      <c r="Y1219" s="23"/>
      <c r="Z1219" s="23"/>
      <c r="AA1219" s="23"/>
      <c r="AB1219" s="23"/>
      <c r="AC1219" s="23"/>
      <c r="AD1219" s="23"/>
      <c r="AE1219" s="23"/>
    </row>
    <row r="1220" spans="1:31">
      <c r="A1220" s="23"/>
      <c r="B1220" s="40"/>
      <c r="C1220" s="40"/>
      <c r="D1220" s="23"/>
      <c r="E1220" s="23"/>
      <c r="F1220" s="23"/>
      <c r="G1220" s="23"/>
      <c r="H1220" s="23"/>
      <c r="I1220" s="40"/>
      <c r="J1220" s="70"/>
      <c r="K1220" s="23"/>
      <c r="L1220" s="70"/>
      <c r="M1220" s="70"/>
      <c r="N1220" s="23"/>
      <c r="O1220" s="23"/>
      <c r="P1220" s="23"/>
      <c r="Q1220" s="23"/>
      <c r="R1220" s="72"/>
      <c r="S1220" s="23"/>
      <c r="T1220" s="23"/>
      <c r="U1220" s="23"/>
      <c r="V1220" s="23"/>
      <c r="W1220" s="23"/>
      <c r="X1220" s="23"/>
      <c r="Y1220" s="23"/>
      <c r="Z1220" s="23"/>
      <c r="AA1220" s="23"/>
      <c r="AB1220" s="23"/>
      <c r="AC1220" s="23"/>
      <c r="AD1220" s="23"/>
      <c r="AE1220" s="23"/>
    </row>
    <row r="1221" spans="1:31">
      <c r="A1221" s="23"/>
      <c r="B1221" s="40"/>
      <c r="C1221" s="40"/>
      <c r="D1221" s="23"/>
      <c r="E1221" s="23"/>
      <c r="F1221" s="23"/>
      <c r="G1221" s="23"/>
      <c r="H1221" s="23"/>
      <c r="I1221" s="40"/>
      <c r="J1221" s="70"/>
      <c r="K1221" s="23"/>
      <c r="L1221" s="70"/>
      <c r="M1221" s="70"/>
      <c r="N1221" s="23"/>
      <c r="O1221" s="23"/>
      <c r="P1221" s="23"/>
      <c r="Q1221" s="23"/>
      <c r="R1221" s="72"/>
      <c r="S1221" s="23"/>
      <c r="T1221" s="23"/>
      <c r="U1221" s="23"/>
      <c r="V1221" s="23"/>
      <c r="W1221" s="23"/>
      <c r="X1221" s="23"/>
      <c r="Y1221" s="23"/>
      <c r="Z1221" s="23"/>
      <c r="AA1221" s="23"/>
      <c r="AB1221" s="23"/>
      <c r="AC1221" s="23"/>
      <c r="AD1221" s="23"/>
      <c r="AE1221" s="23"/>
    </row>
    <row r="1222" spans="1:31" ht="24" customHeight="1">
      <c r="A1222" s="23"/>
      <c r="B1222" s="40"/>
      <c r="C1222" s="40"/>
      <c r="D1222" s="23"/>
      <c r="E1222" s="23"/>
      <c r="F1222" s="23"/>
      <c r="G1222" s="23"/>
      <c r="H1222" s="40"/>
      <c r="I1222" s="40"/>
      <c r="J1222" s="70"/>
      <c r="K1222" s="23"/>
      <c r="L1222" s="70"/>
      <c r="M1222" s="70"/>
      <c r="N1222" s="23"/>
      <c r="O1222" s="23"/>
      <c r="P1222" s="23"/>
      <c r="Q1222" s="23"/>
      <c r="R1222" s="72"/>
      <c r="S1222" s="23"/>
      <c r="T1222" s="23"/>
      <c r="U1222" s="23"/>
      <c r="V1222" s="23"/>
      <c r="W1222" s="23"/>
      <c r="X1222" s="23"/>
      <c r="Y1222" s="23"/>
      <c r="Z1222" s="23"/>
      <c r="AA1222" s="23"/>
      <c r="AB1222" s="23"/>
      <c r="AC1222" s="23"/>
      <c r="AD1222" s="23"/>
      <c r="AE1222" s="23"/>
    </row>
    <row r="1223" spans="1:31">
      <c r="A1223" s="23"/>
      <c r="B1223" s="40"/>
      <c r="C1223" s="40"/>
      <c r="D1223" s="23"/>
      <c r="E1223" s="23"/>
      <c r="F1223" s="23"/>
      <c r="G1223" s="23"/>
      <c r="H1223" s="40"/>
      <c r="I1223" s="40"/>
      <c r="J1223" s="70"/>
      <c r="K1223" s="23"/>
      <c r="L1223" s="70"/>
      <c r="M1223" s="70"/>
      <c r="N1223" s="23"/>
      <c r="O1223" s="23"/>
      <c r="P1223" s="23"/>
      <c r="Q1223" s="23"/>
      <c r="R1223" s="72"/>
      <c r="S1223" s="23"/>
      <c r="T1223" s="23"/>
      <c r="U1223" s="23"/>
      <c r="V1223" s="23"/>
      <c r="W1223" s="23"/>
      <c r="X1223" s="23"/>
      <c r="Y1223" s="23"/>
      <c r="Z1223" s="23"/>
      <c r="AA1223" s="23"/>
      <c r="AB1223" s="23"/>
      <c r="AC1223" s="23"/>
      <c r="AD1223" s="23"/>
      <c r="AE1223" s="23"/>
    </row>
    <row r="1224" spans="1:31">
      <c r="A1224" s="23"/>
      <c r="B1224" s="40"/>
      <c r="C1224" s="40"/>
      <c r="D1224" s="23"/>
      <c r="E1224" s="23"/>
      <c r="F1224" s="23"/>
      <c r="G1224" s="23"/>
      <c r="H1224" s="40"/>
      <c r="I1224" s="40"/>
      <c r="J1224" s="70"/>
      <c r="K1224" s="23"/>
      <c r="L1224" s="70"/>
      <c r="M1224" s="70"/>
      <c r="N1224" s="23"/>
      <c r="O1224" s="23"/>
      <c r="P1224" s="23"/>
      <c r="Q1224" s="23"/>
      <c r="R1224" s="72"/>
      <c r="S1224" s="23"/>
      <c r="T1224" s="23"/>
      <c r="U1224" s="23"/>
      <c r="V1224" s="23"/>
      <c r="W1224" s="23"/>
      <c r="X1224" s="23"/>
      <c r="Y1224" s="23"/>
      <c r="Z1224" s="23"/>
      <c r="AA1224" s="23"/>
      <c r="AB1224" s="23"/>
      <c r="AC1224" s="23"/>
      <c r="AD1224" s="23"/>
      <c r="AE1224" s="23"/>
    </row>
    <row r="1225" spans="1:31">
      <c r="A1225" s="23"/>
      <c r="B1225" s="40"/>
      <c r="C1225" s="40"/>
      <c r="D1225" s="23"/>
      <c r="E1225" s="23"/>
      <c r="F1225" s="23"/>
      <c r="G1225" s="23"/>
      <c r="H1225" s="40"/>
      <c r="I1225" s="40"/>
      <c r="J1225" s="70"/>
      <c r="K1225" s="23"/>
      <c r="L1225" s="70"/>
      <c r="M1225" s="70"/>
      <c r="N1225" s="23"/>
      <c r="O1225" s="70"/>
      <c r="P1225" s="23"/>
      <c r="Q1225" s="23"/>
      <c r="R1225" s="72"/>
      <c r="S1225" s="23"/>
      <c r="T1225" s="23"/>
      <c r="U1225" s="23"/>
      <c r="V1225" s="23"/>
      <c r="W1225" s="23"/>
      <c r="X1225" s="23"/>
      <c r="Y1225" s="23"/>
      <c r="Z1225" s="23"/>
      <c r="AA1225" s="23"/>
      <c r="AB1225" s="23"/>
      <c r="AC1225" s="23"/>
      <c r="AD1225" s="23"/>
      <c r="AE1225" s="23"/>
    </row>
    <row r="1226" spans="1:31">
      <c r="A1226" s="23"/>
      <c r="B1226" s="40"/>
      <c r="C1226" s="40"/>
      <c r="D1226" s="23"/>
      <c r="E1226" s="23"/>
      <c r="F1226" s="23"/>
      <c r="G1226" s="23"/>
      <c r="H1226" s="40"/>
      <c r="I1226" s="40"/>
      <c r="J1226" s="70"/>
      <c r="K1226" s="23"/>
      <c r="L1226" s="70"/>
      <c r="M1226" s="70"/>
      <c r="N1226" s="23"/>
      <c r="O1226" s="70"/>
      <c r="P1226" s="23"/>
      <c r="Q1226" s="23"/>
      <c r="R1226" s="72"/>
      <c r="S1226" s="23"/>
      <c r="T1226" s="23"/>
      <c r="U1226" s="23"/>
      <c r="V1226" s="23"/>
      <c r="W1226" s="23"/>
      <c r="X1226" s="23"/>
      <c r="Y1226" s="23"/>
      <c r="Z1226" s="23"/>
      <c r="AA1226" s="23"/>
      <c r="AB1226" s="23"/>
      <c r="AC1226" s="23"/>
      <c r="AD1226" s="23"/>
      <c r="AE1226" s="23"/>
    </row>
    <row r="1227" spans="1:31">
      <c r="A1227" s="23"/>
      <c r="B1227" s="40"/>
      <c r="C1227" s="40"/>
      <c r="D1227" s="23"/>
      <c r="E1227" s="23"/>
      <c r="F1227" s="23"/>
      <c r="G1227" s="23"/>
      <c r="H1227" s="40"/>
      <c r="I1227" s="40"/>
      <c r="J1227" s="70"/>
      <c r="K1227" s="23"/>
      <c r="L1227" s="70"/>
      <c r="M1227" s="70"/>
      <c r="N1227" s="23"/>
      <c r="O1227" s="70"/>
      <c r="P1227" s="23"/>
      <c r="Q1227" s="23"/>
      <c r="R1227" s="72"/>
      <c r="S1227" s="23"/>
      <c r="T1227" s="23"/>
      <c r="U1227" s="23"/>
      <c r="V1227" s="23"/>
      <c r="W1227" s="23"/>
      <c r="X1227" s="23"/>
      <c r="Y1227" s="23"/>
      <c r="Z1227" s="23"/>
      <c r="AA1227" s="23"/>
      <c r="AB1227" s="23"/>
      <c r="AC1227" s="23"/>
      <c r="AD1227" s="23"/>
      <c r="AE1227" s="23"/>
    </row>
    <row r="1228" spans="1:31">
      <c r="A1228" s="23"/>
      <c r="B1228" s="40"/>
      <c r="C1228" s="40"/>
      <c r="D1228" s="23"/>
      <c r="E1228" s="23"/>
      <c r="F1228" s="23"/>
      <c r="G1228" s="23"/>
      <c r="H1228" s="23"/>
      <c r="I1228" s="40"/>
      <c r="J1228" s="70"/>
      <c r="K1228" s="23"/>
      <c r="L1228" s="70"/>
      <c r="M1228" s="70"/>
      <c r="N1228" s="23"/>
      <c r="O1228" s="70"/>
      <c r="P1228" s="23"/>
      <c r="Q1228" s="23"/>
      <c r="R1228" s="72"/>
      <c r="S1228" s="23"/>
      <c r="T1228" s="23"/>
      <c r="U1228" s="23"/>
      <c r="V1228" s="23"/>
      <c r="W1228" s="23"/>
      <c r="X1228" s="23"/>
      <c r="Y1228" s="23"/>
      <c r="Z1228" s="23"/>
      <c r="AA1228" s="23"/>
      <c r="AB1228" s="23"/>
      <c r="AC1228" s="23"/>
      <c r="AD1228" s="23"/>
      <c r="AE1228" s="23"/>
    </row>
    <row r="1229" spans="1:31">
      <c r="A1229" s="23"/>
      <c r="B1229" s="40"/>
      <c r="C1229" s="40"/>
      <c r="D1229" s="23"/>
      <c r="E1229" s="23"/>
      <c r="F1229" s="23"/>
      <c r="G1229" s="23"/>
      <c r="H1229" s="23"/>
      <c r="I1229" s="40"/>
      <c r="J1229" s="70"/>
      <c r="K1229" s="23"/>
      <c r="L1229" s="70"/>
      <c r="M1229" s="70"/>
      <c r="N1229" s="23"/>
      <c r="O1229" s="70"/>
      <c r="P1229" s="23"/>
      <c r="Q1229" s="23"/>
      <c r="R1229" s="72"/>
      <c r="S1229" s="23"/>
      <c r="T1229" s="23"/>
      <c r="U1229" s="23"/>
      <c r="V1229" s="23"/>
      <c r="W1229" s="23"/>
      <c r="X1229" s="23"/>
      <c r="Y1229" s="23"/>
      <c r="Z1229" s="23"/>
      <c r="AA1229" s="23"/>
      <c r="AB1229" s="23"/>
      <c r="AC1229" s="23"/>
      <c r="AD1229" s="23"/>
      <c r="AE1229" s="23"/>
    </row>
    <row r="1230" spans="1:31" ht="24" customHeight="1">
      <c r="A1230" s="23"/>
      <c r="B1230" s="40"/>
      <c r="C1230" s="40"/>
      <c r="D1230" s="23"/>
      <c r="E1230" s="23"/>
      <c r="F1230" s="23"/>
      <c r="G1230" s="23"/>
      <c r="H1230" s="40"/>
      <c r="I1230" s="40"/>
      <c r="J1230" s="70"/>
      <c r="K1230" s="23"/>
      <c r="L1230" s="70"/>
      <c r="M1230" s="70"/>
      <c r="N1230" s="23"/>
      <c r="O1230" s="70"/>
      <c r="P1230" s="23"/>
      <c r="Q1230" s="23"/>
      <c r="R1230" s="72"/>
      <c r="S1230" s="23"/>
      <c r="T1230" s="23"/>
      <c r="U1230" s="23"/>
      <c r="V1230" s="23"/>
      <c r="W1230" s="23"/>
      <c r="X1230" s="23"/>
      <c r="Y1230" s="23"/>
      <c r="Z1230" s="23"/>
      <c r="AA1230" s="23"/>
      <c r="AB1230" s="23"/>
      <c r="AC1230" s="23"/>
      <c r="AD1230" s="23"/>
      <c r="AE1230" s="23"/>
    </row>
    <row r="1231" spans="1:31">
      <c r="A1231" s="23"/>
      <c r="B1231" s="40"/>
      <c r="C1231" s="40"/>
      <c r="D1231" s="23"/>
      <c r="E1231" s="23"/>
      <c r="F1231" s="23"/>
      <c r="G1231" s="23"/>
      <c r="H1231" s="40"/>
      <c r="I1231" s="40"/>
      <c r="J1231" s="70"/>
      <c r="K1231" s="23"/>
      <c r="L1231" s="70"/>
      <c r="M1231" s="70"/>
      <c r="N1231" s="23"/>
      <c r="O1231" s="70"/>
      <c r="P1231" s="23"/>
      <c r="Q1231" s="23"/>
      <c r="R1231" s="72"/>
      <c r="S1231" s="23"/>
      <c r="T1231" s="23"/>
      <c r="U1231" s="23"/>
      <c r="V1231" s="23"/>
      <c r="W1231" s="23"/>
      <c r="X1231" s="23"/>
      <c r="Y1231" s="23"/>
      <c r="Z1231" s="23"/>
      <c r="AA1231" s="23"/>
      <c r="AB1231" s="23"/>
      <c r="AC1231" s="23"/>
      <c r="AD1231" s="23"/>
      <c r="AE1231" s="23"/>
    </row>
    <row r="1232" spans="1:31">
      <c r="A1232" s="23"/>
      <c r="B1232" s="40"/>
      <c r="C1232" s="40"/>
      <c r="D1232" s="23"/>
      <c r="E1232" s="23"/>
      <c r="F1232" s="23"/>
      <c r="G1232" s="23"/>
      <c r="H1232" s="40"/>
      <c r="I1232" s="40"/>
      <c r="J1232" s="70"/>
      <c r="K1232" s="23"/>
      <c r="L1232" s="70"/>
      <c r="M1232" s="70"/>
      <c r="N1232" s="23"/>
      <c r="O1232" s="70"/>
      <c r="P1232" s="23"/>
      <c r="Q1232" s="23"/>
      <c r="R1232" s="72"/>
      <c r="S1232" s="23"/>
      <c r="T1232" s="23"/>
      <c r="U1232" s="23"/>
      <c r="V1232" s="23"/>
      <c r="W1232" s="23"/>
      <c r="X1232" s="23"/>
      <c r="Y1232" s="23"/>
      <c r="Z1232" s="23"/>
      <c r="AA1232" s="23"/>
      <c r="AB1232" s="23"/>
      <c r="AC1232" s="23"/>
      <c r="AD1232" s="23"/>
      <c r="AE1232" s="23"/>
    </row>
    <row r="1233" spans="1:31">
      <c r="A1233" s="23"/>
      <c r="B1233" s="40"/>
      <c r="C1233" s="40"/>
      <c r="D1233" s="23"/>
      <c r="E1233" s="23"/>
      <c r="F1233" s="23"/>
      <c r="G1233" s="23"/>
      <c r="H1233" s="40"/>
      <c r="I1233" s="40"/>
      <c r="J1233" s="70"/>
      <c r="K1233" s="23"/>
      <c r="L1233" s="70"/>
      <c r="M1233" s="70"/>
      <c r="N1233" s="23"/>
      <c r="O1233" s="70"/>
      <c r="P1233" s="23"/>
      <c r="Q1233" s="23"/>
      <c r="R1233" s="72"/>
      <c r="S1233" s="23"/>
      <c r="T1233" s="23"/>
      <c r="U1233" s="23"/>
      <c r="V1233" s="23"/>
      <c r="W1233" s="23"/>
      <c r="X1233" s="23"/>
      <c r="Y1233" s="23"/>
      <c r="Z1233" s="23"/>
      <c r="AA1233" s="23"/>
      <c r="AB1233" s="23"/>
      <c r="AC1233" s="23"/>
      <c r="AD1233" s="23"/>
      <c r="AE1233" s="23"/>
    </row>
    <row r="1234" spans="1:31">
      <c r="A1234" s="23"/>
      <c r="B1234" s="40"/>
      <c r="C1234" s="40"/>
      <c r="D1234" s="23"/>
      <c r="E1234" s="23"/>
      <c r="F1234" s="23"/>
      <c r="G1234" s="23"/>
      <c r="H1234" s="40"/>
      <c r="I1234" s="40"/>
      <c r="J1234" s="70"/>
      <c r="K1234" s="23"/>
      <c r="L1234" s="70"/>
      <c r="M1234" s="70"/>
      <c r="N1234" s="23"/>
      <c r="O1234" s="70"/>
      <c r="P1234" s="23"/>
      <c r="Q1234" s="23"/>
      <c r="R1234" s="72"/>
      <c r="S1234" s="23"/>
      <c r="T1234" s="23"/>
      <c r="U1234" s="23"/>
      <c r="V1234" s="23"/>
      <c r="W1234" s="23"/>
      <c r="X1234" s="23"/>
      <c r="Y1234" s="23"/>
      <c r="Z1234" s="23"/>
      <c r="AA1234" s="23"/>
      <c r="AB1234" s="23"/>
      <c r="AC1234" s="23"/>
      <c r="AD1234" s="23"/>
      <c r="AE1234" s="23"/>
    </row>
    <row r="1235" spans="1:31">
      <c r="A1235" s="23"/>
      <c r="B1235" s="40"/>
      <c r="C1235" s="40"/>
      <c r="D1235" s="23"/>
      <c r="E1235" s="23"/>
      <c r="F1235" s="23"/>
      <c r="G1235" s="40"/>
      <c r="H1235" s="40"/>
      <c r="I1235" s="40"/>
      <c r="J1235" s="70"/>
      <c r="K1235" s="40"/>
      <c r="L1235" s="70"/>
      <c r="M1235" s="70"/>
      <c r="N1235" s="40"/>
      <c r="O1235" s="40"/>
      <c r="P1235" s="40"/>
      <c r="Q1235" s="40"/>
      <c r="R1235" s="72"/>
      <c r="S1235" s="40"/>
      <c r="T1235" s="40"/>
      <c r="U1235" s="40"/>
      <c r="V1235" s="40"/>
      <c r="W1235" s="40"/>
      <c r="X1235" s="40"/>
      <c r="Y1235" s="40"/>
      <c r="Z1235" s="40"/>
      <c r="AA1235" s="40"/>
      <c r="AB1235" s="40"/>
      <c r="AC1235" s="40"/>
      <c r="AD1235" s="40"/>
      <c r="AE1235" s="23"/>
    </row>
    <row r="1236" spans="1:31">
      <c r="A1236" s="23"/>
      <c r="B1236" s="40"/>
      <c r="C1236" s="40"/>
      <c r="D1236" s="23"/>
      <c r="E1236" s="23"/>
      <c r="F1236" s="23"/>
      <c r="G1236" s="40"/>
      <c r="H1236" s="40"/>
      <c r="I1236" s="40"/>
      <c r="J1236" s="70"/>
      <c r="K1236" s="40"/>
      <c r="L1236" s="70"/>
      <c r="M1236" s="70"/>
      <c r="N1236" s="40"/>
      <c r="O1236" s="40"/>
      <c r="P1236" s="40"/>
      <c r="Q1236" s="40"/>
      <c r="R1236" s="72"/>
      <c r="S1236" s="40"/>
      <c r="T1236" s="40"/>
      <c r="U1236" s="40"/>
      <c r="V1236" s="40"/>
      <c r="W1236" s="40"/>
      <c r="X1236" s="40"/>
      <c r="Y1236" s="40"/>
      <c r="Z1236" s="40"/>
      <c r="AA1236" s="40"/>
      <c r="AB1236" s="40"/>
      <c r="AC1236" s="40"/>
      <c r="AD1236" s="40"/>
      <c r="AE1236" s="23"/>
    </row>
    <row r="1237" spans="1:31">
      <c r="A1237" s="23"/>
      <c r="B1237" s="40"/>
      <c r="C1237" s="40"/>
      <c r="D1237" s="23"/>
      <c r="E1237" s="23"/>
      <c r="F1237" s="23"/>
      <c r="G1237" s="40"/>
      <c r="H1237" s="40"/>
      <c r="I1237" s="40"/>
      <c r="J1237" s="70"/>
      <c r="K1237" s="40"/>
      <c r="L1237" s="70"/>
      <c r="M1237" s="70"/>
      <c r="N1237" s="40"/>
      <c r="O1237" s="40"/>
      <c r="P1237" s="40"/>
      <c r="Q1237" s="40"/>
      <c r="R1237" s="72"/>
      <c r="S1237" s="40"/>
      <c r="T1237" s="40"/>
      <c r="U1237" s="40"/>
      <c r="V1237" s="40"/>
      <c r="W1237" s="40"/>
      <c r="X1237" s="40"/>
      <c r="Y1237" s="40"/>
      <c r="Z1237" s="40"/>
      <c r="AA1237" s="40"/>
      <c r="AB1237" s="40"/>
      <c r="AC1237" s="40"/>
      <c r="AD1237" s="40"/>
      <c r="AE1237" s="23"/>
    </row>
    <row r="1238" spans="1:31">
      <c r="A1238" s="23"/>
      <c r="B1238" s="40"/>
      <c r="C1238" s="40"/>
      <c r="D1238" s="23"/>
      <c r="E1238" s="23"/>
      <c r="F1238" s="23"/>
      <c r="G1238" s="40"/>
      <c r="H1238" s="40"/>
      <c r="I1238" s="40"/>
      <c r="J1238" s="70"/>
      <c r="K1238" s="40"/>
      <c r="L1238" s="70"/>
      <c r="M1238" s="70"/>
      <c r="N1238" s="40"/>
      <c r="O1238" s="40"/>
      <c r="P1238" s="40"/>
      <c r="Q1238" s="40"/>
      <c r="R1238" s="72"/>
      <c r="S1238" s="40"/>
      <c r="T1238" s="40"/>
      <c r="U1238" s="40"/>
      <c r="V1238" s="40"/>
      <c r="W1238" s="40"/>
      <c r="X1238" s="40"/>
      <c r="Y1238" s="40"/>
      <c r="Z1238" s="40"/>
      <c r="AA1238" s="40"/>
      <c r="AB1238" s="40"/>
      <c r="AC1238" s="40"/>
      <c r="AD1238" s="40"/>
      <c r="AE1238" s="23"/>
    </row>
    <row r="1239" spans="1:31">
      <c r="A1239" s="23"/>
      <c r="B1239" s="40"/>
      <c r="C1239" s="40"/>
      <c r="D1239" s="23"/>
      <c r="E1239" s="23"/>
      <c r="F1239" s="23"/>
      <c r="G1239" s="40"/>
      <c r="H1239" s="40"/>
      <c r="I1239" s="40"/>
      <c r="J1239" s="70"/>
      <c r="K1239" s="40"/>
      <c r="L1239" s="70"/>
      <c r="M1239" s="70"/>
      <c r="N1239" s="40"/>
      <c r="O1239" s="40"/>
      <c r="P1239" s="40"/>
      <c r="Q1239" s="40"/>
      <c r="R1239" s="72"/>
      <c r="S1239" s="40"/>
      <c r="T1239" s="40"/>
      <c r="U1239" s="40"/>
      <c r="V1239" s="40"/>
      <c r="W1239" s="40"/>
      <c r="X1239" s="40"/>
      <c r="Y1239" s="40"/>
      <c r="Z1239" s="40"/>
      <c r="AA1239" s="40"/>
      <c r="AB1239" s="40"/>
      <c r="AC1239" s="40"/>
      <c r="AD1239" s="40"/>
      <c r="AE1239" s="23"/>
    </row>
    <row r="1240" spans="1:31" ht="24" customHeight="1">
      <c r="A1240" s="23"/>
      <c r="B1240" s="40"/>
      <c r="C1240" s="40"/>
      <c r="D1240" s="23"/>
      <c r="E1240" s="23"/>
      <c r="F1240" s="23"/>
      <c r="G1240" s="40"/>
      <c r="H1240" s="40"/>
      <c r="I1240" s="40"/>
      <c r="J1240" s="70"/>
      <c r="K1240" s="40"/>
      <c r="L1240" s="70"/>
      <c r="M1240" s="70"/>
      <c r="N1240" s="40"/>
      <c r="O1240" s="40"/>
      <c r="P1240" s="40"/>
      <c r="Q1240" s="40"/>
      <c r="R1240" s="72"/>
      <c r="S1240" s="40"/>
      <c r="T1240" s="40"/>
      <c r="U1240" s="40"/>
      <c r="V1240" s="40"/>
      <c r="W1240" s="40"/>
      <c r="X1240" s="40"/>
      <c r="Y1240" s="40"/>
      <c r="Z1240" s="40"/>
      <c r="AA1240" s="40"/>
      <c r="AB1240" s="40"/>
      <c r="AC1240" s="40"/>
      <c r="AD1240" s="40"/>
      <c r="AE1240" s="23"/>
    </row>
    <row r="1241" spans="1:31">
      <c r="A1241" s="23"/>
      <c r="B1241" s="40"/>
      <c r="C1241" s="40"/>
      <c r="D1241" s="23"/>
      <c r="E1241" s="23"/>
      <c r="F1241" s="23"/>
      <c r="G1241" s="40"/>
      <c r="H1241" s="40"/>
      <c r="I1241" s="40"/>
      <c r="J1241" s="70"/>
      <c r="K1241" s="40"/>
      <c r="L1241" s="70"/>
      <c r="M1241" s="70"/>
      <c r="N1241" s="40"/>
      <c r="O1241" s="40"/>
      <c r="P1241" s="40"/>
      <c r="Q1241" s="40"/>
      <c r="R1241" s="72"/>
      <c r="S1241" s="40"/>
      <c r="T1241" s="40"/>
      <c r="U1241" s="40"/>
      <c r="V1241" s="40"/>
      <c r="W1241" s="40"/>
      <c r="X1241" s="40"/>
      <c r="Y1241" s="40"/>
      <c r="Z1241" s="40"/>
      <c r="AA1241" s="40"/>
      <c r="AB1241" s="40"/>
      <c r="AC1241" s="40"/>
      <c r="AD1241" s="40"/>
      <c r="AE1241" s="23"/>
    </row>
    <row r="1242" spans="1:31">
      <c r="A1242" s="23"/>
      <c r="B1242" s="40"/>
      <c r="C1242" s="40"/>
      <c r="D1242" s="23"/>
      <c r="E1242" s="23"/>
      <c r="F1242" s="23"/>
      <c r="G1242" s="40"/>
      <c r="H1242" s="40"/>
      <c r="I1242" s="40"/>
      <c r="J1242" s="70"/>
      <c r="K1242" s="40"/>
      <c r="L1242" s="70"/>
      <c r="M1242" s="70"/>
      <c r="N1242" s="40"/>
      <c r="O1242" s="40"/>
      <c r="P1242" s="40"/>
      <c r="Q1242" s="40"/>
      <c r="R1242" s="72"/>
      <c r="S1242" s="40"/>
      <c r="T1242" s="40"/>
      <c r="U1242" s="40"/>
      <c r="V1242" s="40"/>
      <c r="W1242" s="40"/>
      <c r="X1242" s="40"/>
      <c r="Y1242" s="40"/>
      <c r="Z1242" s="40"/>
      <c r="AA1242" s="40"/>
      <c r="AB1242" s="40"/>
      <c r="AC1242" s="40"/>
      <c r="AD1242" s="40"/>
      <c r="AE1242" s="23"/>
    </row>
    <row r="1243" spans="1:31">
      <c r="A1243" s="23"/>
      <c r="B1243" s="40"/>
      <c r="C1243" s="40"/>
      <c r="D1243" s="23"/>
      <c r="E1243" s="23"/>
      <c r="F1243" s="23"/>
      <c r="G1243" s="40"/>
      <c r="H1243" s="40"/>
      <c r="I1243" s="40"/>
      <c r="J1243" s="70"/>
      <c r="K1243" s="40"/>
      <c r="L1243" s="70"/>
      <c r="M1243" s="70"/>
      <c r="N1243" s="40"/>
      <c r="O1243" s="40"/>
      <c r="P1243" s="40"/>
      <c r="Q1243" s="40"/>
      <c r="R1243" s="72"/>
      <c r="S1243" s="40"/>
      <c r="T1243" s="40"/>
      <c r="U1243" s="40"/>
      <c r="V1243" s="40"/>
      <c r="W1243" s="40"/>
      <c r="X1243" s="40"/>
      <c r="Y1243" s="40"/>
      <c r="Z1243" s="40"/>
      <c r="AA1243" s="40"/>
      <c r="AB1243" s="40"/>
      <c r="AC1243" s="40"/>
      <c r="AD1243" s="40"/>
      <c r="AE1243" s="23"/>
    </row>
    <row r="1244" spans="1:31">
      <c r="A1244" s="23"/>
      <c r="B1244" s="40"/>
      <c r="C1244" s="40"/>
      <c r="D1244" s="23"/>
      <c r="E1244" s="23"/>
      <c r="F1244" s="23"/>
      <c r="G1244" s="40"/>
      <c r="H1244" s="40"/>
      <c r="I1244" s="40"/>
      <c r="J1244" s="70"/>
      <c r="K1244" s="40"/>
      <c r="L1244" s="70"/>
      <c r="M1244" s="70"/>
      <c r="N1244" s="40"/>
      <c r="O1244" s="40"/>
      <c r="P1244" s="40"/>
      <c r="Q1244" s="40"/>
      <c r="R1244" s="72"/>
      <c r="S1244" s="40"/>
      <c r="T1244" s="40"/>
      <c r="U1244" s="40"/>
      <c r="V1244" s="40"/>
      <c r="W1244" s="40"/>
      <c r="X1244" s="40"/>
      <c r="Y1244" s="40"/>
      <c r="Z1244" s="40"/>
      <c r="AA1244" s="40"/>
      <c r="AB1244" s="40"/>
      <c r="AC1244" s="40"/>
      <c r="AD1244" s="40"/>
      <c r="AE1244" s="23"/>
    </row>
    <row r="1245" spans="1:31">
      <c r="A1245" s="23"/>
      <c r="B1245" s="40"/>
      <c r="C1245" s="40"/>
      <c r="D1245" s="23"/>
      <c r="E1245" s="23"/>
      <c r="F1245" s="23"/>
      <c r="G1245" s="40"/>
      <c r="H1245" s="40"/>
      <c r="I1245" s="40"/>
      <c r="J1245" s="70"/>
      <c r="K1245" s="40"/>
      <c r="L1245" s="70"/>
      <c r="M1245" s="70"/>
      <c r="N1245" s="40"/>
      <c r="O1245" s="40"/>
      <c r="P1245" s="40"/>
      <c r="Q1245" s="40"/>
      <c r="R1245" s="72"/>
      <c r="S1245" s="40"/>
      <c r="T1245" s="40"/>
      <c r="U1245" s="40"/>
      <c r="V1245" s="40"/>
      <c r="W1245" s="40"/>
      <c r="X1245" s="40"/>
      <c r="Y1245" s="40"/>
      <c r="Z1245" s="40"/>
      <c r="AA1245" s="40"/>
      <c r="AB1245" s="40"/>
      <c r="AC1245" s="40"/>
      <c r="AD1245" s="40"/>
      <c r="AE1245" s="23"/>
    </row>
    <row r="1246" spans="1:31">
      <c r="A1246" s="23"/>
      <c r="B1246" s="40"/>
      <c r="C1246" s="40"/>
      <c r="D1246" s="23"/>
      <c r="E1246" s="23"/>
      <c r="F1246" s="23"/>
      <c r="G1246" s="40"/>
      <c r="H1246" s="40"/>
      <c r="I1246" s="40"/>
      <c r="J1246" s="70"/>
      <c r="K1246" s="40"/>
      <c r="L1246" s="70"/>
      <c r="M1246" s="70"/>
      <c r="N1246" s="40"/>
      <c r="O1246" s="40"/>
      <c r="P1246" s="40"/>
      <c r="Q1246" s="40"/>
      <c r="R1246" s="72"/>
      <c r="S1246" s="40"/>
      <c r="T1246" s="40"/>
      <c r="U1246" s="40"/>
      <c r="V1246" s="40"/>
      <c r="W1246" s="40"/>
      <c r="X1246" s="40"/>
      <c r="Y1246" s="40"/>
      <c r="Z1246" s="40"/>
      <c r="AA1246" s="40"/>
      <c r="AB1246" s="40"/>
      <c r="AC1246" s="40"/>
      <c r="AD1246" s="40"/>
      <c r="AE1246" s="23"/>
    </row>
    <row r="1247" spans="1:31">
      <c r="A1247" s="23"/>
      <c r="B1247" s="40"/>
      <c r="C1247" s="40"/>
      <c r="D1247" s="23"/>
      <c r="E1247" s="23"/>
      <c r="F1247" s="23"/>
      <c r="G1247" s="40"/>
      <c r="H1247" s="40"/>
      <c r="I1247" s="40"/>
      <c r="J1247" s="70"/>
      <c r="K1247" s="40"/>
      <c r="L1247" s="70"/>
      <c r="M1247" s="70"/>
      <c r="N1247" s="40"/>
      <c r="O1247" s="40"/>
      <c r="P1247" s="40"/>
      <c r="Q1247" s="40"/>
      <c r="R1247" s="72"/>
      <c r="S1247" s="40"/>
      <c r="T1247" s="40"/>
      <c r="U1247" s="40"/>
      <c r="V1247" s="40"/>
      <c r="W1247" s="40"/>
      <c r="X1247" s="40"/>
      <c r="Y1247" s="40"/>
      <c r="Z1247" s="40"/>
      <c r="AA1247" s="40"/>
      <c r="AB1247" s="40"/>
      <c r="AC1247" s="40"/>
      <c r="AD1247" s="40"/>
      <c r="AE1247" s="23"/>
    </row>
    <row r="1248" spans="1:31">
      <c r="A1248" s="23"/>
      <c r="B1248" s="40"/>
      <c r="C1248" s="40"/>
      <c r="D1248" s="23"/>
      <c r="E1248" s="23"/>
      <c r="F1248" s="23"/>
      <c r="G1248" s="40"/>
      <c r="H1248" s="40"/>
      <c r="I1248" s="40"/>
      <c r="J1248" s="70"/>
      <c r="K1248" s="40"/>
      <c r="L1248" s="70"/>
      <c r="M1248" s="70"/>
      <c r="N1248" s="40"/>
      <c r="O1248" s="40"/>
      <c r="P1248" s="40"/>
      <c r="Q1248" s="40"/>
      <c r="R1248" s="72"/>
      <c r="S1248" s="40"/>
      <c r="T1248" s="40"/>
      <c r="U1248" s="40"/>
      <c r="V1248" s="40"/>
      <c r="W1248" s="40"/>
      <c r="X1248" s="40"/>
      <c r="Y1248" s="40"/>
      <c r="Z1248" s="40"/>
      <c r="AA1248" s="40"/>
      <c r="AB1248" s="40"/>
      <c r="AC1248" s="40"/>
      <c r="AD1248" s="40"/>
      <c r="AE1248" s="23"/>
    </row>
    <row r="1249" spans="1:31">
      <c r="A1249" s="23"/>
      <c r="B1249" s="40"/>
      <c r="C1249" s="40"/>
      <c r="D1249" s="23"/>
      <c r="E1249" s="23"/>
      <c r="F1249" s="23"/>
      <c r="G1249" s="40"/>
      <c r="H1249" s="40"/>
      <c r="I1249" s="40"/>
      <c r="J1249" s="70"/>
      <c r="K1249" s="40"/>
      <c r="L1249" s="70"/>
      <c r="M1249" s="70"/>
      <c r="N1249" s="40"/>
      <c r="O1249" s="40"/>
      <c r="P1249" s="40"/>
      <c r="Q1249" s="40"/>
      <c r="R1249" s="72"/>
      <c r="S1249" s="40"/>
      <c r="T1249" s="40"/>
      <c r="U1249" s="40"/>
      <c r="V1249" s="40"/>
      <c r="W1249" s="40"/>
      <c r="X1249" s="40"/>
      <c r="Y1249" s="40"/>
      <c r="Z1249" s="40"/>
      <c r="AA1249" s="40"/>
      <c r="AB1249" s="40"/>
      <c r="AC1249" s="40"/>
      <c r="AD1249" s="40"/>
      <c r="AE1249" s="23"/>
    </row>
    <row r="1250" spans="1:31">
      <c r="A1250" s="23"/>
      <c r="B1250" s="40"/>
      <c r="C1250" s="40"/>
      <c r="D1250" s="23"/>
      <c r="E1250" s="23"/>
      <c r="F1250" s="23"/>
      <c r="G1250" s="40"/>
      <c r="H1250" s="40"/>
      <c r="I1250" s="40"/>
      <c r="J1250" s="70"/>
      <c r="K1250" s="40"/>
      <c r="L1250" s="70"/>
      <c r="M1250" s="70"/>
      <c r="N1250" s="40"/>
      <c r="O1250" s="40"/>
      <c r="P1250" s="40"/>
      <c r="Q1250" s="40"/>
      <c r="R1250" s="72"/>
      <c r="S1250" s="40"/>
      <c r="T1250" s="40"/>
      <c r="U1250" s="40"/>
      <c r="V1250" s="40"/>
      <c r="W1250" s="40"/>
      <c r="X1250" s="40"/>
      <c r="Y1250" s="40"/>
      <c r="Z1250" s="40"/>
      <c r="AA1250" s="40"/>
      <c r="AB1250" s="40"/>
      <c r="AC1250" s="40"/>
      <c r="AD1250" s="40"/>
      <c r="AE1250" s="23"/>
    </row>
    <row r="1251" spans="1:31" ht="24" customHeight="1">
      <c r="A1251" s="23"/>
      <c r="B1251" s="40"/>
      <c r="C1251" s="40"/>
      <c r="D1251" s="23"/>
      <c r="E1251" s="23"/>
      <c r="F1251" s="23"/>
      <c r="G1251" s="40"/>
      <c r="H1251" s="40"/>
      <c r="I1251" s="40"/>
      <c r="J1251" s="70"/>
      <c r="K1251" s="40"/>
      <c r="L1251" s="70"/>
      <c r="M1251" s="70"/>
      <c r="N1251" s="40"/>
      <c r="O1251" s="40"/>
      <c r="P1251" s="40"/>
      <c r="Q1251" s="40"/>
      <c r="R1251" s="72"/>
      <c r="S1251" s="40"/>
      <c r="T1251" s="40"/>
      <c r="U1251" s="40"/>
      <c r="V1251" s="40"/>
      <c r="W1251" s="40"/>
      <c r="X1251" s="40"/>
      <c r="Y1251" s="40"/>
      <c r="Z1251" s="40"/>
      <c r="AA1251" s="40"/>
      <c r="AB1251" s="40"/>
      <c r="AC1251" s="40"/>
      <c r="AD1251" s="40"/>
      <c r="AE1251" s="23"/>
    </row>
    <row r="1252" spans="1:31">
      <c r="A1252" s="23"/>
      <c r="B1252" s="40"/>
      <c r="C1252" s="40"/>
      <c r="D1252" s="23"/>
      <c r="E1252" s="23"/>
      <c r="F1252" s="23"/>
      <c r="G1252" s="40"/>
      <c r="H1252" s="40"/>
      <c r="I1252" s="40"/>
      <c r="J1252" s="70"/>
      <c r="K1252" s="40"/>
      <c r="L1252" s="70"/>
      <c r="M1252" s="70"/>
      <c r="N1252" s="40"/>
      <c r="O1252" s="40"/>
      <c r="P1252" s="40"/>
      <c r="Q1252" s="40"/>
      <c r="R1252" s="72"/>
      <c r="S1252" s="40"/>
      <c r="T1252" s="40"/>
      <c r="U1252" s="40"/>
      <c r="V1252" s="40"/>
      <c r="W1252" s="40"/>
      <c r="X1252" s="40"/>
      <c r="Y1252" s="40"/>
      <c r="Z1252" s="40"/>
      <c r="AA1252" s="40"/>
      <c r="AB1252" s="40"/>
      <c r="AC1252" s="40"/>
      <c r="AD1252" s="40"/>
      <c r="AE1252" s="23"/>
    </row>
    <row r="1253" spans="1:31">
      <c r="A1253" s="23"/>
      <c r="B1253" s="40"/>
      <c r="C1253" s="40"/>
      <c r="D1253" s="23"/>
      <c r="E1253" s="23"/>
      <c r="F1253" s="23"/>
      <c r="G1253" s="40"/>
      <c r="H1253" s="40"/>
      <c r="I1253" s="40"/>
      <c r="J1253" s="70"/>
      <c r="K1253" s="40"/>
      <c r="L1253" s="70"/>
      <c r="M1253" s="70"/>
      <c r="N1253" s="40"/>
      <c r="O1253" s="40"/>
      <c r="P1253" s="40"/>
      <c r="Q1253" s="40"/>
      <c r="R1253" s="72"/>
      <c r="S1253" s="40"/>
      <c r="T1253" s="40"/>
      <c r="U1253" s="40"/>
      <c r="V1253" s="40"/>
      <c r="W1253" s="40"/>
      <c r="X1253" s="40"/>
      <c r="Y1253" s="40"/>
      <c r="Z1253" s="40"/>
      <c r="AA1253" s="40"/>
      <c r="AB1253" s="40"/>
      <c r="AC1253" s="40"/>
      <c r="AD1253" s="40"/>
      <c r="AE1253" s="23"/>
    </row>
    <row r="1254" spans="1:31">
      <c r="A1254" s="23"/>
      <c r="B1254" s="40"/>
      <c r="C1254" s="40"/>
      <c r="D1254" s="23"/>
      <c r="E1254" s="23"/>
      <c r="F1254" s="23"/>
      <c r="G1254" s="40"/>
      <c r="H1254" s="40"/>
      <c r="I1254" s="40"/>
      <c r="J1254" s="70"/>
      <c r="K1254" s="40"/>
      <c r="L1254" s="70"/>
      <c r="M1254" s="70"/>
      <c r="N1254" s="40"/>
      <c r="O1254" s="40"/>
      <c r="P1254" s="40"/>
      <c r="Q1254" s="40"/>
      <c r="R1254" s="72"/>
      <c r="S1254" s="40"/>
      <c r="T1254" s="40"/>
      <c r="U1254" s="40"/>
      <c r="V1254" s="40"/>
      <c r="W1254" s="40"/>
      <c r="X1254" s="40"/>
      <c r="Y1254" s="40"/>
      <c r="Z1254" s="40"/>
      <c r="AA1254" s="40"/>
      <c r="AB1254" s="40"/>
      <c r="AC1254" s="40"/>
      <c r="AD1254" s="40"/>
      <c r="AE1254" s="23"/>
    </row>
    <row r="1255" spans="1:31">
      <c r="A1255" s="23"/>
      <c r="B1255" s="40"/>
      <c r="C1255" s="40"/>
      <c r="D1255" s="23"/>
      <c r="E1255" s="23"/>
      <c r="F1255" s="23"/>
      <c r="G1255" s="40"/>
      <c r="H1255" s="40"/>
      <c r="I1255" s="40"/>
      <c r="J1255" s="70"/>
      <c r="K1255" s="40"/>
      <c r="L1255" s="70"/>
      <c r="M1255" s="70"/>
      <c r="N1255" s="40"/>
      <c r="O1255" s="40"/>
      <c r="P1255" s="40"/>
      <c r="Q1255" s="40"/>
      <c r="R1255" s="72"/>
      <c r="S1255" s="40"/>
      <c r="T1255" s="40"/>
      <c r="U1255" s="40"/>
      <c r="V1255" s="40"/>
      <c r="W1255" s="40"/>
      <c r="X1255" s="40"/>
      <c r="Y1255" s="40"/>
      <c r="Z1255" s="40"/>
      <c r="AA1255" s="40"/>
      <c r="AB1255" s="40"/>
      <c r="AC1255" s="40"/>
      <c r="AD1255" s="40"/>
      <c r="AE1255" s="23"/>
    </row>
    <row r="1256" spans="1:31">
      <c r="A1256" s="23"/>
      <c r="B1256" s="40"/>
      <c r="C1256" s="40"/>
      <c r="D1256" s="23"/>
      <c r="E1256" s="23"/>
      <c r="F1256" s="23"/>
      <c r="G1256" s="40"/>
      <c r="H1256" s="40"/>
      <c r="I1256" s="40"/>
      <c r="J1256" s="70"/>
      <c r="K1256" s="40"/>
      <c r="L1256" s="70"/>
      <c r="M1256" s="70"/>
      <c r="N1256" s="40"/>
      <c r="O1256" s="40"/>
      <c r="P1256" s="40"/>
      <c r="Q1256" s="40"/>
      <c r="R1256" s="72"/>
      <c r="S1256" s="40"/>
      <c r="T1256" s="40"/>
      <c r="U1256" s="40"/>
      <c r="V1256" s="40"/>
      <c r="W1256" s="40"/>
      <c r="X1256" s="40"/>
      <c r="Y1256" s="40"/>
      <c r="Z1256" s="40"/>
      <c r="AA1256" s="40"/>
      <c r="AB1256" s="40"/>
      <c r="AC1256" s="40"/>
      <c r="AD1256" s="40"/>
      <c r="AE1256" s="23"/>
    </row>
    <row r="1257" spans="1:31">
      <c r="A1257" s="23"/>
      <c r="B1257" s="40"/>
      <c r="C1257" s="40"/>
      <c r="D1257" s="23"/>
      <c r="E1257" s="23"/>
      <c r="F1257" s="23"/>
      <c r="G1257" s="40"/>
      <c r="H1257" s="40"/>
      <c r="I1257" s="40"/>
      <c r="J1257" s="70"/>
      <c r="K1257" s="40"/>
      <c r="L1257" s="70"/>
      <c r="M1257" s="70"/>
      <c r="N1257" s="40"/>
      <c r="O1257" s="40"/>
      <c r="P1257" s="40"/>
      <c r="Q1257" s="40"/>
      <c r="R1257" s="72"/>
      <c r="S1257" s="40"/>
      <c r="T1257" s="40"/>
      <c r="U1257" s="40"/>
      <c r="V1257" s="40"/>
      <c r="W1257" s="40"/>
      <c r="X1257" s="40"/>
      <c r="Y1257" s="40"/>
      <c r="Z1257" s="40"/>
      <c r="AA1257" s="40"/>
      <c r="AB1257" s="40"/>
      <c r="AC1257" s="40"/>
      <c r="AD1257" s="40"/>
      <c r="AE1257" s="23"/>
    </row>
    <row r="1258" spans="1:31">
      <c r="A1258" s="23"/>
      <c r="B1258" s="40"/>
      <c r="C1258" s="40"/>
      <c r="D1258" s="23"/>
      <c r="E1258" s="23"/>
      <c r="F1258" s="23"/>
      <c r="G1258" s="40"/>
      <c r="H1258" s="40"/>
      <c r="I1258" s="40"/>
      <c r="J1258" s="70"/>
      <c r="K1258" s="40"/>
      <c r="L1258" s="70"/>
      <c r="M1258" s="70"/>
      <c r="N1258" s="40"/>
      <c r="O1258" s="40"/>
      <c r="P1258" s="40"/>
      <c r="Q1258" s="40"/>
      <c r="R1258" s="72"/>
      <c r="S1258" s="40"/>
      <c r="T1258" s="40"/>
      <c r="U1258" s="40"/>
      <c r="V1258" s="40"/>
      <c r="W1258" s="40"/>
      <c r="X1258" s="40"/>
      <c r="Y1258" s="40"/>
      <c r="Z1258" s="40"/>
      <c r="AA1258" s="40"/>
      <c r="AB1258" s="40"/>
      <c r="AC1258" s="40"/>
      <c r="AD1258" s="40"/>
      <c r="AE1258" s="23"/>
    </row>
    <row r="1259" spans="1:31">
      <c r="A1259" s="23"/>
      <c r="B1259" s="40"/>
      <c r="C1259" s="40"/>
      <c r="D1259" s="23"/>
      <c r="E1259" s="23"/>
      <c r="F1259" s="23"/>
      <c r="G1259" s="40"/>
      <c r="H1259" s="40"/>
      <c r="I1259" s="40"/>
      <c r="J1259" s="70"/>
      <c r="K1259" s="40"/>
      <c r="L1259" s="70"/>
      <c r="M1259" s="70"/>
      <c r="N1259" s="40"/>
      <c r="O1259" s="40"/>
      <c r="P1259" s="40"/>
      <c r="Q1259" s="40"/>
      <c r="R1259" s="72"/>
      <c r="S1259" s="40"/>
      <c r="T1259" s="40"/>
      <c r="U1259" s="40"/>
      <c r="V1259" s="40"/>
      <c r="W1259" s="40"/>
      <c r="X1259" s="40"/>
      <c r="Y1259" s="40"/>
      <c r="Z1259" s="40"/>
      <c r="AA1259" s="40"/>
      <c r="AB1259" s="40"/>
      <c r="AC1259" s="40"/>
      <c r="AD1259" s="40"/>
      <c r="AE1259" s="23"/>
    </row>
    <row r="1260" spans="1:31">
      <c r="A1260" s="23"/>
      <c r="B1260" s="40"/>
      <c r="C1260" s="40"/>
      <c r="D1260" s="23"/>
      <c r="E1260" s="23"/>
      <c r="F1260" s="23"/>
      <c r="G1260" s="40"/>
      <c r="H1260" s="40"/>
      <c r="I1260" s="40"/>
      <c r="J1260" s="70"/>
      <c r="K1260" s="40"/>
      <c r="L1260" s="70"/>
      <c r="M1260" s="70"/>
      <c r="N1260" s="40"/>
      <c r="O1260" s="40"/>
      <c r="P1260" s="40"/>
      <c r="Q1260" s="40"/>
      <c r="R1260" s="72"/>
      <c r="S1260" s="40"/>
      <c r="T1260" s="40"/>
      <c r="U1260" s="40"/>
      <c r="V1260" s="40"/>
      <c r="W1260" s="40"/>
      <c r="X1260" s="40"/>
      <c r="Y1260" s="40"/>
      <c r="Z1260" s="40"/>
      <c r="AA1260" s="40"/>
      <c r="AB1260" s="40"/>
      <c r="AC1260" s="40"/>
      <c r="AD1260" s="40"/>
      <c r="AE1260" s="23"/>
    </row>
    <row r="1261" spans="1:31">
      <c r="A1261" s="23"/>
      <c r="B1261" s="40"/>
      <c r="C1261" s="40"/>
      <c r="D1261" s="23"/>
      <c r="E1261" s="23"/>
      <c r="F1261" s="23"/>
      <c r="G1261" s="40"/>
      <c r="H1261" s="40"/>
      <c r="I1261" s="40"/>
      <c r="J1261" s="70"/>
      <c r="K1261" s="40"/>
      <c r="L1261" s="70"/>
      <c r="M1261" s="70"/>
      <c r="N1261" s="40"/>
      <c r="O1261" s="40"/>
      <c r="P1261" s="40"/>
      <c r="Q1261" s="40"/>
      <c r="R1261" s="72"/>
      <c r="S1261" s="40"/>
      <c r="T1261" s="40"/>
      <c r="U1261" s="40"/>
      <c r="V1261" s="40"/>
      <c r="W1261" s="40"/>
      <c r="X1261" s="40"/>
      <c r="Y1261" s="40"/>
      <c r="Z1261" s="40"/>
      <c r="AA1261" s="40"/>
      <c r="AB1261" s="40"/>
      <c r="AC1261" s="40"/>
      <c r="AD1261" s="40"/>
      <c r="AE1261" s="23"/>
    </row>
    <row r="1262" spans="1:31" ht="24" customHeight="1">
      <c r="A1262" s="23"/>
      <c r="B1262" s="40"/>
      <c r="C1262" s="40"/>
      <c r="D1262" s="23"/>
      <c r="E1262" s="23"/>
      <c r="F1262" s="23"/>
      <c r="G1262" s="40"/>
      <c r="H1262" s="40"/>
      <c r="I1262" s="40"/>
      <c r="J1262" s="70"/>
      <c r="K1262" s="40"/>
      <c r="L1262" s="70"/>
      <c r="M1262" s="70"/>
      <c r="N1262" s="40"/>
      <c r="O1262" s="40"/>
      <c r="P1262" s="40"/>
      <c r="Q1262" s="40"/>
      <c r="R1262" s="72"/>
      <c r="S1262" s="40"/>
      <c r="T1262" s="40"/>
      <c r="U1262" s="40"/>
      <c r="V1262" s="40"/>
      <c r="W1262" s="40"/>
      <c r="X1262" s="40"/>
      <c r="Y1262" s="40"/>
      <c r="Z1262" s="40"/>
      <c r="AA1262" s="40"/>
      <c r="AB1262" s="40"/>
      <c r="AC1262" s="40"/>
      <c r="AD1262" s="40"/>
      <c r="AE1262" s="23"/>
    </row>
    <row r="1263" spans="1:31">
      <c r="A1263" s="23"/>
      <c r="B1263" s="40"/>
      <c r="C1263" s="40"/>
      <c r="D1263" s="23"/>
      <c r="E1263" s="23"/>
      <c r="F1263" s="23"/>
      <c r="G1263" s="40"/>
      <c r="H1263" s="40"/>
      <c r="I1263" s="40"/>
      <c r="J1263" s="70"/>
      <c r="K1263" s="40"/>
      <c r="L1263" s="70"/>
      <c r="M1263" s="70"/>
      <c r="N1263" s="40"/>
      <c r="O1263" s="40"/>
      <c r="P1263" s="40"/>
      <c r="Q1263" s="40"/>
      <c r="R1263" s="72"/>
      <c r="S1263" s="40"/>
      <c r="T1263" s="40"/>
      <c r="U1263" s="40"/>
      <c r="V1263" s="40"/>
      <c r="W1263" s="40"/>
      <c r="X1263" s="40"/>
      <c r="Y1263" s="40"/>
      <c r="Z1263" s="40"/>
      <c r="AA1263" s="40"/>
      <c r="AB1263" s="40"/>
      <c r="AC1263" s="40"/>
      <c r="AD1263" s="40"/>
      <c r="AE1263" s="23"/>
    </row>
    <row r="1264" spans="1:31">
      <c r="A1264" s="23"/>
      <c r="B1264" s="40"/>
      <c r="C1264" s="40"/>
      <c r="D1264" s="23"/>
      <c r="E1264" s="23"/>
      <c r="F1264" s="23"/>
      <c r="G1264" s="40"/>
      <c r="H1264" s="40"/>
      <c r="I1264" s="40"/>
      <c r="J1264" s="70"/>
      <c r="K1264" s="40"/>
      <c r="L1264" s="70"/>
      <c r="M1264" s="70"/>
      <c r="N1264" s="40"/>
      <c r="O1264" s="40"/>
      <c r="P1264" s="40"/>
      <c r="Q1264" s="40"/>
      <c r="R1264" s="72"/>
      <c r="S1264" s="40"/>
      <c r="T1264" s="40"/>
      <c r="U1264" s="40"/>
      <c r="V1264" s="40"/>
      <c r="W1264" s="40"/>
      <c r="X1264" s="40"/>
      <c r="Y1264" s="40"/>
      <c r="Z1264" s="40"/>
      <c r="AA1264" s="40"/>
      <c r="AB1264" s="40"/>
      <c r="AC1264" s="40"/>
      <c r="AD1264" s="40"/>
      <c r="AE1264" s="23"/>
    </row>
    <row r="1265" spans="1:31">
      <c r="A1265" s="23"/>
      <c r="B1265" s="40"/>
      <c r="C1265" s="40"/>
      <c r="D1265" s="23"/>
      <c r="E1265" s="23"/>
      <c r="F1265" s="23"/>
      <c r="G1265" s="40"/>
      <c r="H1265" s="40"/>
      <c r="I1265" s="40"/>
      <c r="J1265" s="70"/>
      <c r="K1265" s="40"/>
      <c r="L1265" s="70"/>
      <c r="M1265" s="70"/>
      <c r="N1265" s="40"/>
      <c r="O1265" s="40"/>
      <c r="P1265" s="40"/>
      <c r="Q1265" s="40"/>
      <c r="R1265" s="72"/>
      <c r="S1265" s="40"/>
      <c r="T1265" s="40"/>
      <c r="U1265" s="40"/>
      <c r="V1265" s="40"/>
      <c r="W1265" s="40"/>
      <c r="X1265" s="40"/>
      <c r="Y1265" s="40"/>
      <c r="Z1265" s="40"/>
      <c r="AA1265" s="40"/>
      <c r="AB1265" s="40"/>
      <c r="AC1265" s="40"/>
      <c r="AD1265" s="40"/>
      <c r="AE1265" s="23"/>
    </row>
    <row r="1266" spans="1:31">
      <c r="A1266" s="23"/>
      <c r="B1266" s="40"/>
      <c r="C1266" s="40"/>
      <c r="D1266" s="23"/>
      <c r="E1266" s="23"/>
      <c r="F1266" s="23"/>
      <c r="G1266" s="40"/>
      <c r="H1266" s="40"/>
      <c r="I1266" s="40"/>
      <c r="J1266" s="70"/>
      <c r="K1266" s="40"/>
      <c r="L1266" s="70"/>
      <c r="M1266" s="70"/>
      <c r="N1266" s="40"/>
      <c r="O1266" s="40"/>
      <c r="P1266" s="40"/>
      <c r="Q1266" s="40"/>
      <c r="R1266" s="72"/>
      <c r="S1266" s="40"/>
      <c r="T1266" s="40"/>
      <c r="U1266" s="40"/>
      <c r="V1266" s="40"/>
      <c r="W1266" s="40"/>
      <c r="X1266" s="40"/>
      <c r="Y1266" s="40"/>
      <c r="Z1266" s="40"/>
      <c r="AA1266" s="40"/>
      <c r="AB1266" s="40"/>
      <c r="AC1266" s="40"/>
      <c r="AD1266" s="40"/>
      <c r="AE1266" s="23"/>
    </row>
    <row r="1267" spans="1:31">
      <c r="A1267" s="23"/>
      <c r="B1267" s="40"/>
      <c r="C1267" s="40"/>
      <c r="D1267" s="23"/>
      <c r="E1267" s="23"/>
      <c r="F1267" s="23"/>
      <c r="G1267" s="40"/>
      <c r="H1267" s="40"/>
      <c r="I1267" s="40"/>
      <c r="J1267" s="70"/>
      <c r="K1267" s="40"/>
      <c r="L1267" s="70"/>
      <c r="M1267" s="70"/>
      <c r="N1267" s="40"/>
      <c r="O1267" s="40"/>
      <c r="P1267" s="40"/>
      <c r="Q1267" s="40"/>
      <c r="R1267" s="72"/>
      <c r="S1267" s="40"/>
      <c r="T1267" s="40"/>
      <c r="U1267" s="40"/>
      <c r="V1267" s="40"/>
      <c r="W1267" s="40"/>
      <c r="X1267" s="40"/>
      <c r="Y1267" s="40"/>
      <c r="Z1267" s="40"/>
      <c r="AA1267" s="40"/>
      <c r="AB1267" s="40"/>
      <c r="AC1267" s="40"/>
      <c r="AD1267" s="40"/>
      <c r="AE1267" s="23"/>
    </row>
    <row r="1268" spans="1:31">
      <c r="A1268" s="23"/>
      <c r="B1268" s="40"/>
      <c r="C1268" s="40"/>
      <c r="D1268" s="23"/>
      <c r="E1268" s="23"/>
      <c r="F1268" s="23"/>
      <c r="G1268" s="40"/>
      <c r="H1268" s="40"/>
      <c r="I1268" s="40"/>
      <c r="J1268" s="70"/>
      <c r="K1268" s="40"/>
      <c r="L1268" s="70"/>
      <c r="M1268" s="70"/>
      <c r="N1268" s="40"/>
      <c r="O1268" s="40"/>
      <c r="P1268" s="40"/>
      <c r="Q1268" s="40"/>
      <c r="R1268" s="72"/>
      <c r="S1268" s="40"/>
      <c r="T1268" s="40"/>
      <c r="U1268" s="40"/>
      <c r="V1268" s="40"/>
      <c r="W1268" s="40"/>
      <c r="X1268" s="40"/>
      <c r="Y1268" s="40"/>
      <c r="Z1268" s="40"/>
      <c r="AA1268" s="40"/>
      <c r="AB1268" s="40"/>
      <c r="AC1268" s="40"/>
      <c r="AD1268" s="40"/>
      <c r="AE1268" s="23"/>
    </row>
    <row r="1269" spans="1:31">
      <c r="A1269" s="23"/>
      <c r="B1269" s="40"/>
      <c r="C1269" s="40"/>
      <c r="D1269" s="23"/>
      <c r="E1269" s="23"/>
      <c r="F1269" s="23"/>
      <c r="G1269" s="40"/>
      <c r="H1269" s="40"/>
      <c r="I1269" s="40"/>
      <c r="J1269" s="70"/>
      <c r="K1269" s="40"/>
      <c r="L1269" s="70"/>
      <c r="M1269" s="70"/>
      <c r="N1269" s="40"/>
      <c r="O1269" s="40"/>
      <c r="P1269" s="40"/>
      <c r="Q1269" s="40"/>
      <c r="R1269" s="72"/>
      <c r="S1269" s="40"/>
      <c r="T1269" s="40"/>
      <c r="U1269" s="40"/>
      <c r="V1269" s="40"/>
      <c r="W1269" s="40"/>
      <c r="X1269" s="40"/>
      <c r="Y1269" s="40"/>
      <c r="Z1269" s="40"/>
      <c r="AA1269" s="40"/>
      <c r="AB1269" s="40"/>
      <c r="AC1269" s="40"/>
      <c r="AD1269" s="40"/>
      <c r="AE1269" s="23"/>
    </row>
    <row r="1270" spans="1:31">
      <c r="A1270" s="23"/>
      <c r="B1270" s="40"/>
      <c r="C1270" s="40"/>
      <c r="D1270" s="23"/>
      <c r="E1270" s="23"/>
      <c r="F1270" s="23"/>
      <c r="G1270" s="40"/>
      <c r="H1270" s="40"/>
      <c r="I1270" s="40"/>
      <c r="J1270" s="70"/>
      <c r="K1270" s="40"/>
      <c r="L1270" s="70"/>
      <c r="M1270" s="70"/>
      <c r="N1270" s="40"/>
      <c r="O1270" s="40"/>
      <c r="P1270" s="40"/>
      <c r="Q1270" s="40"/>
      <c r="R1270" s="72"/>
      <c r="S1270" s="40"/>
      <c r="T1270" s="40"/>
      <c r="U1270" s="40"/>
      <c r="V1270" s="40"/>
      <c r="W1270" s="40"/>
      <c r="X1270" s="40"/>
      <c r="Y1270" s="40"/>
      <c r="Z1270" s="40"/>
      <c r="AA1270" s="40"/>
      <c r="AB1270" s="40"/>
      <c r="AC1270" s="40"/>
      <c r="AD1270" s="40"/>
      <c r="AE1270" s="23"/>
    </row>
    <row r="1271" spans="1:31">
      <c r="A1271" s="23"/>
      <c r="B1271" s="40"/>
      <c r="C1271" s="40"/>
      <c r="D1271" s="23"/>
      <c r="E1271" s="23"/>
      <c r="F1271" s="23"/>
      <c r="G1271" s="40"/>
      <c r="H1271" s="40"/>
      <c r="I1271" s="40"/>
      <c r="J1271" s="70"/>
      <c r="K1271" s="40"/>
      <c r="L1271" s="70"/>
      <c r="M1271" s="70"/>
      <c r="N1271" s="40"/>
      <c r="O1271" s="40"/>
      <c r="P1271" s="40"/>
      <c r="Q1271" s="40"/>
      <c r="R1271" s="72"/>
      <c r="S1271" s="40"/>
      <c r="T1271" s="40"/>
      <c r="U1271" s="40"/>
      <c r="V1271" s="40"/>
      <c r="W1271" s="40"/>
      <c r="X1271" s="40"/>
      <c r="Y1271" s="40"/>
      <c r="Z1271" s="40"/>
      <c r="AA1271" s="40"/>
      <c r="AB1271" s="40"/>
      <c r="AC1271" s="40"/>
      <c r="AD1271" s="40"/>
      <c r="AE1271" s="23"/>
    </row>
    <row r="1272" spans="1:31">
      <c r="A1272" s="23"/>
      <c r="B1272" s="40"/>
      <c r="C1272" s="40"/>
      <c r="D1272" s="23"/>
      <c r="E1272" s="23"/>
      <c r="F1272" s="23"/>
      <c r="G1272" s="40"/>
      <c r="H1272" s="40"/>
      <c r="I1272" s="40"/>
      <c r="J1272" s="70"/>
      <c r="K1272" s="40"/>
      <c r="L1272" s="70"/>
      <c r="M1272" s="70"/>
      <c r="N1272" s="40"/>
      <c r="O1272" s="40"/>
      <c r="P1272" s="40"/>
      <c r="Q1272" s="40"/>
      <c r="R1272" s="72"/>
      <c r="S1272" s="40"/>
      <c r="T1272" s="40"/>
      <c r="U1272" s="40"/>
      <c r="V1272" s="40"/>
      <c r="W1272" s="40"/>
      <c r="X1272" s="40"/>
      <c r="Y1272" s="40"/>
      <c r="Z1272" s="40"/>
      <c r="AA1272" s="40"/>
      <c r="AB1272" s="40"/>
      <c r="AC1272" s="40"/>
      <c r="AD1272" s="40"/>
      <c r="AE1272" s="23"/>
    </row>
    <row r="1273" spans="1:31">
      <c r="A1273" s="23"/>
      <c r="B1273" s="40"/>
      <c r="C1273" s="40"/>
      <c r="D1273" s="23"/>
      <c r="E1273" s="23"/>
      <c r="F1273" s="23"/>
      <c r="G1273" s="40"/>
      <c r="H1273" s="40"/>
      <c r="I1273" s="40"/>
      <c r="J1273" s="70"/>
      <c r="K1273" s="40"/>
      <c r="L1273" s="70"/>
      <c r="M1273" s="70"/>
      <c r="N1273" s="40"/>
      <c r="O1273" s="40"/>
      <c r="P1273" s="40"/>
      <c r="Q1273" s="40"/>
      <c r="R1273" s="72"/>
      <c r="S1273" s="40"/>
      <c r="T1273" s="40"/>
      <c r="U1273" s="40"/>
      <c r="V1273" s="40"/>
      <c r="W1273" s="40"/>
      <c r="X1273" s="40"/>
      <c r="Y1273" s="40"/>
      <c r="Z1273" s="40"/>
      <c r="AA1273" s="40"/>
      <c r="AB1273" s="40"/>
      <c r="AC1273" s="40"/>
      <c r="AD1273" s="40"/>
      <c r="AE1273" s="23"/>
    </row>
    <row r="1274" spans="1:31">
      <c r="A1274" s="23"/>
      <c r="B1274" s="40"/>
      <c r="C1274" s="40"/>
      <c r="D1274" s="23"/>
      <c r="E1274" s="23"/>
      <c r="F1274" s="23"/>
      <c r="G1274" s="40"/>
      <c r="H1274" s="40"/>
      <c r="I1274" s="40"/>
      <c r="J1274" s="70"/>
      <c r="K1274" s="40"/>
      <c r="L1274" s="70"/>
      <c r="M1274" s="70"/>
      <c r="N1274" s="40"/>
      <c r="O1274" s="40"/>
      <c r="P1274" s="40"/>
      <c r="Q1274" s="40"/>
      <c r="R1274" s="72"/>
      <c r="S1274" s="40"/>
      <c r="T1274" s="40"/>
      <c r="U1274" s="40"/>
      <c r="V1274" s="40"/>
      <c r="W1274" s="40"/>
      <c r="X1274" s="40"/>
      <c r="Y1274" s="40"/>
      <c r="Z1274" s="40"/>
      <c r="AA1274" s="40"/>
      <c r="AB1274" s="40"/>
      <c r="AC1274" s="40"/>
      <c r="AD1274" s="40"/>
      <c r="AE1274" s="23"/>
    </row>
    <row r="1275" spans="1:31" ht="24" customHeight="1">
      <c r="A1275" s="23"/>
      <c r="B1275" s="40"/>
      <c r="C1275" s="40"/>
      <c r="D1275" s="23"/>
      <c r="E1275" s="23"/>
      <c r="F1275" s="23"/>
      <c r="G1275" s="40"/>
      <c r="H1275" s="40"/>
      <c r="I1275" s="40"/>
      <c r="J1275" s="70"/>
      <c r="K1275" s="40"/>
      <c r="L1275" s="70"/>
      <c r="M1275" s="70"/>
      <c r="N1275" s="40"/>
      <c r="O1275" s="40"/>
      <c r="P1275" s="40"/>
      <c r="Q1275" s="40"/>
      <c r="R1275" s="72"/>
      <c r="S1275" s="40"/>
      <c r="T1275" s="40"/>
      <c r="U1275" s="40"/>
      <c r="V1275" s="40"/>
      <c r="W1275" s="40"/>
      <c r="X1275" s="40"/>
      <c r="Y1275" s="40"/>
      <c r="Z1275" s="40"/>
      <c r="AA1275" s="40"/>
      <c r="AB1275" s="40"/>
      <c r="AC1275" s="40"/>
      <c r="AD1275" s="40"/>
      <c r="AE1275" s="23"/>
    </row>
    <row r="1276" spans="1:31">
      <c r="A1276" s="23"/>
      <c r="B1276" s="40"/>
      <c r="C1276" s="40"/>
      <c r="D1276" s="23"/>
      <c r="E1276" s="23"/>
      <c r="F1276" s="23"/>
      <c r="G1276" s="40"/>
      <c r="H1276" s="40"/>
      <c r="I1276" s="40"/>
      <c r="J1276" s="70"/>
      <c r="K1276" s="40"/>
      <c r="L1276" s="70"/>
      <c r="M1276" s="70"/>
      <c r="N1276" s="40"/>
      <c r="O1276" s="40"/>
      <c r="P1276" s="40"/>
      <c r="Q1276" s="40"/>
      <c r="R1276" s="72"/>
      <c r="S1276" s="40"/>
      <c r="T1276" s="40"/>
      <c r="U1276" s="40"/>
      <c r="V1276" s="40"/>
      <c r="W1276" s="40"/>
      <c r="X1276" s="40"/>
      <c r="Y1276" s="40"/>
      <c r="Z1276" s="40"/>
      <c r="AA1276" s="40"/>
      <c r="AB1276" s="40"/>
      <c r="AC1276" s="40"/>
      <c r="AD1276" s="40"/>
      <c r="AE1276" s="23"/>
    </row>
    <row r="1277" spans="1:31">
      <c r="A1277" s="23"/>
      <c r="B1277" s="40"/>
      <c r="C1277" s="40"/>
      <c r="D1277" s="23"/>
      <c r="E1277" s="23"/>
      <c r="F1277" s="23"/>
      <c r="G1277" s="40"/>
      <c r="H1277" s="40"/>
      <c r="I1277" s="40"/>
      <c r="J1277" s="70"/>
      <c r="K1277" s="40"/>
      <c r="L1277" s="70"/>
      <c r="M1277" s="70"/>
      <c r="N1277" s="40"/>
      <c r="O1277" s="40"/>
      <c r="P1277" s="40"/>
      <c r="Q1277" s="40"/>
      <c r="R1277" s="72"/>
      <c r="S1277" s="40"/>
      <c r="T1277" s="40"/>
      <c r="U1277" s="40"/>
      <c r="V1277" s="40"/>
      <c r="W1277" s="40"/>
      <c r="X1277" s="40"/>
      <c r="Y1277" s="40"/>
      <c r="Z1277" s="40"/>
      <c r="AA1277" s="40"/>
      <c r="AB1277" s="40"/>
      <c r="AC1277" s="40"/>
      <c r="AD1277" s="40"/>
      <c r="AE1277" s="23"/>
    </row>
    <row r="1278" spans="1:31">
      <c r="A1278" s="23"/>
      <c r="B1278" s="40"/>
      <c r="C1278" s="40"/>
      <c r="D1278" s="23"/>
      <c r="E1278" s="23"/>
      <c r="F1278" s="23"/>
      <c r="G1278" s="40"/>
      <c r="H1278" s="40"/>
      <c r="I1278" s="40"/>
      <c r="J1278" s="70"/>
      <c r="K1278" s="40"/>
      <c r="L1278" s="70"/>
      <c r="M1278" s="70"/>
      <c r="N1278" s="40"/>
      <c r="O1278" s="40"/>
      <c r="P1278" s="40"/>
      <c r="Q1278" s="40"/>
      <c r="R1278" s="72"/>
      <c r="S1278" s="40"/>
      <c r="T1278" s="40"/>
      <c r="U1278" s="40"/>
      <c r="V1278" s="40"/>
      <c r="W1278" s="40"/>
      <c r="X1278" s="40"/>
      <c r="Y1278" s="40"/>
      <c r="Z1278" s="40"/>
      <c r="AA1278" s="40"/>
      <c r="AB1278" s="40"/>
      <c r="AC1278" s="40"/>
      <c r="AD1278" s="40"/>
      <c r="AE1278" s="23"/>
    </row>
    <row r="1279" spans="1:31">
      <c r="A1279" s="23"/>
      <c r="B1279" s="40"/>
      <c r="C1279" s="40"/>
      <c r="D1279" s="23"/>
      <c r="E1279" s="23"/>
      <c r="F1279" s="23"/>
      <c r="G1279" s="40"/>
      <c r="H1279" s="40"/>
      <c r="I1279" s="40"/>
      <c r="J1279" s="70"/>
      <c r="K1279" s="40"/>
      <c r="L1279" s="70"/>
      <c r="M1279" s="70"/>
      <c r="N1279" s="40"/>
      <c r="O1279" s="40"/>
      <c r="P1279" s="40"/>
      <c r="Q1279" s="40"/>
      <c r="R1279" s="72"/>
      <c r="S1279" s="40"/>
      <c r="T1279" s="40"/>
      <c r="U1279" s="40"/>
      <c r="V1279" s="40"/>
      <c r="W1279" s="40"/>
      <c r="X1279" s="40"/>
      <c r="Y1279" s="40"/>
      <c r="Z1279" s="40"/>
      <c r="AA1279" s="40"/>
      <c r="AB1279" s="40"/>
      <c r="AC1279" s="40"/>
      <c r="AD1279" s="40"/>
      <c r="AE1279" s="23"/>
    </row>
    <row r="1280" spans="1:31" ht="24" customHeight="1">
      <c r="A1280" s="23"/>
      <c r="B1280" s="40"/>
      <c r="C1280" s="40"/>
      <c r="D1280" s="23"/>
      <c r="E1280" s="23"/>
      <c r="F1280" s="23"/>
      <c r="G1280" s="40"/>
      <c r="H1280" s="40"/>
      <c r="I1280" s="40"/>
      <c r="J1280" s="70"/>
      <c r="K1280" s="40"/>
      <c r="L1280" s="70"/>
      <c r="M1280" s="70"/>
      <c r="N1280" s="40"/>
      <c r="O1280" s="40"/>
      <c r="P1280" s="40"/>
      <c r="Q1280" s="40"/>
      <c r="R1280" s="72"/>
      <c r="S1280" s="40"/>
      <c r="T1280" s="40"/>
      <c r="U1280" s="40"/>
      <c r="V1280" s="40"/>
      <c r="W1280" s="40"/>
      <c r="X1280" s="40"/>
      <c r="Y1280" s="40"/>
      <c r="Z1280" s="40"/>
      <c r="AA1280" s="40"/>
      <c r="AB1280" s="40"/>
      <c r="AC1280" s="40"/>
      <c r="AD1280" s="40"/>
      <c r="AE1280" s="23"/>
    </row>
    <row r="1281" spans="1:31">
      <c r="A1281" s="23"/>
      <c r="B1281" s="40"/>
      <c r="C1281" s="40"/>
      <c r="D1281" s="23"/>
      <c r="E1281" s="23"/>
      <c r="F1281" s="23"/>
      <c r="G1281" s="40"/>
      <c r="H1281" s="40"/>
      <c r="I1281" s="40"/>
      <c r="J1281" s="70"/>
      <c r="K1281" s="40"/>
      <c r="L1281" s="70"/>
      <c r="M1281" s="70"/>
      <c r="N1281" s="40"/>
      <c r="O1281" s="40"/>
      <c r="P1281" s="40"/>
      <c r="Q1281" s="40"/>
      <c r="R1281" s="72"/>
      <c r="S1281" s="40"/>
      <c r="T1281" s="40"/>
      <c r="U1281" s="40"/>
      <c r="V1281" s="40"/>
      <c r="W1281" s="40"/>
      <c r="X1281" s="40"/>
      <c r="Y1281" s="40"/>
      <c r="Z1281" s="40"/>
      <c r="AA1281" s="40"/>
      <c r="AB1281" s="40"/>
      <c r="AC1281" s="40"/>
      <c r="AD1281" s="40"/>
      <c r="AE1281" s="23"/>
    </row>
    <row r="1282" spans="1:31">
      <c r="A1282" s="23"/>
      <c r="B1282" s="40"/>
      <c r="C1282" s="40"/>
      <c r="D1282" s="23"/>
      <c r="E1282" s="23"/>
      <c r="F1282" s="23"/>
      <c r="G1282" s="40"/>
      <c r="H1282" s="40"/>
      <c r="I1282" s="40"/>
      <c r="J1282" s="70"/>
      <c r="K1282" s="40"/>
      <c r="L1282" s="70"/>
      <c r="M1282" s="70"/>
      <c r="N1282" s="40"/>
      <c r="O1282" s="40"/>
      <c r="P1282" s="40"/>
      <c r="Q1282" s="40"/>
      <c r="R1282" s="72"/>
      <c r="S1282" s="40"/>
      <c r="T1282" s="40"/>
      <c r="U1282" s="40"/>
      <c r="V1282" s="40"/>
      <c r="W1282" s="40"/>
      <c r="X1282" s="40"/>
      <c r="Y1282" s="40"/>
      <c r="Z1282" s="40"/>
      <c r="AA1282" s="40"/>
      <c r="AB1282" s="40"/>
      <c r="AC1282" s="40"/>
      <c r="AD1282" s="40"/>
      <c r="AE1282" s="23"/>
    </row>
    <row r="1283" spans="1:31">
      <c r="A1283" s="23"/>
      <c r="B1283" s="40"/>
      <c r="C1283" s="40"/>
      <c r="D1283" s="23"/>
      <c r="E1283" s="23"/>
      <c r="F1283" s="23"/>
      <c r="G1283" s="40"/>
      <c r="H1283" s="40"/>
      <c r="I1283" s="40"/>
      <c r="J1283" s="70"/>
      <c r="K1283" s="40"/>
      <c r="L1283" s="70"/>
      <c r="M1283" s="70"/>
      <c r="N1283" s="40"/>
      <c r="O1283" s="40"/>
      <c r="P1283" s="40"/>
      <c r="Q1283" s="40"/>
      <c r="R1283" s="72"/>
      <c r="S1283" s="40"/>
      <c r="T1283" s="40"/>
      <c r="U1283" s="40"/>
      <c r="V1283" s="40"/>
      <c r="W1283" s="40"/>
      <c r="X1283" s="40"/>
      <c r="Y1283" s="40"/>
      <c r="Z1283" s="40"/>
      <c r="AA1283" s="40"/>
      <c r="AB1283" s="40"/>
      <c r="AC1283" s="40"/>
      <c r="AD1283" s="40"/>
      <c r="AE1283" s="23"/>
    </row>
    <row r="1284" spans="1:31">
      <c r="A1284" s="23"/>
      <c r="B1284" s="40"/>
      <c r="C1284" s="40"/>
      <c r="D1284" s="23"/>
      <c r="E1284" s="23"/>
      <c r="F1284" s="23"/>
      <c r="G1284" s="40"/>
      <c r="H1284" s="40"/>
      <c r="I1284" s="40"/>
      <c r="J1284" s="70"/>
      <c r="K1284" s="40"/>
      <c r="L1284" s="70"/>
      <c r="M1284" s="70"/>
      <c r="N1284" s="40"/>
      <c r="O1284" s="40"/>
      <c r="P1284" s="40"/>
      <c r="Q1284" s="40"/>
      <c r="R1284" s="72"/>
      <c r="S1284" s="40"/>
      <c r="T1284" s="40"/>
      <c r="U1284" s="40"/>
      <c r="V1284" s="40"/>
      <c r="W1284" s="40"/>
      <c r="X1284" s="40"/>
      <c r="Y1284" s="40"/>
      <c r="Z1284" s="40"/>
      <c r="AA1284" s="40"/>
      <c r="AB1284" s="40"/>
      <c r="AC1284" s="40"/>
      <c r="AD1284" s="40"/>
      <c r="AE1284" s="23"/>
    </row>
    <row r="1285" spans="1:31" ht="24" customHeight="1">
      <c r="A1285" s="23"/>
      <c r="B1285" s="40"/>
      <c r="C1285" s="40"/>
      <c r="D1285" s="23"/>
      <c r="E1285" s="23"/>
      <c r="F1285" s="23"/>
      <c r="G1285" s="40"/>
      <c r="H1285" s="40"/>
      <c r="I1285" s="40"/>
      <c r="J1285" s="70"/>
      <c r="K1285" s="40"/>
      <c r="L1285" s="70"/>
      <c r="M1285" s="70"/>
      <c r="N1285" s="40"/>
      <c r="O1285" s="40"/>
      <c r="P1285" s="40"/>
      <c r="Q1285" s="40"/>
      <c r="R1285" s="72"/>
      <c r="S1285" s="40"/>
      <c r="T1285" s="40"/>
      <c r="U1285" s="40"/>
      <c r="V1285" s="40"/>
      <c r="W1285" s="40"/>
      <c r="X1285" s="40"/>
      <c r="Y1285" s="40"/>
      <c r="Z1285" s="40"/>
      <c r="AA1285" s="40"/>
      <c r="AB1285" s="40"/>
      <c r="AC1285" s="40"/>
      <c r="AD1285" s="40"/>
      <c r="AE1285" s="23"/>
    </row>
    <row r="1286" spans="1:31">
      <c r="A1286" s="23"/>
      <c r="B1286" s="40"/>
      <c r="C1286" s="40"/>
      <c r="D1286" s="23"/>
      <c r="E1286" s="23"/>
      <c r="F1286" s="23"/>
      <c r="G1286" s="40"/>
      <c r="H1286" s="40"/>
      <c r="I1286" s="40"/>
      <c r="J1286" s="70"/>
      <c r="K1286" s="40"/>
      <c r="L1286" s="70"/>
      <c r="M1286" s="70"/>
      <c r="N1286" s="40"/>
      <c r="O1286" s="40"/>
      <c r="P1286" s="40"/>
      <c r="Q1286" s="40"/>
      <c r="R1286" s="72"/>
      <c r="S1286" s="40"/>
      <c r="T1286" s="40"/>
      <c r="U1286" s="40"/>
      <c r="V1286" s="40"/>
      <c r="W1286" s="40"/>
      <c r="X1286" s="40"/>
      <c r="Y1286" s="40"/>
      <c r="Z1286" s="40"/>
      <c r="AA1286" s="40"/>
      <c r="AB1286" s="40"/>
      <c r="AC1286" s="40"/>
      <c r="AD1286" s="40"/>
      <c r="AE1286" s="23"/>
    </row>
    <row r="1287" spans="1:31">
      <c r="A1287" s="23"/>
      <c r="B1287" s="40"/>
      <c r="C1287" s="40"/>
      <c r="D1287" s="23"/>
      <c r="E1287" s="23"/>
      <c r="F1287" s="23"/>
      <c r="G1287" s="40"/>
      <c r="H1287" s="40"/>
      <c r="I1287" s="40"/>
      <c r="J1287" s="70"/>
      <c r="K1287" s="40"/>
      <c r="L1287" s="70"/>
      <c r="M1287" s="70"/>
      <c r="N1287" s="40"/>
      <c r="O1287" s="40"/>
      <c r="P1287" s="40"/>
      <c r="Q1287" s="40"/>
      <c r="R1287" s="72"/>
      <c r="S1287" s="40"/>
      <c r="T1287" s="40"/>
      <c r="U1287" s="40"/>
      <c r="V1287" s="40"/>
      <c r="W1287" s="40"/>
      <c r="X1287" s="40"/>
      <c r="Y1287" s="40"/>
      <c r="Z1287" s="40"/>
      <c r="AA1287" s="40"/>
      <c r="AB1287" s="40"/>
      <c r="AC1287" s="40"/>
      <c r="AD1287" s="40"/>
      <c r="AE1287" s="23"/>
    </row>
    <row r="1288" spans="1:31">
      <c r="A1288" s="23"/>
      <c r="B1288" s="40"/>
      <c r="C1288" s="40"/>
      <c r="D1288" s="23"/>
      <c r="E1288" s="23"/>
      <c r="F1288" s="23"/>
      <c r="G1288" s="40"/>
      <c r="H1288" s="40"/>
      <c r="I1288" s="40"/>
      <c r="J1288" s="70"/>
      <c r="K1288" s="40"/>
      <c r="L1288" s="70"/>
      <c r="M1288" s="70"/>
      <c r="N1288" s="40"/>
      <c r="O1288" s="40"/>
      <c r="P1288" s="40"/>
      <c r="Q1288" s="40"/>
      <c r="R1288" s="72"/>
      <c r="S1288" s="40"/>
      <c r="T1288" s="40"/>
      <c r="U1288" s="40"/>
      <c r="V1288" s="40"/>
      <c r="W1288" s="40"/>
      <c r="X1288" s="40"/>
      <c r="Y1288" s="40"/>
      <c r="Z1288" s="40"/>
      <c r="AA1288" s="40"/>
      <c r="AB1288" s="40"/>
      <c r="AC1288" s="40"/>
      <c r="AD1288" s="40"/>
      <c r="AE1288" s="23"/>
    </row>
    <row r="1289" spans="1:31">
      <c r="A1289" s="23"/>
      <c r="B1289" s="40"/>
      <c r="C1289" s="40"/>
      <c r="D1289" s="23"/>
      <c r="E1289" s="23"/>
      <c r="F1289" s="23"/>
      <c r="G1289" s="40"/>
      <c r="H1289" s="40"/>
      <c r="I1289" s="40"/>
      <c r="J1289" s="70"/>
      <c r="K1289" s="40"/>
      <c r="L1289" s="70"/>
      <c r="M1289" s="70"/>
      <c r="N1289" s="40"/>
      <c r="O1289" s="40"/>
      <c r="P1289" s="40"/>
      <c r="Q1289" s="40"/>
      <c r="R1289" s="72"/>
      <c r="S1289" s="40"/>
      <c r="T1289" s="40"/>
      <c r="U1289" s="40"/>
      <c r="V1289" s="40"/>
      <c r="W1289" s="40"/>
      <c r="X1289" s="40"/>
      <c r="Y1289" s="40"/>
      <c r="Z1289" s="40"/>
      <c r="AA1289" s="40"/>
      <c r="AB1289" s="40"/>
      <c r="AC1289" s="40"/>
      <c r="AD1289" s="40"/>
      <c r="AE1289" s="23"/>
    </row>
    <row r="1290" spans="1:31">
      <c r="A1290" s="23"/>
      <c r="B1290" s="40"/>
      <c r="C1290" s="40"/>
      <c r="D1290" s="23"/>
      <c r="E1290" s="23"/>
      <c r="F1290" s="23"/>
      <c r="G1290" s="40"/>
      <c r="H1290" s="40"/>
      <c r="I1290" s="40"/>
      <c r="J1290" s="70"/>
      <c r="K1290" s="40"/>
      <c r="L1290" s="70"/>
      <c r="M1290" s="70"/>
      <c r="N1290" s="40"/>
      <c r="O1290" s="40"/>
      <c r="P1290" s="40"/>
      <c r="Q1290" s="40"/>
      <c r="R1290" s="72"/>
      <c r="S1290" s="40"/>
      <c r="T1290" s="40"/>
      <c r="U1290" s="40"/>
      <c r="V1290" s="40"/>
      <c r="W1290" s="40"/>
      <c r="X1290" s="40"/>
      <c r="Y1290" s="40"/>
      <c r="Z1290" s="40"/>
      <c r="AA1290" s="40"/>
      <c r="AB1290" s="40"/>
      <c r="AC1290" s="40"/>
      <c r="AD1290" s="40"/>
      <c r="AE1290" s="23"/>
    </row>
    <row r="1291" spans="1:31">
      <c r="A1291" s="23"/>
      <c r="B1291" s="40"/>
      <c r="C1291" s="40"/>
      <c r="D1291" s="23"/>
      <c r="E1291" s="23"/>
      <c r="F1291" s="23"/>
      <c r="G1291" s="40"/>
      <c r="H1291" s="40"/>
      <c r="I1291" s="40"/>
      <c r="J1291" s="70"/>
      <c r="K1291" s="40"/>
      <c r="L1291" s="70"/>
      <c r="M1291" s="70"/>
      <c r="N1291" s="40"/>
      <c r="O1291" s="40"/>
      <c r="P1291" s="40"/>
      <c r="Q1291" s="40"/>
      <c r="R1291" s="72"/>
      <c r="S1291" s="40"/>
      <c r="T1291" s="40"/>
      <c r="U1291" s="40"/>
      <c r="V1291" s="40"/>
      <c r="W1291" s="40"/>
      <c r="X1291" s="40"/>
      <c r="Y1291" s="40"/>
      <c r="Z1291" s="40"/>
      <c r="AA1291" s="40"/>
      <c r="AB1291" s="40"/>
      <c r="AC1291" s="40"/>
      <c r="AD1291" s="40"/>
      <c r="AE1291" s="23"/>
    </row>
    <row r="1292" spans="1:31">
      <c r="A1292" s="23"/>
      <c r="B1292" s="40"/>
      <c r="C1292" s="40"/>
      <c r="D1292" s="23"/>
      <c r="E1292" s="23"/>
      <c r="F1292" s="23"/>
      <c r="G1292" s="40"/>
      <c r="H1292" s="40"/>
      <c r="I1292" s="40"/>
      <c r="J1292" s="70"/>
      <c r="K1292" s="40"/>
      <c r="L1292" s="70"/>
      <c r="M1292" s="70"/>
      <c r="N1292" s="40"/>
      <c r="O1292" s="40"/>
      <c r="P1292" s="40"/>
      <c r="Q1292" s="40"/>
      <c r="R1292" s="72"/>
      <c r="S1292" s="40"/>
      <c r="T1292" s="40"/>
      <c r="U1292" s="40"/>
      <c r="V1292" s="40"/>
      <c r="W1292" s="40"/>
      <c r="X1292" s="40"/>
      <c r="Y1292" s="40"/>
      <c r="Z1292" s="40"/>
      <c r="AA1292" s="40"/>
      <c r="AB1292" s="40"/>
      <c r="AC1292" s="40"/>
      <c r="AD1292" s="40"/>
      <c r="AE1292" s="23"/>
    </row>
    <row r="1293" spans="1:31">
      <c r="A1293" s="23"/>
      <c r="B1293" s="40"/>
      <c r="C1293" s="40"/>
      <c r="D1293" s="23"/>
      <c r="E1293" s="23"/>
      <c r="F1293" s="23"/>
      <c r="G1293" s="40"/>
      <c r="H1293" s="40"/>
      <c r="I1293" s="40"/>
      <c r="J1293" s="70"/>
      <c r="K1293" s="40"/>
      <c r="L1293" s="70"/>
      <c r="M1293" s="70"/>
      <c r="N1293" s="40"/>
      <c r="O1293" s="40"/>
      <c r="P1293" s="40"/>
      <c r="Q1293" s="40"/>
      <c r="R1293" s="72"/>
      <c r="S1293" s="40"/>
      <c r="T1293" s="40"/>
      <c r="U1293" s="40"/>
      <c r="V1293" s="40"/>
      <c r="W1293" s="40"/>
      <c r="X1293" s="40"/>
      <c r="Y1293" s="40"/>
      <c r="Z1293" s="40"/>
      <c r="AA1293" s="40"/>
      <c r="AB1293" s="40"/>
      <c r="AC1293" s="40"/>
      <c r="AD1293" s="40"/>
      <c r="AE1293" s="23"/>
    </row>
    <row r="1294" spans="1:31">
      <c r="A1294" s="23"/>
      <c r="B1294" s="40"/>
      <c r="C1294" s="40"/>
      <c r="D1294" s="23"/>
      <c r="E1294" s="23"/>
      <c r="F1294" s="23"/>
      <c r="G1294" s="40"/>
      <c r="H1294" s="40"/>
      <c r="I1294" s="40"/>
      <c r="J1294" s="70"/>
      <c r="K1294" s="40"/>
      <c r="L1294" s="70"/>
      <c r="M1294" s="70"/>
      <c r="N1294" s="40"/>
      <c r="O1294" s="40"/>
      <c r="P1294" s="40"/>
      <c r="Q1294" s="40"/>
      <c r="R1294" s="72"/>
      <c r="S1294" s="40"/>
      <c r="T1294" s="40"/>
      <c r="U1294" s="40"/>
      <c r="V1294" s="40"/>
      <c r="W1294" s="40"/>
      <c r="X1294" s="40"/>
      <c r="Y1294" s="40"/>
      <c r="Z1294" s="40"/>
      <c r="AA1294" s="40"/>
      <c r="AB1294" s="40"/>
      <c r="AC1294" s="40"/>
      <c r="AD1294" s="40"/>
      <c r="AE1294" s="23"/>
    </row>
    <row r="1295" spans="1:31">
      <c r="A1295" s="23"/>
      <c r="B1295" s="40"/>
      <c r="C1295" s="40"/>
      <c r="D1295" s="23"/>
      <c r="E1295" s="23"/>
      <c r="F1295" s="23"/>
      <c r="G1295" s="40"/>
      <c r="H1295" s="40"/>
      <c r="I1295" s="40"/>
      <c r="J1295" s="70"/>
      <c r="K1295" s="40"/>
      <c r="L1295" s="70"/>
      <c r="M1295" s="70"/>
      <c r="N1295" s="40"/>
      <c r="O1295" s="40"/>
      <c r="P1295" s="40"/>
      <c r="Q1295" s="40"/>
      <c r="R1295" s="72"/>
      <c r="S1295" s="40"/>
      <c r="T1295" s="40"/>
      <c r="U1295" s="40"/>
      <c r="V1295" s="40"/>
      <c r="W1295" s="40"/>
      <c r="X1295" s="40"/>
      <c r="Y1295" s="40"/>
      <c r="Z1295" s="40"/>
      <c r="AA1295" s="40"/>
      <c r="AB1295" s="40"/>
      <c r="AC1295" s="40"/>
      <c r="AD1295" s="40"/>
      <c r="AE1295" s="23"/>
    </row>
    <row r="1296" spans="1:31" ht="24" customHeight="1">
      <c r="A1296" s="23"/>
      <c r="B1296" s="40"/>
      <c r="C1296" s="40"/>
      <c r="D1296" s="23"/>
      <c r="E1296" s="23"/>
      <c r="F1296" s="23"/>
      <c r="G1296" s="40"/>
      <c r="H1296" s="40"/>
      <c r="I1296" s="40"/>
      <c r="J1296" s="70"/>
      <c r="K1296" s="40"/>
      <c r="L1296" s="70"/>
      <c r="M1296" s="70"/>
      <c r="N1296" s="40"/>
      <c r="O1296" s="40"/>
      <c r="P1296" s="40"/>
      <c r="Q1296" s="40"/>
      <c r="R1296" s="72"/>
      <c r="S1296" s="40"/>
      <c r="T1296" s="40"/>
      <c r="U1296" s="40"/>
      <c r="V1296" s="40"/>
      <c r="W1296" s="40"/>
      <c r="X1296" s="40"/>
      <c r="Y1296" s="40"/>
      <c r="Z1296" s="40"/>
      <c r="AA1296" s="40"/>
      <c r="AB1296" s="40"/>
      <c r="AC1296" s="40"/>
      <c r="AD1296" s="40"/>
      <c r="AE1296" s="23"/>
    </row>
    <row r="1297" spans="1:31">
      <c r="A1297" s="23"/>
      <c r="B1297" s="40"/>
      <c r="C1297" s="40"/>
      <c r="D1297" s="23"/>
      <c r="E1297" s="23"/>
      <c r="F1297" s="23"/>
      <c r="G1297" s="40"/>
      <c r="H1297" s="40"/>
      <c r="I1297" s="40"/>
      <c r="J1297" s="70"/>
      <c r="K1297" s="40"/>
      <c r="L1297" s="70"/>
      <c r="M1297" s="70"/>
      <c r="N1297" s="40"/>
      <c r="O1297" s="40"/>
      <c r="P1297" s="40"/>
      <c r="Q1297" s="40"/>
      <c r="R1297" s="72"/>
      <c r="S1297" s="40"/>
      <c r="T1297" s="40"/>
      <c r="U1297" s="40"/>
      <c r="V1297" s="40"/>
      <c r="W1297" s="40"/>
      <c r="X1297" s="40"/>
      <c r="Y1297" s="40"/>
      <c r="Z1297" s="40"/>
      <c r="AA1297" s="40"/>
      <c r="AB1297" s="40"/>
      <c r="AC1297" s="40"/>
      <c r="AD1297" s="40"/>
      <c r="AE1297" s="23"/>
    </row>
    <row r="1298" spans="1:31">
      <c r="A1298" s="23"/>
      <c r="B1298" s="40"/>
      <c r="C1298" s="40"/>
      <c r="D1298" s="23"/>
      <c r="E1298" s="23"/>
      <c r="F1298" s="23"/>
      <c r="G1298" s="40"/>
      <c r="H1298" s="40"/>
      <c r="I1298" s="40"/>
      <c r="J1298" s="70"/>
      <c r="K1298" s="40"/>
      <c r="L1298" s="70"/>
      <c r="M1298" s="70"/>
      <c r="N1298" s="40"/>
      <c r="O1298" s="40"/>
      <c r="P1298" s="40"/>
      <c r="Q1298" s="40"/>
      <c r="R1298" s="72"/>
      <c r="S1298" s="40"/>
      <c r="T1298" s="40"/>
      <c r="U1298" s="40"/>
      <c r="V1298" s="40"/>
      <c r="W1298" s="40"/>
      <c r="X1298" s="40"/>
      <c r="Y1298" s="40"/>
      <c r="Z1298" s="40"/>
      <c r="AA1298" s="40"/>
      <c r="AB1298" s="40"/>
      <c r="AC1298" s="40"/>
      <c r="AD1298" s="40"/>
      <c r="AE1298" s="23"/>
    </row>
    <row r="1299" spans="1:31">
      <c r="A1299" s="23"/>
      <c r="B1299" s="40"/>
      <c r="C1299" s="40"/>
      <c r="D1299" s="23"/>
      <c r="E1299" s="23"/>
      <c r="F1299" s="23"/>
      <c r="G1299" s="40"/>
      <c r="H1299" s="40"/>
      <c r="I1299" s="40"/>
      <c r="J1299" s="70"/>
      <c r="K1299" s="40"/>
      <c r="L1299" s="70"/>
      <c r="M1299" s="70"/>
      <c r="N1299" s="40"/>
      <c r="O1299" s="40"/>
      <c r="P1299" s="40"/>
      <c r="Q1299" s="40"/>
      <c r="R1299" s="72"/>
      <c r="S1299" s="40"/>
      <c r="T1299" s="40"/>
      <c r="U1299" s="40"/>
      <c r="V1299" s="40"/>
      <c r="W1299" s="40"/>
      <c r="X1299" s="40"/>
      <c r="Y1299" s="40"/>
      <c r="Z1299" s="40"/>
      <c r="AA1299" s="40"/>
      <c r="AB1299" s="40"/>
      <c r="AC1299" s="40"/>
      <c r="AD1299" s="40"/>
      <c r="AE1299" s="23"/>
    </row>
    <row r="1300" spans="1:31">
      <c r="A1300" s="23"/>
      <c r="B1300" s="40"/>
      <c r="C1300" s="40"/>
      <c r="D1300" s="23"/>
      <c r="E1300" s="23"/>
      <c r="F1300" s="23"/>
      <c r="G1300" s="40"/>
      <c r="H1300" s="40"/>
      <c r="I1300" s="40"/>
      <c r="J1300" s="70"/>
      <c r="K1300" s="40"/>
      <c r="L1300" s="70"/>
      <c r="M1300" s="70"/>
      <c r="N1300" s="40"/>
      <c r="O1300" s="40"/>
      <c r="P1300" s="40"/>
      <c r="Q1300" s="40"/>
      <c r="R1300" s="72"/>
      <c r="S1300" s="40"/>
      <c r="T1300" s="40"/>
      <c r="U1300" s="40"/>
      <c r="V1300" s="40"/>
      <c r="W1300" s="40"/>
      <c r="X1300" s="40"/>
      <c r="Y1300" s="40"/>
      <c r="Z1300" s="40"/>
      <c r="AA1300" s="40"/>
      <c r="AB1300" s="40"/>
      <c r="AC1300" s="40"/>
      <c r="AD1300" s="40"/>
      <c r="AE1300" s="23"/>
    </row>
    <row r="1301" spans="1:31" ht="24" customHeight="1">
      <c r="A1301" s="23"/>
      <c r="B1301" s="40"/>
      <c r="C1301" s="40"/>
      <c r="D1301" s="23"/>
      <c r="E1301" s="23"/>
      <c r="F1301" s="23"/>
      <c r="G1301" s="40"/>
      <c r="H1301" s="40"/>
      <c r="I1301" s="40"/>
      <c r="J1301" s="70"/>
      <c r="K1301" s="40"/>
      <c r="L1301" s="70"/>
      <c r="M1301" s="70"/>
      <c r="N1301" s="40"/>
      <c r="O1301" s="40"/>
      <c r="P1301" s="40"/>
      <c r="Q1301" s="40"/>
      <c r="R1301" s="72"/>
      <c r="S1301" s="40"/>
      <c r="T1301" s="40"/>
      <c r="U1301" s="40"/>
      <c r="V1301" s="40"/>
      <c r="W1301" s="40"/>
      <c r="X1301" s="40"/>
      <c r="Y1301" s="40"/>
      <c r="Z1301" s="40"/>
      <c r="AA1301" s="40"/>
      <c r="AB1301" s="40"/>
      <c r="AC1301" s="40"/>
      <c r="AD1301" s="40"/>
      <c r="AE1301" s="23"/>
    </row>
    <row r="1302" spans="1:31">
      <c r="A1302" s="23"/>
      <c r="B1302" s="40"/>
      <c r="C1302" s="40"/>
      <c r="D1302" s="23"/>
      <c r="E1302" s="23"/>
      <c r="F1302" s="23"/>
      <c r="G1302" s="40"/>
      <c r="H1302" s="40"/>
      <c r="I1302" s="40"/>
      <c r="J1302" s="70"/>
      <c r="K1302" s="40"/>
      <c r="L1302" s="70"/>
      <c r="M1302" s="70"/>
      <c r="N1302" s="40"/>
      <c r="O1302" s="40"/>
      <c r="P1302" s="40"/>
      <c r="Q1302" s="40"/>
      <c r="R1302" s="72"/>
      <c r="S1302" s="40"/>
      <c r="T1302" s="40"/>
      <c r="U1302" s="40"/>
      <c r="V1302" s="40"/>
      <c r="W1302" s="40"/>
      <c r="X1302" s="40"/>
      <c r="Y1302" s="40"/>
      <c r="Z1302" s="40"/>
      <c r="AA1302" s="40"/>
      <c r="AB1302" s="40"/>
      <c r="AC1302" s="40"/>
      <c r="AD1302" s="40"/>
      <c r="AE1302" s="23"/>
    </row>
    <row r="1303" spans="1:31">
      <c r="A1303" s="23"/>
      <c r="B1303" s="40"/>
      <c r="C1303" s="40"/>
      <c r="D1303" s="23"/>
      <c r="E1303" s="23"/>
      <c r="F1303" s="23"/>
      <c r="G1303" s="40"/>
      <c r="H1303" s="40"/>
      <c r="I1303" s="40"/>
      <c r="J1303" s="70"/>
      <c r="K1303" s="40"/>
      <c r="L1303" s="70"/>
      <c r="M1303" s="70"/>
      <c r="N1303" s="40"/>
      <c r="O1303" s="40"/>
      <c r="P1303" s="40"/>
      <c r="Q1303" s="40"/>
      <c r="R1303" s="72"/>
      <c r="S1303" s="40"/>
      <c r="T1303" s="40"/>
      <c r="U1303" s="40"/>
      <c r="V1303" s="40"/>
      <c r="W1303" s="40"/>
      <c r="X1303" s="40"/>
      <c r="Y1303" s="40"/>
      <c r="Z1303" s="40"/>
      <c r="AA1303" s="40"/>
      <c r="AB1303" s="40"/>
      <c r="AC1303" s="40"/>
      <c r="AD1303" s="40"/>
      <c r="AE1303" s="23"/>
    </row>
    <row r="1304" spans="1:31">
      <c r="A1304" s="23"/>
      <c r="B1304" s="40"/>
      <c r="C1304" s="40"/>
      <c r="D1304" s="23"/>
      <c r="E1304" s="23"/>
      <c r="F1304" s="23"/>
      <c r="G1304" s="40"/>
      <c r="H1304" s="40"/>
      <c r="I1304" s="40"/>
      <c r="J1304" s="70"/>
      <c r="K1304" s="40"/>
      <c r="L1304" s="70"/>
      <c r="M1304" s="70"/>
      <c r="N1304" s="40"/>
      <c r="O1304" s="40"/>
      <c r="P1304" s="40"/>
      <c r="Q1304" s="40"/>
      <c r="R1304" s="72"/>
      <c r="S1304" s="40"/>
      <c r="T1304" s="40"/>
      <c r="U1304" s="40"/>
      <c r="V1304" s="40"/>
      <c r="W1304" s="40"/>
      <c r="X1304" s="40"/>
      <c r="Y1304" s="40"/>
      <c r="Z1304" s="40"/>
      <c r="AA1304" s="40"/>
      <c r="AB1304" s="40"/>
      <c r="AC1304" s="40"/>
      <c r="AD1304" s="40"/>
      <c r="AE1304" s="23"/>
    </row>
    <row r="1305" spans="1:31">
      <c r="A1305" s="23"/>
      <c r="B1305" s="40"/>
      <c r="C1305" s="40"/>
      <c r="D1305" s="23"/>
      <c r="E1305" s="23"/>
      <c r="F1305" s="23"/>
      <c r="G1305" s="40"/>
      <c r="H1305" s="40"/>
      <c r="I1305" s="40"/>
      <c r="J1305" s="70"/>
      <c r="K1305" s="40"/>
      <c r="L1305" s="70"/>
      <c r="M1305" s="70"/>
      <c r="N1305" s="40"/>
      <c r="O1305" s="40"/>
      <c r="P1305" s="40"/>
      <c r="Q1305" s="40"/>
      <c r="R1305" s="72"/>
      <c r="S1305" s="40"/>
      <c r="T1305" s="40"/>
      <c r="U1305" s="40"/>
      <c r="V1305" s="40"/>
      <c r="W1305" s="40"/>
      <c r="X1305" s="40"/>
      <c r="Y1305" s="40"/>
      <c r="Z1305" s="40"/>
      <c r="AA1305" s="40"/>
      <c r="AB1305" s="40"/>
      <c r="AC1305" s="40"/>
      <c r="AD1305" s="40"/>
      <c r="AE1305" s="23"/>
    </row>
    <row r="1306" spans="1:31" ht="24" customHeight="1">
      <c r="A1306" s="23"/>
      <c r="B1306" s="40"/>
      <c r="C1306" s="40"/>
      <c r="D1306" s="23"/>
      <c r="E1306" s="23"/>
      <c r="F1306" s="23"/>
      <c r="G1306" s="40"/>
      <c r="H1306" s="40"/>
      <c r="I1306" s="40"/>
      <c r="J1306" s="70"/>
      <c r="K1306" s="40"/>
      <c r="L1306" s="70"/>
      <c r="M1306" s="70"/>
      <c r="N1306" s="40"/>
      <c r="O1306" s="40"/>
      <c r="P1306" s="40"/>
      <c r="Q1306" s="40"/>
      <c r="R1306" s="72"/>
      <c r="S1306" s="40"/>
      <c r="T1306" s="40"/>
      <c r="U1306" s="40"/>
      <c r="V1306" s="40"/>
      <c r="W1306" s="40"/>
      <c r="X1306" s="40"/>
      <c r="Y1306" s="40"/>
      <c r="Z1306" s="40"/>
      <c r="AA1306" s="40"/>
      <c r="AB1306" s="40"/>
      <c r="AC1306" s="40"/>
      <c r="AD1306" s="40"/>
      <c r="AE1306" s="23"/>
    </row>
    <row r="1307" spans="1:31">
      <c r="A1307" s="23"/>
      <c r="B1307" s="40"/>
      <c r="C1307" s="40"/>
      <c r="D1307" s="23"/>
      <c r="E1307" s="23"/>
      <c r="F1307" s="23"/>
      <c r="G1307" s="40"/>
      <c r="H1307" s="40"/>
      <c r="I1307" s="40"/>
      <c r="J1307" s="70"/>
      <c r="K1307" s="40"/>
      <c r="L1307" s="70"/>
      <c r="M1307" s="70"/>
      <c r="N1307" s="40"/>
      <c r="O1307" s="40"/>
      <c r="P1307" s="40"/>
      <c r="Q1307" s="40"/>
      <c r="R1307" s="72"/>
      <c r="S1307" s="40"/>
      <c r="T1307" s="40"/>
      <c r="U1307" s="40"/>
      <c r="V1307" s="40"/>
      <c r="W1307" s="40"/>
      <c r="X1307" s="40"/>
      <c r="Y1307" s="40"/>
      <c r="Z1307" s="40"/>
      <c r="AA1307" s="40"/>
      <c r="AB1307" s="40"/>
      <c r="AC1307" s="40"/>
      <c r="AD1307" s="40"/>
      <c r="AE1307" s="23"/>
    </row>
    <row r="1308" spans="1:31">
      <c r="A1308" s="23"/>
      <c r="B1308" s="40"/>
      <c r="C1308" s="40"/>
      <c r="D1308" s="23"/>
      <c r="E1308" s="23"/>
      <c r="F1308" s="23"/>
      <c r="G1308" s="40"/>
      <c r="H1308" s="40"/>
      <c r="I1308" s="40"/>
      <c r="J1308" s="70"/>
      <c r="K1308" s="40"/>
      <c r="L1308" s="70"/>
      <c r="M1308" s="70"/>
      <c r="N1308" s="40"/>
      <c r="O1308" s="40"/>
      <c r="P1308" s="40"/>
      <c r="Q1308" s="40"/>
      <c r="R1308" s="72"/>
      <c r="S1308" s="40"/>
      <c r="T1308" s="40"/>
      <c r="U1308" s="40"/>
      <c r="V1308" s="40"/>
      <c r="W1308" s="40"/>
      <c r="X1308" s="40"/>
      <c r="Y1308" s="40"/>
      <c r="Z1308" s="40"/>
      <c r="AA1308" s="40"/>
      <c r="AB1308" s="40"/>
      <c r="AC1308" s="40"/>
      <c r="AD1308" s="40"/>
      <c r="AE1308" s="23"/>
    </row>
    <row r="1309" spans="1:31">
      <c r="A1309" s="23"/>
      <c r="B1309" s="40"/>
      <c r="C1309" s="40"/>
      <c r="D1309" s="23"/>
      <c r="E1309" s="23"/>
      <c r="F1309" s="23"/>
      <c r="G1309" s="40"/>
      <c r="H1309" s="40"/>
      <c r="I1309" s="40"/>
      <c r="J1309" s="70"/>
      <c r="K1309" s="40"/>
      <c r="L1309" s="70"/>
      <c r="M1309" s="70"/>
      <c r="N1309" s="40"/>
      <c r="O1309" s="40"/>
      <c r="P1309" s="40"/>
      <c r="Q1309" s="40"/>
      <c r="R1309" s="72"/>
      <c r="S1309" s="40"/>
      <c r="T1309" s="40"/>
      <c r="U1309" s="40"/>
      <c r="V1309" s="40"/>
      <c r="W1309" s="40"/>
      <c r="X1309" s="40"/>
      <c r="Y1309" s="40"/>
      <c r="Z1309" s="40"/>
      <c r="AA1309" s="40"/>
      <c r="AB1309" s="40"/>
      <c r="AC1309" s="40"/>
      <c r="AD1309" s="40"/>
      <c r="AE1309" s="23"/>
    </row>
    <row r="1310" spans="1:31">
      <c r="A1310" s="23"/>
      <c r="B1310" s="40"/>
      <c r="C1310" s="40"/>
      <c r="D1310" s="23"/>
      <c r="E1310" s="23"/>
      <c r="F1310" s="23"/>
      <c r="G1310" s="40"/>
      <c r="H1310" s="40"/>
      <c r="I1310" s="40"/>
      <c r="J1310" s="70"/>
      <c r="K1310" s="40"/>
      <c r="L1310" s="70"/>
      <c r="M1310" s="70"/>
      <c r="N1310" s="40"/>
      <c r="O1310" s="40"/>
      <c r="P1310" s="40"/>
      <c r="Q1310" s="40"/>
      <c r="R1310" s="72"/>
      <c r="S1310" s="40"/>
      <c r="T1310" s="40"/>
      <c r="U1310" s="40"/>
      <c r="V1310" s="40"/>
      <c r="W1310" s="40"/>
      <c r="X1310" s="40"/>
      <c r="Y1310" s="40"/>
      <c r="Z1310" s="40"/>
      <c r="AA1310" s="40"/>
      <c r="AB1310" s="40"/>
      <c r="AC1310" s="40"/>
      <c r="AD1310" s="40"/>
      <c r="AE1310" s="23"/>
    </row>
    <row r="1311" spans="1:31">
      <c r="A1311" s="23"/>
      <c r="B1311" s="40"/>
      <c r="C1311" s="40"/>
      <c r="D1311" s="23"/>
      <c r="E1311" s="23"/>
      <c r="F1311" s="23"/>
      <c r="G1311" s="40"/>
      <c r="H1311" s="40"/>
      <c r="I1311" s="40"/>
      <c r="J1311" s="70"/>
      <c r="K1311" s="40"/>
      <c r="L1311" s="70"/>
      <c r="M1311" s="70"/>
      <c r="N1311" s="40"/>
      <c r="O1311" s="40"/>
      <c r="P1311" s="40"/>
      <c r="Q1311" s="40"/>
      <c r="R1311" s="72"/>
      <c r="S1311" s="40"/>
      <c r="T1311" s="40"/>
      <c r="U1311" s="40"/>
      <c r="V1311" s="40"/>
      <c r="W1311" s="40"/>
      <c r="X1311" s="40"/>
      <c r="Y1311" s="40"/>
      <c r="Z1311" s="40"/>
      <c r="AA1311" s="40"/>
      <c r="AB1311" s="40"/>
      <c r="AC1311" s="40"/>
      <c r="AD1311" s="40"/>
      <c r="AE1311" s="23"/>
    </row>
    <row r="1312" spans="1:31">
      <c r="A1312" s="23"/>
      <c r="B1312" s="40"/>
      <c r="C1312" s="40"/>
      <c r="D1312" s="23"/>
      <c r="E1312" s="23"/>
      <c r="F1312" s="23"/>
      <c r="G1312" s="40"/>
      <c r="H1312" s="40"/>
      <c r="I1312" s="40"/>
      <c r="J1312" s="70"/>
      <c r="K1312" s="40"/>
      <c r="L1312" s="70"/>
      <c r="M1312" s="70"/>
      <c r="N1312" s="40"/>
      <c r="O1312" s="40"/>
      <c r="P1312" s="40"/>
      <c r="Q1312" s="40"/>
      <c r="R1312" s="72"/>
      <c r="S1312" s="40"/>
      <c r="T1312" s="40"/>
      <c r="U1312" s="40"/>
      <c r="V1312" s="40"/>
      <c r="W1312" s="40"/>
      <c r="X1312" s="40"/>
      <c r="Y1312" s="40"/>
      <c r="Z1312" s="40"/>
      <c r="AA1312" s="40"/>
      <c r="AB1312" s="40"/>
      <c r="AC1312" s="40"/>
      <c r="AD1312" s="40"/>
      <c r="AE1312" s="23"/>
    </row>
    <row r="1313" spans="1:31">
      <c r="A1313" s="23"/>
      <c r="B1313" s="40"/>
      <c r="C1313" s="40"/>
      <c r="D1313" s="23"/>
      <c r="E1313" s="23"/>
      <c r="F1313" s="23"/>
      <c r="G1313" s="40"/>
      <c r="H1313" s="40"/>
      <c r="I1313" s="40"/>
      <c r="J1313" s="70"/>
      <c r="K1313" s="40"/>
      <c r="L1313" s="70"/>
      <c r="M1313" s="70"/>
      <c r="N1313" s="40"/>
      <c r="O1313" s="40"/>
      <c r="P1313" s="40"/>
      <c r="Q1313" s="40"/>
      <c r="R1313" s="72"/>
      <c r="S1313" s="40"/>
      <c r="T1313" s="40"/>
      <c r="U1313" s="40"/>
      <c r="V1313" s="40"/>
      <c r="W1313" s="40"/>
      <c r="X1313" s="40"/>
      <c r="Y1313" s="40"/>
      <c r="Z1313" s="40"/>
      <c r="AA1313" s="40"/>
      <c r="AB1313" s="40"/>
      <c r="AC1313" s="40"/>
      <c r="AD1313" s="40"/>
      <c r="AE1313" s="23"/>
    </row>
    <row r="1314" spans="1:31">
      <c r="A1314" s="23"/>
      <c r="B1314" s="40"/>
      <c r="C1314" s="40"/>
      <c r="D1314" s="23"/>
      <c r="E1314" s="23"/>
      <c r="F1314" s="23"/>
      <c r="G1314" s="40"/>
      <c r="H1314" s="40"/>
      <c r="I1314" s="40"/>
      <c r="J1314" s="70"/>
      <c r="K1314" s="40"/>
      <c r="L1314" s="70"/>
      <c r="M1314" s="70"/>
      <c r="N1314" s="40"/>
      <c r="O1314" s="40"/>
      <c r="P1314" s="40"/>
      <c r="Q1314" s="40"/>
      <c r="R1314" s="72"/>
      <c r="S1314" s="40"/>
      <c r="T1314" s="40"/>
      <c r="U1314" s="40"/>
      <c r="V1314" s="40"/>
      <c r="W1314" s="40"/>
      <c r="X1314" s="40"/>
      <c r="Y1314" s="40"/>
      <c r="Z1314" s="40"/>
      <c r="AA1314" s="40"/>
      <c r="AB1314" s="40"/>
      <c r="AC1314" s="40"/>
      <c r="AD1314" s="40"/>
      <c r="AE1314" s="23"/>
    </row>
    <row r="1315" spans="1:31">
      <c r="A1315" s="23"/>
      <c r="B1315" s="40"/>
      <c r="C1315" s="40"/>
      <c r="D1315" s="23"/>
      <c r="E1315" s="23"/>
      <c r="F1315" s="23"/>
      <c r="G1315" s="40"/>
      <c r="H1315" s="40"/>
      <c r="I1315" s="40"/>
      <c r="J1315" s="70"/>
      <c r="K1315" s="40"/>
      <c r="L1315" s="70"/>
      <c r="M1315" s="70"/>
      <c r="N1315" s="40"/>
      <c r="O1315" s="40"/>
      <c r="P1315" s="40"/>
      <c r="Q1315" s="40"/>
      <c r="R1315" s="72"/>
      <c r="S1315" s="40"/>
      <c r="T1315" s="40"/>
      <c r="U1315" s="40"/>
      <c r="V1315" s="40"/>
      <c r="W1315" s="40"/>
      <c r="X1315" s="40"/>
      <c r="Y1315" s="40"/>
      <c r="Z1315" s="40"/>
      <c r="AA1315" s="40"/>
      <c r="AB1315" s="40"/>
      <c r="AC1315" s="40"/>
      <c r="AD1315" s="40"/>
      <c r="AE1315" s="23"/>
    </row>
    <row r="1316" spans="1:31">
      <c r="A1316" s="23"/>
      <c r="B1316" s="40"/>
      <c r="C1316" s="40"/>
      <c r="D1316" s="23"/>
      <c r="E1316" s="23"/>
      <c r="F1316" s="23"/>
      <c r="G1316" s="40"/>
      <c r="H1316" s="40"/>
      <c r="I1316" s="40"/>
      <c r="J1316" s="70"/>
      <c r="K1316" s="40"/>
      <c r="L1316" s="70"/>
      <c r="M1316" s="70"/>
      <c r="N1316" s="40"/>
      <c r="O1316" s="40"/>
      <c r="P1316" s="40"/>
      <c r="Q1316" s="40"/>
      <c r="R1316" s="72"/>
      <c r="S1316" s="40"/>
      <c r="T1316" s="40"/>
      <c r="U1316" s="40"/>
      <c r="V1316" s="40"/>
      <c r="W1316" s="40"/>
      <c r="X1316" s="40"/>
      <c r="Y1316" s="40"/>
      <c r="Z1316" s="40"/>
      <c r="AA1316" s="40"/>
      <c r="AB1316" s="40"/>
      <c r="AC1316" s="40"/>
      <c r="AD1316" s="40"/>
      <c r="AE1316" s="23"/>
    </row>
    <row r="1317" spans="1:31" ht="24" customHeight="1">
      <c r="A1317" s="23"/>
      <c r="B1317" s="40"/>
      <c r="C1317" s="40"/>
      <c r="D1317" s="23"/>
      <c r="E1317" s="23"/>
      <c r="F1317" s="23"/>
      <c r="G1317" s="40"/>
      <c r="H1317" s="40"/>
      <c r="I1317" s="40"/>
      <c r="J1317" s="70"/>
      <c r="K1317" s="40"/>
      <c r="L1317" s="70"/>
      <c r="M1317" s="70"/>
      <c r="N1317" s="40"/>
      <c r="O1317" s="40"/>
      <c r="P1317" s="40"/>
      <c r="Q1317" s="40"/>
      <c r="R1317" s="72"/>
      <c r="S1317" s="40"/>
      <c r="T1317" s="40"/>
      <c r="U1317" s="40"/>
      <c r="V1317" s="40"/>
      <c r="W1317" s="40"/>
      <c r="X1317" s="40"/>
      <c r="Y1317" s="40"/>
      <c r="Z1317" s="40"/>
      <c r="AA1317" s="40"/>
      <c r="AB1317" s="40"/>
      <c r="AC1317" s="40"/>
      <c r="AD1317" s="40"/>
      <c r="AE1317" s="23"/>
    </row>
    <row r="1318" spans="1:31">
      <c r="A1318" s="23"/>
      <c r="B1318" s="40"/>
      <c r="C1318" s="40"/>
      <c r="D1318" s="23"/>
      <c r="E1318" s="23"/>
      <c r="F1318" s="23"/>
      <c r="G1318" s="40"/>
      <c r="H1318" s="40"/>
      <c r="I1318" s="40"/>
      <c r="J1318" s="70"/>
      <c r="K1318" s="40"/>
      <c r="L1318" s="70"/>
      <c r="M1318" s="70"/>
      <c r="N1318" s="40"/>
      <c r="O1318" s="40"/>
      <c r="P1318" s="40"/>
      <c r="Q1318" s="40"/>
      <c r="R1318" s="72"/>
      <c r="S1318" s="40"/>
      <c r="T1318" s="40"/>
      <c r="U1318" s="40"/>
      <c r="V1318" s="40"/>
      <c r="W1318" s="40"/>
      <c r="X1318" s="40"/>
      <c r="Y1318" s="40"/>
      <c r="Z1318" s="40"/>
      <c r="AA1318" s="40"/>
      <c r="AB1318" s="40"/>
      <c r="AC1318" s="40"/>
      <c r="AD1318" s="40"/>
      <c r="AE1318" s="23"/>
    </row>
    <row r="1319" spans="1:31">
      <c r="A1319" s="23"/>
      <c r="B1319" s="40"/>
      <c r="C1319" s="40"/>
      <c r="D1319" s="23"/>
      <c r="E1319" s="23"/>
      <c r="F1319" s="23"/>
      <c r="G1319" s="40"/>
      <c r="H1319" s="40"/>
      <c r="I1319" s="40"/>
      <c r="J1319" s="70"/>
      <c r="K1319" s="40"/>
      <c r="L1319" s="70"/>
      <c r="M1319" s="70"/>
      <c r="N1319" s="40"/>
      <c r="O1319" s="40"/>
      <c r="P1319" s="40"/>
      <c r="Q1319" s="40"/>
      <c r="R1319" s="72"/>
      <c r="S1319" s="40"/>
      <c r="T1319" s="40"/>
      <c r="U1319" s="40"/>
      <c r="V1319" s="40"/>
      <c r="W1319" s="40"/>
      <c r="X1319" s="40"/>
      <c r="Y1319" s="40"/>
      <c r="Z1319" s="40"/>
      <c r="AA1319" s="40"/>
      <c r="AB1319" s="40"/>
      <c r="AC1319" s="40"/>
      <c r="AD1319" s="40"/>
      <c r="AE1319" s="23"/>
    </row>
    <row r="1320" spans="1:31">
      <c r="A1320" s="23"/>
      <c r="B1320" s="40"/>
      <c r="C1320" s="40"/>
      <c r="D1320" s="23"/>
      <c r="E1320" s="23"/>
      <c r="F1320" s="23"/>
      <c r="G1320" s="40"/>
      <c r="H1320" s="40"/>
      <c r="I1320" s="40"/>
      <c r="J1320" s="70"/>
      <c r="K1320" s="40"/>
      <c r="L1320" s="70"/>
      <c r="M1320" s="70"/>
      <c r="N1320" s="40"/>
      <c r="O1320" s="40"/>
      <c r="P1320" s="40"/>
      <c r="Q1320" s="40"/>
      <c r="R1320" s="72"/>
      <c r="S1320" s="40"/>
      <c r="T1320" s="40"/>
      <c r="U1320" s="40"/>
      <c r="V1320" s="40"/>
      <c r="W1320" s="40"/>
      <c r="X1320" s="40"/>
      <c r="Y1320" s="40"/>
      <c r="Z1320" s="40"/>
      <c r="AA1320" s="40"/>
      <c r="AB1320" s="40"/>
      <c r="AC1320" s="40"/>
      <c r="AD1320" s="40"/>
      <c r="AE1320" s="23"/>
    </row>
    <row r="1321" spans="1:31">
      <c r="A1321" s="23"/>
      <c r="B1321" s="40"/>
      <c r="C1321" s="40"/>
      <c r="D1321" s="23"/>
      <c r="E1321" s="23"/>
      <c r="F1321" s="23"/>
      <c r="G1321" s="40"/>
      <c r="H1321" s="40"/>
      <c r="I1321" s="40"/>
      <c r="J1321" s="70"/>
      <c r="K1321" s="40"/>
      <c r="L1321" s="70"/>
      <c r="M1321" s="70"/>
      <c r="N1321" s="40"/>
      <c r="O1321" s="40"/>
      <c r="P1321" s="40"/>
      <c r="Q1321" s="40"/>
      <c r="R1321" s="72"/>
      <c r="S1321" s="40"/>
      <c r="T1321" s="40"/>
      <c r="U1321" s="40"/>
      <c r="V1321" s="40"/>
      <c r="W1321" s="40"/>
      <c r="X1321" s="40"/>
      <c r="Y1321" s="40"/>
      <c r="Z1321" s="40"/>
      <c r="AA1321" s="40"/>
      <c r="AB1321" s="40"/>
      <c r="AC1321" s="40"/>
      <c r="AD1321" s="40"/>
      <c r="AE1321" s="23"/>
    </row>
    <row r="1322" spans="1:31" ht="24" customHeight="1">
      <c r="A1322" s="23"/>
      <c r="B1322" s="40"/>
      <c r="C1322" s="40"/>
      <c r="D1322" s="23"/>
      <c r="E1322" s="23"/>
      <c r="F1322" s="23"/>
      <c r="G1322" s="40"/>
      <c r="H1322" s="40"/>
      <c r="I1322" s="40"/>
      <c r="J1322" s="70"/>
      <c r="K1322" s="40"/>
      <c r="L1322" s="70"/>
      <c r="M1322" s="70"/>
      <c r="N1322" s="40"/>
      <c r="O1322" s="40"/>
      <c r="P1322" s="40"/>
      <c r="Q1322" s="40"/>
      <c r="R1322" s="72"/>
      <c r="S1322" s="40"/>
      <c r="T1322" s="40"/>
      <c r="U1322" s="40"/>
      <c r="V1322" s="40"/>
      <c r="W1322" s="40"/>
      <c r="X1322" s="40"/>
      <c r="Y1322" s="40"/>
      <c r="Z1322" s="40"/>
      <c r="AA1322" s="40"/>
      <c r="AB1322" s="40"/>
      <c r="AC1322" s="40"/>
      <c r="AD1322" s="40"/>
      <c r="AE1322" s="23"/>
    </row>
    <row r="1323" spans="1:31">
      <c r="A1323" s="23"/>
      <c r="B1323" s="40"/>
      <c r="C1323" s="40"/>
      <c r="D1323" s="23"/>
      <c r="E1323" s="23"/>
      <c r="F1323" s="23"/>
      <c r="G1323" s="40"/>
      <c r="H1323" s="40"/>
      <c r="I1323" s="40"/>
      <c r="J1323" s="70"/>
      <c r="K1323" s="40"/>
      <c r="L1323" s="70"/>
      <c r="M1323" s="70"/>
      <c r="N1323" s="40"/>
      <c r="O1323" s="40"/>
      <c r="P1323" s="40"/>
      <c r="Q1323" s="40"/>
      <c r="R1323" s="72"/>
      <c r="S1323" s="40"/>
      <c r="T1323" s="40"/>
      <c r="U1323" s="40"/>
      <c r="V1323" s="40"/>
      <c r="W1323" s="40"/>
      <c r="X1323" s="40"/>
      <c r="Y1323" s="40"/>
      <c r="Z1323" s="40"/>
      <c r="AA1323" s="40"/>
      <c r="AB1323" s="40"/>
      <c r="AC1323" s="40"/>
      <c r="AD1323" s="40"/>
      <c r="AE1323" s="23"/>
    </row>
    <row r="1324" spans="1:31">
      <c r="A1324" s="23"/>
      <c r="B1324" s="40"/>
      <c r="C1324" s="40"/>
      <c r="D1324" s="23"/>
      <c r="E1324" s="23"/>
      <c r="F1324" s="23"/>
      <c r="G1324" s="40"/>
      <c r="H1324" s="40"/>
      <c r="I1324" s="40"/>
      <c r="J1324" s="70"/>
      <c r="K1324" s="40"/>
      <c r="L1324" s="70"/>
      <c r="M1324" s="70"/>
      <c r="N1324" s="40"/>
      <c r="O1324" s="40"/>
      <c r="P1324" s="40"/>
      <c r="Q1324" s="40"/>
      <c r="R1324" s="72"/>
      <c r="S1324" s="40"/>
      <c r="T1324" s="40"/>
      <c r="U1324" s="40"/>
      <c r="V1324" s="40"/>
      <c r="W1324" s="40"/>
      <c r="X1324" s="40"/>
      <c r="Y1324" s="40"/>
      <c r="Z1324" s="40"/>
      <c r="AA1324" s="40"/>
      <c r="AB1324" s="40"/>
      <c r="AC1324" s="40"/>
      <c r="AD1324" s="40"/>
      <c r="AE1324" s="23"/>
    </row>
    <row r="1325" spans="1:31">
      <c r="A1325" s="23"/>
      <c r="B1325" s="40"/>
      <c r="C1325" s="40"/>
      <c r="D1325" s="23"/>
      <c r="E1325" s="23"/>
      <c r="F1325" s="23"/>
      <c r="G1325" s="40"/>
      <c r="H1325" s="40"/>
      <c r="I1325" s="40"/>
      <c r="J1325" s="70"/>
      <c r="K1325" s="40"/>
      <c r="L1325" s="70"/>
      <c r="M1325" s="70"/>
      <c r="N1325" s="40"/>
      <c r="O1325" s="40"/>
      <c r="P1325" s="40"/>
      <c r="Q1325" s="40"/>
      <c r="R1325" s="72"/>
      <c r="S1325" s="40"/>
      <c r="T1325" s="40"/>
      <c r="U1325" s="40"/>
      <c r="V1325" s="40"/>
      <c r="W1325" s="40"/>
      <c r="X1325" s="40"/>
      <c r="Y1325" s="40"/>
      <c r="Z1325" s="40"/>
      <c r="AA1325" s="40"/>
      <c r="AB1325" s="40"/>
      <c r="AC1325" s="40"/>
      <c r="AD1325" s="40"/>
      <c r="AE1325" s="23"/>
    </row>
    <row r="1326" spans="1:31">
      <c r="A1326" s="23"/>
      <c r="B1326" s="40"/>
      <c r="C1326" s="40"/>
      <c r="D1326" s="23"/>
      <c r="E1326" s="23"/>
      <c r="F1326" s="23"/>
      <c r="G1326" s="40"/>
      <c r="H1326" s="40"/>
      <c r="I1326" s="40"/>
      <c r="J1326" s="70"/>
      <c r="K1326" s="40"/>
      <c r="L1326" s="70"/>
      <c r="M1326" s="70"/>
      <c r="N1326" s="40"/>
      <c r="O1326" s="40"/>
      <c r="P1326" s="40"/>
      <c r="Q1326" s="40"/>
      <c r="R1326" s="72"/>
      <c r="S1326" s="40"/>
      <c r="T1326" s="40"/>
      <c r="U1326" s="40"/>
      <c r="V1326" s="40"/>
      <c r="W1326" s="40"/>
      <c r="X1326" s="40"/>
      <c r="Y1326" s="40"/>
      <c r="Z1326" s="40"/>
      <c r="AA1326" s="40"/>
      <c r="AB1326" s="40"/>
      <c r="AC1326" s="40"/>
      <c r="AD1326" s="40"/>
      <c r="AE1326" s="23"/>
    </row>
    <row r="1327" spans="1:31" ht="24" customHeight="1">
      <c r="A1327" s="23"/>
      <c r="B1327" s="40"/>
      <c r="C1327" s="40"/>
      <c r="D1327" s="23"/>
      <c r="E1327" s="23"/>
      <c r="F1327" s="23"/>
      <c r="G1327" s="40"/>
      <c r="H1327" s="40"/>
      <c r="I1327" s="40"/>
      <c r="J1327" s="70"/>
      <c r="K1327" s="40"/>
      <c r="L1327" s="70"/>
      <c r="M1327" s="70"/>
      <c r="N1327" s="40"/>
      <c r="O1327" s="40"/>
      <c r="P1327" s="40"/>
      <c r="Q1327" s="40"/>
      <c r="R1327" s="72"/>
      <c r="S1327" s="40"/>
      <c r="T1327" s="40"/>
      <c r="U1327" s="40"/>
      <c r="V1327" s="40"/>
      <c r="W1327" s="40"/>
      <c r="X1327" s="40"/>
      <c r="Y1327" s="40"/>
      <c r="Z1327" s="40"/>
      <c r="AA1327" s="40"/>
      <c r="AB1327" s="40"/>
      <c r="AC1327" s="40"/>
      <c r="AD1327" s="40"/>
      <c r="AE1327" s="23"/>
    </row>
    <row r="1328" spans="1:31">
      <c r="A1328" s="23"/>
      <c r="B1328" s="40"/>
      <c r="C1328" s="40"/>
      <c r="D1328" s="23"/>
      <c r="E1328" s="23"/>
      <c r="F1328" s="23"/>
      <c r="G1328" s="40"/>
      <c r="H1328" s="40"/>
      <c r="I1328" s="40"/>
      <c r="J1328" s="70"/>
      <c r="K1328" s="40"/>
      <c r="L1328" s="70"/>
      <c r="M1328" s="70"/>
      <c r="N1328" s="40"/>
      <c r="O1328" s="40"/>
      <c r="P1328" s="40"/>
      <c r="Q1328" s="40"/>
      <c r="R1328" s="72"/>
      <c r="S1328" s="40"/>
      <c r="T1328" s="40"/>
      <c r="U1328" s="40"/>
      <c r="V1328" s="40"/>
      <c r="W1328" s="40"/>
      <c r="X1328" s="40"/>
      <c r="Y1328" s="40"/>
      <c r="Z1328" s="40"/>
      <c r="AA1328" s="40"/>
      <c r="AB1328" s="40"/>
      <c r="AC1328" s="40"/>
      <c r="AD1328" s="40"/>
      <c r="AE1328" s="23"/>
    </row>
    <row r="1329" spans="1:31">
      <c r="A1329" s="23"/>
      <c r="B1329" s="40"/>
      <c r="C1329" s="40"/>
      <c r="D1329" s="23"/>
      <c r="E1329" s="23"/>
      <c r="F1329" s="23"/>
      <c r="G1329" s="40"/>
      <c r="H1329" s="40"/>
      <c r="I1329" s="40"/>
      <c r="J1329" s="70"/>
      <c r="K1329" s="40"/>
      <c r="L1329" s="70"/>
      <c r="M1329" s="70"/>
      <c r="N1329" s="40"/>
      <c r="O1329" s="40"/>
      <c r="P1329" s="40"/>
      <c r="Q1329" s="40"/>
      <c r="R1329" s="72"/>
      <c r="S1329" s="40"/>
      <c r="T1329" s="40"/>
      <c r="U1329" s="40"/>
      <c r="V1329" s="40"/>
      <c r="W1329" s="40"/>
      <c r="X1329" s="40"/>
      <c r="Y1329" s="40"/>
      <c r="Z1329" s="40"/>
      <c r="AA1329" s="40"/>
      <c r="AB1329" s="40"/>
      <c r="AC1329" s="40"/>
      <c r="AD1329" s="40"/>
      <c r="AE1329" s="23"/>
    </row>
    <row r="1330" spans="1:31">
      <c r="A1330" s="23"/>
      <c r="B1330" s="40"/>
      <c r="C1330" s="40"/>
      <c r="D1330" s="23"/>
      <c r="E1330" s="23"/>
      <c r="F1330" s="23"/>
      <c r="G1330" s="40"/>
      <c r="H1330" s="40"/>
      <c r="I1330" s="40"/>
      <c r="J1330" s="70"/>
      <c r="K1330" s="40"/>
      <c r="L1330" s="70"/>
      <c r="M1330" s="70"/>
      <c r="N1330" s="40"/>
      <c r="O1330" s="40"/>
      <c r="P1330" s="40"/>
      <c r="Q1330" s="40"/>
      <c r="R1330" s="72"/>
      <c r="S1330" s="40"/>
      <c r="T1330" s="40"/>
      <c r="U1330" s="40"/>
      <c r="V1330" s="40"/>
      <c r="W1330" s="40"/>
      <c r="X1330" s="40"/>
      <c r="Y1330" s="40"/>
      <c r="Z1330" s="40"/>
      <c r="AA1330" s="40"/>
      <c r="AB1330" s="40"/>
      <c r="AC1330" s="40"/>
      <c r="AD1330" s="40"/>
      <c r="AE1330" s="23"/>
    </row>
    <row r="1331" spans="1:31">
      <c r="A1331" s="23"/>
      <c r="B1331" s="40"/>
      <c r="C1331" s="40"/>
      <c r="D1331" s="23"/>
      <c r="E1331" s="23"/>
      <c r="F1331" s="23"/>
      <c r="G1331" s="40"/>
      <c r="H1331" s="40"/>
      <c r="I1331" s="40"/>
      <c r="J1331" s="70"/>
      <c r="K1331" s="40"/>
      <c r="L1331" s="70"/>
      <c r="M1331" s="70"/>
      <c r="N1331" s="40"/>
      <c r="O1331" s="40"/>
      <c r="P1331" s="40"/>
      <c r="Q1331" s="40"/>
      <c r="R1331" s="72"/>
      <c r="S1331" s="40"/>
      <c r="T1331" s="40"/>
      <c r="U1331" s="40"/>
      <c r="V1331" s="40"/>
      <c r="W1331" s="40"/>
      <c r="X1331" s="40"/>
      <c r="Y1331" s="40"/>
      <c r="Z1331" s="40"/>
      <c r="AA1331" s="40"/>
      <c r="AB1331" s="40"/>
      <c r="AC1331" s="40"/>
      <c r="AD1331" s="40"/>
      <c r="AE1331" s="23"/>
    </row>
    <row r="1332" spans="1:31">
      <c r="A1332" s="23"/>
      <c r="B1332" s="40"/>
      <c r="C1332" s="40"/>
      <c r="D1332" s="23"/>
      <c r="E1332" s="23"/>
      <c r="F1332" s="23"/>
      <c r="G1332" s="40"/>
      <c r="H1332" s="40"/>
      <c r="I1332" s="40"/>
      <c r="J1332" s="70"/>
      <c r="K1332" s="40"/>
      <c r="L1332" s="70"/>
      <c r="M1332" s="70"/>
      <c r="N1332" s="40"/>
      <c r="O1332" s="40"/>
      <c r="P1332" s="40"/>
      <c r="Q1332" s="40"/>
      <c r="R1332" s="72"/>
      <c r="S1332" s="40"/>
      <c r="T1332" s="40"/>
      <c r="U1332" s="40"/>
      <c r="V1332" s="40"/>
      <c r="W1332" s="40"/>
      <c r="X1332" s="40"/>
      <c r="Y1332" s="40"/>
      <c r="Z1332" s="40"/>
      <c r="AA1332" s="40"/>
      <c r="AB1332" s="40"/>
      <c r="AC1332" s="40"/>
      <c r="AD1332" s="40"/>
      <c r="AE1332" s="23"/>
    </row>
    <row r="1333" spans="1:31">
      <c r="A1333" s="23"/>
      <c r="B1333" s="40"/>
      <c r="C1333" s="40"/>
      <c r="D1333" s="23"/>
      <c r="E1333" s="23"/>
      <c r="F1333" s="23"/>
      <c r="G1333" s="40"/>
      <c r="H1333" s="40"/>
      <c r="I1333" s="40"/>
      <c r="J1333" s="70"/>
      <c r="K1333" s="40"/>
      <c r="L1333" s="70"/>
      <c r="M1333" s="70"/>
      <c r="N1333" s="40"/>
      <c r="O1333" s="40"/>
      <c r="P1333" s="40"/>
      <c r="Q1333" s="40"/>
      <c r="R1333" s="72"/>
      <c r="S1333" s="40"/>
      <c r="T1333" s="40"/>
      <c r="U1333" s="40"/>
      <c r="V1333" s="40"/>
      <c r="W1333" s="40"/>
      <c r="X1333" s="40"/>
      <c r="Y1333" s="40"/>
      <c r="Z1333" s="40"/>
      <c r="AA1333" s="40"/>
      <c r="AB1333" s="40"/>
      <c r="AC1333" s="40"/>
      <c r="AD1333" s="40"/>
      <c r="AE1333" s="23"/>
    </row>
    <row r="1334" spans="1:31">
      <c r="A1334" s="23"/>
      <c r="B1334" s="40"/>
      <c r="C1334" s="40"/>
      <c r="D1334" s="23"/>
      <c r="E1334" s="23"/>
      <c r="F1334" s="23"/>
      <c r="G1334" s="40"/>
      <c r="H1334" s="40"/>
      <c r="I1334" s="40"/>
      <c r="J1334" s="70"/>
      <c r="K1334" s="40"/>
      <c r="L1334" s="70"/>
      <c r="M1334" s="70"/>
      <c r="N1334" s="40"/>
      <c r="O1334" s="40"/>
      <c r="P1334" s="40"/>
      <c r="Q1334" s="40"/>
      <c r="R1334" s="72"/>
      <c r="S1334" s="40"/>
      <c r="T1334" s="40"/>
      <c r="U1334" s="40"/>
      <c r="V1334" s="40"/>
      <c r="W1334" s="40"/>
      <c r="X1334" s="40"/>
      <c r="Y1334" s="40"/>
      <c r="Z1334" s="40"/>
      <c r="AA1334" s="40"/>
      <c r="AB1334" s="40"/>
      <c r="AC1334" s="40"/>
      <c r="AD1334" s="40"/>
      <c r="AE1334" s="23"/>
    </row>
    <row r="1335" spans="1:31">
      <c r="A1335" s="23"/>
      <c r="B1335" s="40"/>
      <c r="C1335" s="40"/>
      <c r="D1335" s="23"/>
      <c r="E1335" s="23"/>
      <c r="F1335" s="23"/>
      <c r="G1335" s="40"/>
      <c r="H1335" s="40"/>
      <c r="I1335" s="40"/>
      <c r="J1335" s="70"/>
      <c r="K1335" s="40"/>
      <c r="L1335" s="70"/>
      <c r="M1335" s="70"/>
      <c r="N1335" s="40"/>
      <c r="O1335" s="40"/>
      <c r="P1335" s="40"/>
      <c r="Q1335" s="40"/>
      <c r="R1335" s="72"/>
      <c r="S1335" s="40"/>
      <c r="T1335" s="40"/>
      <c r="U1335" s="40"/>
      <c r="V1335" s="40"/>
      <c r="W1335" s="40"/>
      <c r="X1335" s="40"/>
      <c r="Y1335" s="40"/>
      <c r="Z1335" s="40"/>
      <c r="AA1335" s="40"/>
      <c r="AB1335" s="40"/>
      <c r="AC1335" s="40"/>
      <c r="AD1335" s="40"/>
      <c r="AE1335" s="23"/>
    </row>
    <row r="1336" spans="1:31">
      <c r="A1336" s="23"/>
      <c r="B1336" s="40"/>
      <c r="C1336" s="40"/>
      <c r="D1336" s="23"/>
      <c r="E1336" s="23"/>
      <c r="F1336" s="23"/>
      <c r="G1336" s="40"/>
      <c r="H1336" s="40"/>
      <c r="I1336" s="40"/>
      <c r="J1336" s="70"/>
      <c r="K1336" s="40"/>
      <c r="L1336" s="70"/>
      <c r="M1336" s="70"/>
      <c r="N1336" s="40"/>
      <c r="O1336" s="40"/>
      <c r="P1336" s="40"/>
      <c r="Q1336" s="40"/>
      <c r="R1336" s="72"/>
      <c r="S1336" s="40"/>
      <c r="T1336" s="40"/>
      <c r="U1336" s="40"/>
      <c r="V1336" s="40"/>
      <c r="W1336" s="40"/>
      <c r="X1336" s="40"/>
      <c r="Y1336" s="40"/>
      <c r="Z1336" s="40"/>
      <c r="AA1336" s="40"/>
      <c r="AB1336" s="40"/>
      <c r="AC1336" s="40"/>
      <c r="AD1336" s="40"/>
      <c r="AE1336" s="23"/>
    </row>
    <row r="1337" spans="1:31">
      <c r="A1337" s="23"/>
      <c r="B1337" s="40"/>
      <c r="C1337" s="40"/>
      <c r="D1337" s="23"/>
      <c r="E1337" s="23"/>
      <c r="F1337" s="23"/>
      <c r="G1337" s="40"/>
      <c r="H1337" s="40"/>
      <c r="I1337" s="40"/>
      <c r="J1337" s="70"/>
      <c r="K1337" s="40"/>
      <c r="L1337" s="70"/>
      <c r="M1337" s="70"/>
      <c r="N1337" s="40"/>
      <c r="O1337" s="40"/>
      <c r="P1337" s="40"/>
      <c r="Q1337" s="40"/>
      <c r="R1337" s="72"/>
      <c r="S1337" s="40"/>
      <c r="T1337" s="40"/>
      <c r="U1337" s="40"/>
      <c r="V1337" s="40"/>
      <c r="W1337" s="40"/>
      <c r="X1337" s="40"/>
      <c r="Y1337" s="40"/>
      <c r="Z1337" s="40"/>
      <c r="AA1337" s="40"/>
      <c r="AB1337" s="40"/>
      <c r="AC1337" s="40"/>
      <c r="AD1337" s="40"/>
      <c r="AE1337" s="23"/>
    </row>
    <row r="1338" spans="1:31">
      <c r="A1338" s="23"/>
      <c r="B1338" s="40"/>
      <c r="C1338" s="40"/>
      <c r="D1338" s="23"/>
      <c r="E1338" s="23"/>
      <c r="F1338" s="23"/>
      <c r="G1338" s="40"/>
      <c r="H1338" s="40"/>
      <c r="I1338" s="40"/>
      <c r="J1338" s="70"/>
      <c r="K1338" s="40"/>
      <c r="L1338" s="70"/>
      <c r="M1338" s="70"/>
      <c r="N1338" s="40"/>
      <c r="O1338" s="40"/>
      <c r="P1338" s="40"/>
      <c r="Q1338" s="40"/>
      <c r="R1338" s="72"/>
      <c r="S1338" s="40"/>
      <c r="T1338" s="40"/>
      <c r="U1338" s="40"/>
      <c r="V1338" s="40"/>
      <c r="W1338" s="40"/>
      <c r="X1338" s="40"/>
      <c r="Y1338" s="40"/>
      <c r="Z1338" s="40"/>
      <c r="AA1338" s="40"/>
      <c r="AB1338" s="40"/>
      <c r="AC1338" s="40"/>
      <c r="AD1338" s="40"/>
      <c r="AE1338" s="23"/>
    </row>
    <row r="1339" spans="1:31">
      <c r="A1339" s="23"/>
      <c r="B1339" s="40"/>
      <c r="C1339" s="40"/>
      <c r="D1339" s="23"/>
      <c r="E1339" s="23"/>
      <c r="F1339" s="23"/>
      <c r="G1339" s="40"/>
      <c r="H1339" s="40"/>
      <c r="I1339" s="40"/>
      <c r="J1339" s="70"/>
      <c r="K1339" s="40"/>
      <c r="L1339" s="70"/>
      <c r="M1339" s="70"/>
      <c r="N1339" s="40"/>
      <c r="O1339" s="40"/>
      <c r="P1339" s="40"/>
      <c r="Q1339" s="40"/>
      <c r="R1339" s="72"/>
      <c r="S1339" s="40"/>
      <c r="T1339" s="40"/>
      <c r="U1339" s="40"/>
      <c r="V1339" s="40"/>
      <c r="W1339" s="40"/>
      <c r="X1339" s="40"/>
      <c r="Y1339" s="40"/>
      <c r="Z1339" s="40"/>
      <c r="AA1339" s="40"/>
      <c r="AB1339" s="40"/>
      <c r="AC1339" s="40"/>
      <c r="AD1339" s="40"/>
      <c r="AE1339" s="23"/>
    </row>
    <row r="1340" spans="1:31">
      <c r="A1340" s="23"/>
      <c r="B1340" s="40"/>
      <c r="C1340" s="40"/>
      <c r="D1340" s="23"/>
      <c r="E1340" s="23"/>
      <c r="F1340" s="23"/>
      <c r="G1340" s="40"/>
      <c r="H1340" s="40"/>
      <c r="I1340" s="40"/>
      <c r="J1340" s="70"/>
      <c r="K1340" s="40"/>
      <c r="L1340" s="70"/>
      <c r="M1340" s="70"/>
      <c r="N1340" s="40"/>
      <c r="O1340" s="40"/>
      <c r="P1340" s="40"/>
      <c r="Q1340" s="40"/>
      <c r="R1340" s="72"/>
      <c r="S1340" s="40"/>
      <c r="T1340" s="40"/>
      <c r="U1340" s="40"/>
      <c r="V1340" s="40"/>
      <c r="W1340" s="40"/>
      <c r="X1340" s="40"/>
      <c r="Y1340" s="40"/>
      <c r="Z1340" s="40"/>
      <c r="AA1340" s="40"/>
      <c r="AB1340" s="40"/>
      <c r="AC1340" s="40"/>
      <c r="AD1340" s="40"/>
      <c r="AE1340" s="23"/>
    </row>
    <row r="1341" spans="1:31" ht="24" customHeight="1">
      <c r="A1341" s="23"/>
      <c r="B1341" s="40"/>
      <c r="C1341" s="40"/>
      <c r="D1341" s="23"/>
      <c r="E1341" s="23"/>
      <c r="F1341" s="23"/>
      <c r="G1341" s="40"/>
      <c r="H1341" s="40"/>
      <c r="I1341" s="40"/>
      <c r="J1341" s="70"/>
      <c r="K1341" s="40"/>
      <c r="L1341" s="70"/>
      <c r="M1341" s="70"/>
      <c r="N1341" s="40"/>
      <c r="O1341" s="40"/>
      <c r="P1341" s="40"/>
      <c r="Q1341" s="40"/>
      <c r="R1341" s="72"/>
      <c r="S1341" s="40"/>
      <c r="T1341" s="40"/>
      <c r="U1341" s="40"/>
      <c r="V1341" s="40"/>
      <c r="W1341" s="40"/>
      <c r="X1341" s="40"/>
      <c r="Y1341" s="40"/>
      <c r="Z1341" s="40"/>
      <c r="AA1341" s="40"/>
      <c r="AB1341" s="40"/>
      <c r="AC1341" s="40"/>
      <c r="AD1341" s="40"/>
      <c r="AE1341" s="23"/>
    </row>
    <row r="1342" spans="1:31">
      <c r="A1342" s="23"/>
      <c r="B1342" s="40"/>
      <c r="C1342" s="40"/>
      <c r="D1342" s="23"/>
      <c r="E1342" s="23"/>
      <c r="F1342" s="23"/>
      <c r="G1342" s="40"/>
      <c r="H1342" s="40"/>
      <c r="I1342" s="40"/>
      <c r="J1342" s="70"/>
      <c r="K1342" s="40"/>
      <c r="L1342" s="70"/>
      <c r="M1342" s="70"/>
      <c r="N1342" s="40"/>
      <c r="O1342" s="70"/>
      <c r="P1342" s="23"/>
      <c r="Q1342" s="23"/>
      <c r="R1342" s="72"/>
      <c r="S1342" s="23"/>
      <c r="T1342" s="23"/>
      <c r="U1342" s="23"/>
      <c r="V1342" s="23"/>
      <c r="W1342" s="23"/>
      <c r="X1342" s="23"/>
      <c r="Y1342" s="23"/>
      <c r="Z1342" s="23"/>
      <c r="AA1342" s="23"/>
      <c r="AB1342" s="23"/>
      <c r="AC1342" s="23"/>
      <c r="AD1342" s="23"/>
      <c r="AE1342" s="23"/>
    </row>
    <row r="1343" spans="1:31">
      <c r="A1343" s="23"/>
      <c r="B1343" s="40"/>
      <c r="C1343" s="40"/>
      <c r="D1343" s="23"/>
      <c r="E1343" s="23"/>
      <c r="F1343" s="23"/>
      <c r="G1343" s="40"/>
      <c r="H1343" s="40"/>
      <c r="I1343" s="40"/>
      <c r="J1343" s="70"/>
      <c r="K1343" s="40"/>
      <c r="L1343" s="70"/>
      <c r="M1343" s="70"/>
      <c r="N1343" s="40"/>
      <c r="O1343" s="70"/>
      <c r="P1343" s="23"/>
      <c r="Q1343" s="23"/>
      <c r="R1343" s="72"/>
      <c r="S1343" s="23"/>
      <c r="T1343" s="23"/>
      <c r="U1343" s="23"/>
      <c r="V1343" s="23"/>
      <c r="W1343" s="23"/>
      <c r="X1343" s="23"/>
      <c r="Y1343" s="23"/>
      <c r="Z1343" s="23"/>
      <c r="AA1343" s="23"/>
      <c r="AB1343" s="23"/>
      <c r="AC1343" s="23"/>
      <c r="AD1343" s="23"/>
      <c r="AE1343" s="23"/>
    </row>
    <row r="1344" spans="1:31">
      <c r="A1344" s="23"/>
      <c r="B1344" s="40"/>
      <c r="C1344" s="40"/>
      <c r="D1344" s="23"/>
      <c r="E1344" s="23"/>
      <c r="F1344" s="23"/>
      <c r="G1344" s="40"/>
      <c r="H1344" s="40"/>
      <c r="I1344" s="40"/>
      <c r="J1344" s="70"/>
      <c r="K1344" s="40"/>
      <c r="L1344" s="70"/>
      <c r="M1344" s="70"/>
      <c r="N1344" s="40"/>
      <c r="O1344" s="70"/>
      <c r="P1344" s="23"/>
      <c r="Q1344" s="23"/>
      <c r="R1344" s="72"/>
      <c r="S1344" s="23"/>
      <c r="T1344" s="23"/>
      <c r="U1344" s="23"/>
      <c r="V1344" s="23"/>
      <c r="W1344" s="23"/>
      <c r="X1344" s="23"/>
      <c r="Y1344" s="23"/>
      <c r="Z1344" s="23"/>
      <c r="AA1344" s="23"/>
      <c r="AB1344" s="23"/>
      <c r="AC1344" s="23"/>
      <c r="AD1344" s="23"/>
      <c r="AE1344" s="23"/>
    </row>
    <row r="1345" spans="1:31">
      <c r="A1345" s="23"/>
      <c r="B1345" s="40"/>
      <c r="C1345" s="40"/>
      <c r="D1345" s="23"/>
      <c r="E1345" s="23"/>
      <c r="F1345" s="23"/>
      <c r="G1345" s="40"/>
      <c r="H1345" s="40"/>
      <c r="I1345" s="40"/>
      <c r="J1345" s="70"/>
      <c r="K1345" s="40"/>
      <c r="L1345" s="70"/>
      <c r="M1345" s="70"/>
      <c r="N1345" s="40"/>
      <c r="O1345" s="70"/>
      <c r="P1345" s="23"/>
      <c r="Q1345" s="23"/>
      <c r="R1345" s="72"/>
      <c r="S1345" s="23"/>
      <c r="T1345" s="23"/>
      <c r="U1345" s="23"/>
      <c r="V1345" s="23"/>
      <c r="W1345" s="23"/>
      <c r="X1345" s="23"/>
      <c r="Y1345" s="23"/>
      <c r="Z1345" s="23"/>
      <c r="AA1345" s="23"/>
      <c r="AB1345" s="23"/>
      <c r="AC1345" s="23"/>
      <c r="AD1345" s="23"/>
      <c r="AE1345" s="23"/>
    </row>
    <row r="1346" spans="1:31" ht="24" customHeight="1">
      <c r="A1346" s="23"/>
      <c r="B1346" s="40"/>
      <c r="C1346" s="40"/>
      <c r="D1346" s="23"/>
      <c r="E1346" s="23"/>
      <c r="F1346" s="23"/>
      <c r="G1346" s="40"/>
      <c r="H1346" s="40"/>
      <c r="I1346" s="40"/>
      <c r="J1346" s="70"/>
      <c r="K1346" s="40"/>
      <c r="L1346" s="70"/>
      <c r="M1346" s="70"/>
      <c r="N1346" s="40"/>
      <c r="O1346" s="70"/>
      <c r="P1346" s="23"/>
      <c r="Q1346" s="23"/>
      <c r="R1346" s="72"/>
      <c r="S1346" s="23"/>
      <c r="T1346" s="23"/>
      <c r="U1346" s="23"/>
      <c r="V1346" s="23"/>
      <c r="W1346" s="23"/>
      <c r="X1346" s="23"/>
      <c r="Y1346" s="23"/>
      <c r="Z1346" s="23"/>
      <c r="AA1346" s="23"/>
      <c r="AB1346" s="23"/>
      <c r="AC1346" s="23"/>
      <c r="AD1346" s="23"/>
      <c r="AE1346" s="23"/>
    </row>
    <row r="1347" spans="1:31">
      <c r="A1347" s="23"/>
      <c r="B1347" s="40"/>
      <c r="C1347" s="40"/>
      <c r="D1347" s="23"/>
      <c r="E1347" s="23"/>
      <c r="F1347" s="23"/>
      <c r="G1347" s="40"/>
      <c r="H1347" s="40"/>
      <c r="I1347" s="40"/>
      <c r="J1347" s="70"/>
      <c r="K1347" s="40"/>
      <c r="L1347" s="70"/>
      <c r="M1347" s="70"/>
      <c r="N1347" s="40"/>
      <c r="O1347" s="70"/>
      <c r="P1347" s="23"/>
      <c r="Q1347" s="23"/>
      <c r="R1347" s="72"/>
      <c r="S1347" s="23"/>
      <c r="T1347" s="23"/>
      <c r="U1347" s="23"/>
      <c r="V1347" s="23"/>
      <c r="W1347" s="23"/>
      <c r="X1347" s="23"/>
      <c r="Y1347" s="23"/>
      <c r="Z1347" s="23"/>
      <c r="AA1347" s="23"/>
      <c r="AB1347" s="23"/>
      <c r="AC1347" s="23"/>
      <c r="AD1347" s="23"/>
      <c r="AE1347" s="23"/>
    </row>
    <row r="1348" spans="1:31">
      <c r="A1348" s="23"/>
      <c r="B1348" s="40"/>
      <c r="C1348" s="40"/>
      <c r="D1348" s="23"/>
      <c r="E1348" s="23"/>
      <c r="F1348" s="23"/>
      <c r="G1348" s="40"/>
      <c r="H1348" s="40"/>
      <c r="I1348" s="40"/>
      <c r="J1348" s="70"/>
      <c r="K1348" s="40"/>
      <c r="L1348" s="70"/>
      <c r="M1348" s="70"/>
      <c r="N1348" s="40"/>
      <c r="O1348" s="70"/>
      <c r="P1348" s="23"/>
      <c r="Q1348" s="23"/>
      <c r="R1348" s="72"/>
      <c r="S1348" s="23"/>
      <c r="T1348" s="23"/>
      <c r="U1348" s="23"/>
      <c r="V1348" s="23"/>
      <c r="W1348" s="23"/>
      <c r="X1348" s="23"/>
      <c r="Y1348" s="23"/>
      <c r="Z1348" s="23"/>
      <c r="AA1348" s="23"/>
      <c r="AB1348" s="23"/>
      <c r="AC1348" s="23"/>
      <c r="AD1348" s="23"/>
      <c r="AE1348" s="23"/>
    </row>
    <row r="1349" spans="1:31">
      <c r="A1349" s="23"/>
      <c r="B1349" s="40"/>
      <c r="C1349" s="40"/>
      <c r="D1349" s="23"/>
      <c r="E1349" s="23"/>
      <c r="F1349" s="23"/>
      <c r="G1349" s="40"/>
      <c r="H1349" s="40"/>
      <c r="I1349" s="40"/>
      <c r="J1349" s="70"/>
      <c r="K1349" s="40"/>
      <c r="L1349" s="70"/>
      <c r="M1349" s="70"/>
      <c r="N1349" s="40"/>
      <c r="O1349" s="70"/>
      <c r="P1349" s="23"/>
      <c r="Q1349" s="23"/>
      <c r="R1349" s="72"/>
      <c r="S1349" s="23"/>
      <c r="T1349" s="23"/>
      <c r="U1349" s="23"/>
      <c r="V1349" s="23"/>
      <c r="W1349" s="23"/>
      <c r="X1349" s="23"/>
      <c r="Y1349" s="23"/>
      <c r="Z1349" s="23"/>
      <c r="AA1349" s="23"/>
      <c r="AB1349" s="23"/>
      <c r="AC1349" s="23"/>
      <c r="AD1349" s="23"/>
      <c r="AE1349" s="23"/>
    </row>
    <row r="1350" spans="1:31">
      <c r="A1350" s="23"/>
      <c r="B1350" s="40"/>
      <c r="C1350" s="40"/>
      <c r="D1350" s="23"/>
      <c r="E1350" s="23"/>
      <c r="F1350" s="23"/>
      <c r="G1350" s="40"/>
      <c r="H1350" s="40"/>
      <c r="I1350" s="40"/>
      <c r="J1350" s="70"/>
      <c r="K1350" s="40"/>
      <c r="L1350" s="70"/>
      <c r="M1350" s="70"/>
      <c r="N1350" s="40"/>
      <c r="O1350" s="70"/>
      <c r="P1350" s="23"/>
      <c r="Q1350" s="23"/>
      <c r="R1350" s="72"/>
      <c r="S1350" s="23"/>
      <c r="T1350" s="23"/>
      <c r="U1350" s="23"/>
      <c r="V1350" s="23"/>
      <c r="W1350" s="23"/>
      <c r="X1350" s="23"/>
      <c r="Y1350" s="23"/>
      <c r="Z1350" s="23"/>
      <c r="AA1350" s="23"/>
      <c r="AB1350" s="23"/>
      <c r="AC1350" s="23"/>
      <c r="AD1350" s="23"/>
      <c r="AE1350" s="23"/>
    </row>
    <row r="1351" spans="1:31" ht="24" customHeight="1">
      <c r="A1351" s="23"/>
      <c r="B1351" s="40"/>
      <c r="C1351" s="40"/>
      <c r="D1351" s="23"/>
      <c r="E1351" s="23"/>
      <c r="F1351" s="23"/>
      <c r="G1351" s="40"/>
      <c r="H1351" s="40"/>
      <c r="I1351" s="40"/>
      <c r="J1351" s="70"/>
      <c r="K1351" s="40"/>
      <c r="L1351" s="70"/>
      <c r="M1351" s="70"/>
      <c r="N1351" s="40"/>
      <c r="O1351" s="70"/>
      <c r="P1351" s="23"/>
      <c r="Q1351" s="23"/>
      <c r="R1351" s="72"/>
      <c r="S1351" s="23"/>
      <c r="T1351" s="23"/>
      <c r="U1351" s="23"/>
      <c r="V1351" s="23"/>
      <c r="W1351" s="23"/>
      <c r="X1351" s="23"/>
      <c r="Y1351" s="23"/>
      <c r="Z1351" s="23"/>
      <c r="AA1351" s="23"/>
      <c r="AB1351" s="23"/>
      <c r="AC1351" s="23"/>
      <c r="AD1351" s="23"/>
      <c r="AE1351" s="23"/>
    </row>
    <row r="1352" spans="1:31">
      <c r="A1352" s="23"/>
      <c r="B1352" s="40"/>
      <c r="C1352" s="40"/>
      <c r="D1352" s="23"/>
      <c r="E1352" s="23"/>
      <c r="F1352" s="23"/>
      <c r="G1352" s="40"/>
      <c r="H1352" s="40"/>
      <c r="I1352" s="40"/>
      <c r="J1352" s="70"/>
      <c r="K1352" s="40"/>
      <c r="L1352" s="70"/>
      <c r="M1352" s="70"/>
      <c r="N1352" s="40"/>
      <c r="O1352" s="70"/>
      <c r="P1352" s="23"/>
      <c r="Q1352" s="23"/>
      <c r="R1352" s="72"/>
      <c r="S1352" s="23"/>
      <c r="T1352" s="23"/>
      <c r="U1352" s="23"/>
      <c r="V1352" s="23"/>
      <c r="W1352" s="23"/>
      <c r="X1352" s="23"/>
      <c r="Y1352" s="23"/>
      <c r="Z1352" s="23"/>
      <c r="AA1352" s="23"/>
      <c r="AB1352" s="23"/>
      <c r="AC1352" s="23"/>
      <c r="AD1352" s="23"/>
      <c r="AE1352" s="23"/>
    </row>
    <row r="1353" spans="1:31">
      <c r="A1353" s="23"/>
      <c r="B1353" s="40"/>
      <c r="C1353" s="40"/>
      <c r="D1353" s="23"/>
      <c r="E1353" s="23"/>
      <c r="F1353" s="23"/>
      <c r="G1353" s="40"/>
      <c r="H1353" s="40"/>
      <c r="I1353" s="40"/>
      <c r="J1353" s="70"/>
      <c r="K1353" s="40"/>
      <c r="L1353" s="70"/>
      <c r="M1353" s="70"/>
      <c r="N1353" s="40"/>
      <c r="O1353" s="70"/>
      <c r="P1353" s="23"/>
      <c r="Q1353" s="23"/>
      <c r="R1353" s="72"/>
      <c r="S1353" s="23"/>
      <c r="T1353" s="23"/>
      <c r="U1353" s="23"/>
      <c r="V1353" s="23"/>
      <c r="W1353" s="23"/>
      <c r="X1353" s="23"/>
      <c r="Y1353" s="23"/>
      <c r="Z1353" s="23"/>
      <c r="AA1353" s="23"/>
      <c r="AB1353" s="23"/>
      <c r="AC1353" s="23"/>
      <c r="AD1353" s="23"/>
      <c r="AE1353" s="23"/>
    </row>
    <row r="1354" spans="1:31">
      <c r="A1354" s="23"/>
      <c r="B1354" s="40"/>
      <c r="C1354" s="40"/>
      <c r="D1354" s="23"/>
      <c r="E1354" s="23"/>
      <c r="F1354" s="23"/>
      <c r="G1354" s="40"/>
      <c r="H1354" s="40"/>
      <c r="I1354" s="40"/>
      <c r="J1354" s="70"/>
      <c r="K1354" s="40"/>
      <c r="L1354" s="70"/>
      <c r="M1354" s="70"/>
      <c r="N1354" s="40"/>
      <c r="O1354" s="70"/>
      <c r="P1354" s="23"/>
      <c r="Q1354" s="23"/>
      <c r="R1354" s="72"/>
      <c r="S1354" s="23"/>
      <c r="T1354" s="23"/>
      <c r="U1354" s="23"/>
      <c r="V1354" s="23"/>
      <c r="W1354" s="23"/>
      <c r="X1354" s="23"/>
      <c r="Y1354" s="23"/>
      <c r="Z1354" s="23"/>
      <c r="AA1354" s="23"/>
      <c r="AB1354" s="23"/>
      <c r="AC1354" s="23"/>
      <c r="AD1354" s="23"/>
      <c r="AE1354" s="23"/>
    </row>
    <row r="1355" spans="1:31">
      <c r="A1355" s="23"/>
      <c r="B1355" s="40"/>
      <c r="C1355" s="40"/>
      <c r="D1355" s="23"/>
      <c r="E1355" s="23"/>
      <c r="F1355" s="23"/>
      <c r="G1355" s="40"/>
      <c r="H1355" s="40"/>
      <c r="I1355" s="40"/>
      <c r="J1355" s="70"/>
      <c r="K1355" s="40"/>
      <c r="L1355" s="70"/>
      <c r="M1355" s="70"/>
      <c r="N1355" s="40"/>
      <c r="O1355" s="70"/>
      <c r="P1355" s="23"/>
      <c r="Q1355" s="23"/>
      <c r="R1355" s="72"/>
      <c r="S1355" s="23"/>
      <c r="T1355" s="23"/>
      <c r="U1355" s="23"/>
      <c r="V1355" s="23"/>
      <c r="W1355" s="23"/>
      <c r="X1355" s="23"/>
      <c r="Y1355" s="23"/>
      <c r="Z1355" s="23"/>
      <c r="AA1355" s="23"/>
      <c r="AB1355" s="23"/>
      <c r="AC1355" s="23"/>
      <c r="AD1355" s="23"/>
      <c r="AE1355" s="23"/>
    </row>
    <row r="1356" spans="1:31">
      <c r="A1356" s="23"/>
      <c r="B1356" s="40"/>
      <c r="C1356" s="40"/>
      <c r="D1356" s="23"/>
      <c r="E1356" s="23"/>
      <c r="F1356" s="23"/>
      <c r="G1356" s="40"/>
      <c r="H1356" s="40"/>
      <c r="I1356" s="40"/>
      <c r="J1356" s="70"/>
      <c r="K1356" s="40"/>
      <c r="L1356" s="70"/>
      <c r="M1356" s="70"/>
      <c r="N1356" s="40"/>
      <c r="O1356" s="70"/>
      <c r="P1356" s="23"/>
      <c r="Q1356" s="23"/>
      <c r="R1356" s="72"/>
      <c r="S1356" s="23"/>
      <c r="T1356" s="23"/>
      <c r="U1356" s="23"/>
      <c r="V1356" s="23"/>
      <c r="W1356" s="23"/>
      <c r="X1356" s="23"/>
      <c r="Y1356" s="23"/>
      <c r="Z1356" s="23"/>
      <c r="AA1356" s="23"/>
      <c r="AB1356" s="23"/>
      <c r="AC1356" s="23"/>
      <c r="AD1356" s="23"/>
      <c r="AE1356" s="23"/>
    </row>
    <row r="1357" spans="1:31">
      <c r="A1357" s="23"/>
      <c r="B1357" s="40"/>
      <c r="C1357" s="40"/>
      <c r="D1357" s="23"/>
      <c r="E1357" s="23"/>
      <c r="F1357" s="23"/>
      <c r="G1357" s="40"/>
      <c r="H1357" s="40"/>
      <c r="I1357" s="40"/>
      <c r="J1357" s="70"/>
      <c r="K1357" s="40"/>
      <c r="L1357" s="70"/>
      <c r="M1357" s="70"/>
      <c r="N1357" s="40"/>
      <c r="O1357" s="70"/>
      <c r="P1357" s="23"/>
      <c r="Q1357" s="23"/>
      <c r="R1357" s="72"/>
      <c r="S1357" s="23"/>
      <c r="T1357" s="23"/>
      <c r="U1357" s="23"/>
      <c r="V1357" s="23"/>
      <c r="W1357" s="23"/>
      <c r="X1357" s="23"/>
      <c r="Y1357" s="23"/>
      <c r="Z1357" s="23"/>
      <c r="AA1357" s="23"/>
      <c r="AB1357" s="23"/>
      <c r="AC1357" s="23"/>
      <c r="AD1357" s="23"/>
      <c r="AE1357" s="23"/>
    </row>
    <row r="1358" spans="1:31">
      <c r="A1358" s="23"/>
      <c r="B1358" s="40"/>
      <c r="C1358" s="40"/>
      <c r="D1358" s="23"/>
      <c r="E1358" s="23"/>
      <c r="F1358" s="23"/>
      <c r="G1358" s="40"/>
      <c r="H1358" s="40"/>
      <c r="I1358" s="40"/>
      <c r="J1358" s="70"/>
      <c r="K1358" s="40"/>
      <c r="L1358" s="70"/>
      <c r="M1358" s="70"/>
      <c r="N1358" s="40"/>
      <c r="O1358" s="70"/>
      <c r="P1358" s="23"/>
      <c r="Q1358" s="23"/>
      <c r="R1358" s="72"/>
      <c r="S1358" s="23"/>
      <c r="T1358" s="23"/>
      <c r="U1358" s="23"/>
      <c r="V1358" s="23"/>
      <c r="W1358" s="23"/>
      <c r="X1358" s="23"/>
      <c r="Y1358" s="23"/>
      <c r="Z1358" s="23"/>
      <c r="AA1358" s="23"/>
      <c r="AB1358" s="23"/>
      <c r="AC1358" s="23"/>
      <c r="AD1358" s="23"/>
      <c r="AE1358" s="23"/>
    </row>
    <row r="1359" spans="1:31">
      <c r="A1359" s="23"/>
      <c r="B1359" s="40"/>
      <c r="C1359" s="40"/>
      <c r="D1359" s="23"/>
      <c r="E1359" s="23"/>
      <c r="F1359" s="23"/>
      <c r="G1359" s="40"/>
      <c r="H1359" s="40"/>
      <c r="I1359" s="40"/>
      <c r="J1359" s="70"/>
      <c r="K1359" s="40"/>
      <c r="L1359" s="70"/>
      <c r="M1359" s="70"/>
      <c r="N1359" s="40"/>
      <c r="O1359" s="70"/>
      <c r="P1359" s="23"/>
      <c r="Q1359" s="23"/>
      <c r="R1359" s="72"/>
      <c r="S1359" s="23"/>
      <c r="T1359" s="23"/>
      <c r="U1359" s="23"/>
      <c r="V1359" s="23"/>
      <c r="W1359" s="23"/>
      <c r="X1359" s="23"/>
      <c r="Y1359" s="23"/>
      <c r="Z1359" s="23"/>
      <c r="AA1359" s="23"/>
      <c r="AB1359" s="23"/>
      <c r="AC1359" s="23"/>
      <c r="AD1359" s="23"/>
      <c r="AE1359" s="23"/>
    </row>
    <row r="1360" spans="1:31">
      <c r="A1360" s="23"/>
      <c r="B1360" s="40"/>
      <c r="C1360" s="40"/>
      <c r="D1360" s="23"/>
      <c r="E1360" s="23"/>
      <c r="F1360" s="23"/>
      <c r="G1360" s="40"/>
      <c r="H1360" s="40"/>
      <c r="I1360" s="40"/>
      <c r="J1360" s="70"/>
      <c r="K1360" s="40"/>
      <c r="L1360" s="70"/>
      <c r="M1360" s="70"/>
      <c r="N1360" s="40"/>
      <c r="O1360" s="70"/>
      <c r="P1360" s="23"/>
      <c r="Q1360" s="23"/>
      <c r="R1360" s="72"/>
      <c r="S1360" s="23"/>
      <c r="T1360" s="23"/>
      <c r="U1360" s="23"/>
      <c r="V1360" s="23"/>
      <c r="W1360" s="23"/>
      <c r="X1360" s="23"/>
      <c r="Y1360" s="23"/>
      <c r="Z1360" s="23"/>
      <c r="AA1360" s="23"/>
      <c r="AB1360" s="23"/>
      <c r="AC1360" s="23"/>
      <c r="AD1360" s="23"/>
      <c r="AE1360" s="23"/>
    </row>
    <row r="1361" spans="1:31">
      <c r="A1361" s="23"/>
      <c r="B1361" s="40"/>
      <c r="C1361" s="40"/>
      <c r="D1361" s="23"/>
      <c r="E1361" s="23"/>
      <c r="F1361" s="23"/>
      <c r="G1361" s="40"/>
      <c r="H1361" s="40"/>
      <c r="I1361" s="40"/>
      <c r="J1361" s="70"/>
      <c r="K1361" s="40"/>
      <c r="L1361" s="70"/>
      <c r="M1361" s="70"/>
      <c r="N1361" s="40"/>
      <c r="O1361" s="70"/>
      <c r="P1361" s="23"/>
      <c r="Q1361" s="23"/>
      <c r="R1361" s="72"/>
      <c r="S1361" s="23"/>
      <c r="T1361" s="23"/>
      <c r="U1361" s="23"/>
      <c r="V1361" s="23"/>
      <c r="W1361" s="23"/>
      <c r="X1361" s="23"/>
      <c r="Y1361" s="23"/>
      <c r="Z1361" s="23"/>
      <c r="AA1361" s="23"/>
      <c r="AB1361" s="23"/>
      <c r="AC1361" s="23"/>
      <c r="AD1361" s="23"/>
      <c r="AE1361" s="23"/>
    </row>
    <row r="1362" spans="1:31" ht="24" customHeight="1">
      <c r="A1362" s="23"/>
      <c r="B1362" s="40"/>
      <c r="C1362" s="40"/>
      <c r="D1362" s="23"/>
      <c r="E1362" s="23"/>
      <c r="F1362" s="23"/>
      <c r="G1362" s="40"/>
      <c r="H1362" s="40"/>
      <c r="I1362" s="40"/>
      <c r="J1362" s="70"/>
      <c r="K1362" s="40"/>
      <c r="L1362" s="70"/>
      <c r="M1362" s="70"/>
      <c r="N1362" s="40"/>
      <c r="O1362" s="70"/>
      <c r="P1362" s="23"/>
      <c r="Q1362" s="23"/>
      <c r="R1362" s="72"/>
      <c r="S1362" s="23"/>
      <c r="T1362" s="23"/>
      <c r="U1362" s="23"/>
      <c r="V1362" s="23"/>
      <c r="W1362" s="23"/>
      <c r="X1362" s="23"/>
      <c r="Y1362" s="23"/>
      <c r="Z1362" s="23"/>
      <c r="AA1362" s="23"/>
      <c r="AB1362" s="23"/>
      <c r="AC1362" s="23"/>
      <c r="AD1362" s="23"/>
      <c r="AE1362" s="23"/>
    </row>
    <row r="1363" spans="1:31">
      <c r="A1363" s="23"/>
      <c r="B1363" s="40"/>
      <c r="C1363" s="40"/>
      <c r="D1363" s="23"/>
      <c r="E1363" s="23"/>
      <c r="F1363" s="23"/>
      <c r="G1363" s="40"/>
      <c r="H1363" s="40"/>
      <c r="I1363" s="40"/>
      <c r="J1363" s="70"/>
      <c r="K1363" s="40"/>
      <c r="L1363" s="70"/>
      <c r="M1363" s="70"/>
      <c r="N1363" s="40"/>
      <c r="O1363" s="70"/>
      <c r="P1363" s="23"/>
      <c r="Q1363" s="23"/>
      <c r="R1363" s="72"/>
      <c r="S1363" s="23"/>
      <c r="T1363" s="23"/>
      <c r="U1363" s="23"/>
      <c r="V1363" s="23"/>
      <c r="W1363" s="23"/>
      <c r="X1363" s="23"/>
      <c r="Y1363" s="23"/>
      <c r="Z1363" s="23"/>
      <c r="AA1363" s="23"/>
      <c r="AB1363" s="23"/>
      <c r="AC1363" s="23"/>
      <c r="AD1363" s="23"/>
      <c r="AE1363" s="23"/>
    </row>
    <row r="1364" spans="1:31">
      <c r="A1364" s="23"/>
      <c r="B1364" s="40"/>
      <c r="C1364" s="40"/>
      <c r="D1364" s="23"/>
      <c r="E1364" s="23"/>
      <c r="F1364" s="23"/>
      <c r="G1364" s="40"/>
      <c r="H1364" s="40"/>
      <c r="I1364" s="40"/>
      <c r="J1364" s="70"/>
      <c r="K1364" s="40"/>
      <c r="L1364" s="70"/>
      <c r="M1364" s="70"/>
      <c r="N1364" s="40"/>
      <c r="O1364" s="70"/>
      <c r="P1364" s="23"/>
      <c r="Q1364" s="23"/>
      <c r="R1364" s="72"/>
      <c r="S1364" s="23"/>
      <c r="T1364" s="23"/>
      <c r="U1364" s="23"/>
      <c r="V1364" s="23"/>
      <c r="W1364" s="23"/>
      <c r="X1364" s="23"/>
      <c r="Y1364" s="23"/>
      <c r="Z1364" s="23"/>
      <c r="AA1364" s="23"/>
      <c r="AB1364" s="23"/>
      <c r="AC1364" s="23"/>
      <c r="AD1364" s="23"/>
      <c r="AE1364" s="23"/>
    </row>
    <row r="1365" spans="1:31">
      <c r="A1365" s="23"/>
      <c r="B1365" s="40"/>
      <c r="C1365" s="40"/>
      <c r="D1365" s="23"/>
      <c r="E1365" s="23"/>
      <c r="F1365" s="23"/>
      <c r="G1365" s="40"/>
      <c r="H1365" s="40"/>
      <c r="I1365" s="40"/>
      <c r="J1365" s="70"/>
      <c r="K1365" s="40"/>
      <c r="L1365" s="70"/>
      <c r="M1365" s="70"/>
      <c r="N1365" s="40"/>
      <c r="O1365" s="70"/>
      <c r="P1365" s="23"/>
      <c r="Q1365" s="23"/>
      <c r="R1365" s="72"/>
      <c r="S1365" s="23"/>
      <c r="T1365" s="23"/>
      <c r="U1365" s="23"/>
      <c r="V1365" s="23"/>
      <c r="W1365" s="23"/>
      <c r="X1365" s="23"/>
      <c r="Y1365" s="23"/>
      <c r="Z1365" s="23"/>
      <c r="AA1365" s="23"/>
      <c r="AB1365" s="23"/>
      <c r="AC1365" s="23"/>
      <c r="AD1365" s="23"/>
      <c r="AE1365" s="23"/>
    </row>
    <row r="1366" spans="1:31">
      <c r="A1366" s="23"/>
      <c r="B1366" s="40"/>
      <c r="C1366" s="40"/>
      <c r="D1366" s="23"/>
      <c r="E1366" s="23"/>
      <c r="F1366" s="23"/>
      <c r="G1366" s="40"/>
      <c r="H1366" s="40"/>
      <c r="I1366" s="40"/>
      <c r="J1366" s="70"/>
      <c r="K1366" s="40"/>
      <c r="L1366" s="70"/>
      <c r="M1366" s="70"/>
      <c r="N1366" s="40"/>
      <c r="O1366" s="70"/>
      <c r="P1366" s="23"/>
      <c r="Q1366" s="23"/>
      <c r="R1366" s="72"/>
      <c r="S1366" s="23"/>
      <c r="T1366" s="23"/>
      <c r="U1366" s="23"/>
      <c r="V1366" s="23"/>
      <c r="W1366" s="23"/>
      <c r="X1366" s="23"/>
      <c r="Y1366" s="23"/>
      <c r="Z1366" s="23"/>
      <c r="AA1366" s="23"/>
      <c r="AB1366" s="23"/>
      <c r="AC1366" s="23"/>
      <c r="AD1366" s="23"/>
      <c r="AE1366" s="23"/>
    </row>
    <row r="1367" spans="1:31" ht="24" customHeight="1">
      <c r="A1367" s="23"/>
      <c r="B1367" s="40"/>
      <c r="C1367" s="40"/>
      <c r="D1367" s="23"/>
      <c r="E1367" s="23"/>
      <c r="F1367" s="23"/>
      <c r="G1367" s="40"/>
      <c r="H1367" s="40"/>
      <c r="I1367" s="40"/>
      <c r="J1367" s="70"/>
      <c r="K1367" s="40"/>
      <c r="L1367" s="70"/>
      <c r="M1367" s="70"/>
      <c r="N1367" s="40"/>
      <c r="O1367" s="70"/>
      <c r="P1367" s="23"/>
      <c r="Q1367" s="23"/>
      <c r="R1367" s="72"/>
      <c r="S1367" s="23"/>
      <c r="T1367" s="23"/>
      <c r="U1367" s="23"/>
      <c r="V1367" s="23"/>
      <c r="W1367" s="23"/>
      <c r="X1367" s="23"/>
      <c r="Y1367" s="23"/>
      <c r="Z1367" s="23"/>
      <c r="AA1367" s="23"/>
      <c r="AB1367" s="23"/>
      <c r="AC1367" s="23"/>
      <c r="AD1367" s="23"/>
      <c r="AE1367" s="23"/>
    </row>
    <row r="1368" spans="1:31">
      <c r="A1368" s="23"/>
      <c r="B1368" s="40"/>
      <c r="C1368" s="40"/>
      <c r="D1368" s="23"/>
      <c r="E1368" s="23"/>
      <c r="F1368" s="23"/>
      <c r="G1368" s="40"/>
      <c r="H1368" s="40"/>
      <c r="I1368" s="40"/>
      <c r="J1368" s="70"/>
      <c r="K1368" s="40"/>
      <c r="L1368" s="70"/>
      <c r="M1368" s="70"/>
      <c r="N1368" s="40"/>
      <c r="O1368" s="70"/>
      <c r="P1368" s="23"/>
      <c r="Q1368" s="23"/>
      <c r="R1368" s="72"/>
      <c r="S1368" s="23"/>
      <c r="T1368" s="23"/>
      <c r="U1368" s="23"/>
      <c r="V1368" s="23"/>
      <c r="W1368" s="23"/>
      <c r="X1368" s="23"/>
      <c r="Y1368" s="23"/>
      <c r="Z1368" s="23"/>
      <c r="AA1368" s="23"/>
      <c r="AB1368" s="23"/>
      <c r="AC1368" s="23"/>
      <c r="AD1368" s="23"/>
      <c r="AE1368" s="23"/>
    </row>
    <row r="1369" spans="1:31">
      <c r="A1369" s="23"/>
      <c r="B1369" s="40"/>
      <c r="C1369" s="40"/>
      <c r="D1369" s="23"/>
      <c r="E1369" s="23"/>
      <c r="F1369" s="23"/>
      <c r="G1369" s="40"/>
      <c r="H1369" s="40"/>
      <c r="I1369" s="40"/>
      <c r="J1369" s="70"/>
      <c r="K1369" s="40"/>
      <c r="L1369" s="70"/>
      <c r="M1369" s="70"/>
      <c r="N1369" s="40"/>
      <c r="O1369" s="70"/>
      <c r="P1369" s="23"/>
      <c r="Q1369" s="23"/>
      <c r="R1369" s="72"/>
      <c r="S1369" s="23"/>
      <c r="T1369" s="23"/>
      <c r="U1369" s="23"/>
      <c r="V1369" s="23"/>
      <c r="W1369" s="23"/>
      <c r="X1369" s="23"/>
      <c r="Y1369" s="23"/>
      <c r="Z1369" s="23"/>
      <c r="AA1369" s="23"/>
      <c r="AB1369" s="23"/>
      <c r="AC1369" s="23"/>
      <c r="AD1369" s="23"/>
      <c r="AE1369" s="23"/>
    </row>
    <row r="1370" spans="1:31">
      <c r="A1370" s="23"/>
      <c r="B1370" s="40"/>
      <c r="C1370" s="40"/>
      <c r="D1370" s="23"/>
      <c r="E1370" s="23"/>
      <c r="F1370" s="23"/>
      <c r="G1370" s="40"/>
      <c r="H1370" s="40"/>
      <c r="I1370" s="40"/>
      <c r="J1370" s="70"/>
      <c r="K1370" s="40"/>
      <c r="L1370" s="70"/>
      <c r="M1370" s="70"/>
      <c r="N1370" s="40"/>
      <c r="O1370" s="70"/>
      <c r="P1370" s="23"/>
      <c r="Q1370" s="23"/>
      <c r="R1370" s="72"/>
      <c r="S1370" s="23"/>
      <c r="T1370" s="23"/>
      <c r="U1370" s="23"/>
      <c r="V1370" s="23"/>
      <c r="W1370" s="23"/>
      <c r="X1370" s="23"/>
      <c r="Y1370" s="23"/>
      <c r="Z1370" s="23"/>
      <c r="AA1370" s="23"/>
      <c r="AB1370" s="23"/>
      <c r="AC1370" s="23"/>
      <c r="AD1370" s="23"/>
      <c r="AE1370" s="23"/>
    </row>
    <row r="1371" spans="1:31">
      <c r="A1371" s="23"/>
      <c r="B1371" s="40"/>
      <c r="C1371" s="40"/>
      <c r="D1371" s="23"/>
      <c r="E1371" s="23"/>
      <c r="F1371" s="23"/>
      <c r="G1371" s="40"/>
      <c r="H1371" s="40"/>
      <c r="I1371" s="40"/>
      <c r="J1371" s="70"/>
      <c r="K1371" s="40"/>
      <c r="L1371" s="70"/>
      <c r="M1371" s="70"/>
      <c r="N1371" s="40"/>
      <c r="O1371" s="70"/>
      <c r="P1371" s="23"/>
      <c r="Q1371" s="23"/>
      <c r="R1371" s="72"/>
      <c r="S1371" s="23"/>
      <c r="T1371" s="23"/>
      <c r="U1371" s="23"/>
      <c r="V1371" s="23"/>
      <c r="W1371" s="23"/>
      <c r="X1371" s="23"/>
      <c r="Y1371" s="23"/>
      <c r="Z1371" s="23"/>
      <c r="AA1371" s="23"/>
      <c r="AB1371" s="23"/>
      <c r="AC1371" s="23"/>
      <c r="AD1371" s="23"/>
      <c r="AE1371" s="23"/>
    </row>
    <row r="1372" spans="1:31" ht="24" customHeight="1">
      <c r="A1372" s="23"/>
      <c r="B1372" s="40"/>
      <c r="C1372" s="40"/>
      <c r="D1372" s="23"/>
      <c r="E1372" s="23"/>
      <c r="F1372" s="23"/>
      <c r="G1372" s="40"/>
      <c r="H1372" s="40"/>
      <c r="I1372" s="40"/>
      <c r="J1372" s="70"/>
      <c r="K1372" s="40"/>
      <c r="L1372" s="70"/>
      <c r="M1372" s="70"/>
      <c r="N1372" s="40"/>
      <c r="O1372" s="70"/>
      <c r="P1372" s="23"/>
      <c r="Q1372" s="23"/>
      <c r="R1372" s="72"/>
      <c r="S1372" s="23"/>
      <c r="T1372" s="23"/>
      <c r="U1372" s="23"/>
      <c r="V1372" s="23"/>
      <c r="W1372" s="23"/>
      <c r="X1372" s="23"/>
      <c r="Y1372" s="23"/>
      <c r="Z1372" s="23"/>
      <c r="AA1372" s="23"/>
      <c r="AB1372" s="23"/>
      <c r="AC1372" s="23"/>
      <c r="AD1372" s="23"/>
      <c r="AE1372" s="23"/>
    </row>
    <row r="1373" spans="1:31">
      <c r="A1373" s="23"/>
      <c r="B1373" s="40"/>
      <c r="C1373" s="40"/>
      <c r="D1373" s="23"/>
      <c r="E1373" s="23"/>
      <c r="F1373" s="23"/>
      <c r="G1373" s="40"/>
      <c r="H1373" s="40"/>
      <c r="I1373" s="40"/>
      <c r="J1373" s="70"/>
      <c r="K1373" s="40"/>
      <c r="L1373" s="70"/>
      <c r="M1373" s="70"/>
      <c r="N1373" s="40"/>
      <c r="O1373" s="70"/>
      <c r="P1373" s="23"/>
      <c r="Q1373" s="23"/>
      <c r="R1373" s="72"/>
      <c r="S1373" s="23"/>
      <c r="T1373" s="23"/>
      <c r="U1373" s="23"/>
      <c r="V1373" s="23"/>
      <c r="W1373" s="23"/>
      <c r="X1373" s="23"/>
      <c r="Y1373" s="23"/>
      <c r="Z1373" s="23"/>
      <c r="AA1373" s="23"/>
      <c r="AB1373" s="23"/>
      <c r="AC1373" s="23"/>
      <c r="AD1373" s="23"/>
      <c r="AE1373" s="23"/>
    </row>
    <row r="1374" spans="1:31">
      <c r="A1374" s="23"/>
      <c r="B1374" s="40"/>
      <c r="C1374" s="40"/>
      <c r="D1374" s="23"/>
      <c r="E1374" s="23"/>
      <c r="F1374" s="23"/>
      <c r="G1374" s="40"/>
      <c r="H1374" s="40"/>
      <c r="I1374" s="40"/>
      <c r="J1374" s="70"/>
      <c r="K1374" s="40"/>
      <c r="L1374" s="70"/>
      <c r="M1374" s="70"/>
      <c r="N1374" s="40"/>
      <c r="O1374" s="70"/>
      <c r="P1374" s="23"/>
      <c r="Q1374" s="23"/>
      <c r="R1374" s="72"/>
      <c r="S1374" s="23"/>
      <c r="T1374" s="23"/>
      <c r="U1374" s="23"/>
      <c r="V1374" s="23"/>
      <c r="W1374" s="23"/>
      <c r="X1374" s="23"/>
      <c r="Y1374" s="23"/>
      <c r="Z1374" s="23"/>
      <c r="AA1374" s="23"/>
      <c r="AB1374" s="23"/>
      <c r="AC1374" s="23"/>
      <c r="AD1374" s="23"/>
      <c r="AE1374" s="23"/>
    </row>
    <row r="1375" spans="1:31">
      <c r="A1375" s="23"/>
      <c r="B1375" s="40"/>
      <c r="C1375" s="40"/>
      <c r="D1375" s="23"/>
      <c r="E1375" s="23"/>
      <c r="F1375" s="23"/>
      <c r="G1375" s="40"/>
      <c r="H1375" s="40"/>
      <c r="I1375" s="40"/>
      <c r="J1375" s="70"/>
      <c r="K1375" s="40"/>
      <c r="L1375" s="70"/>
      <c r="M1375" s="70"/>
      <c r="N1375" s="40"/>
      <c r="O1375" s="70"/>
      <c r="P1375" s="23"/>
      <c r="Q1375" s="23"/>
      <c r="R1375" s="72"/>
      <c r="S1375" s="23"/>
      <c r="T1375" s="23"/>
      <c r="U1375" s="23"/>
      <c r="V1375" s="23"/>
      <c r="W1375" s="23"/>
      <c r="X1375" s="23"/>
      <c r="Y1375" s="23"/>
      <c r="Z1375" s="23"/>
      <c r="AA1375" s="23"/>
      <c r="AB1375" s="23"/>
      <c r="AC1375" s="23"/>
      <c r="AD1375" s="23"/>
      <c r="AE1375" s="23"/>
    </row>
    <row r="1376" spans="1:31">
      <c r="A1376" s="23"/>
      <c r="B1376" s="40"/>
      <c r="C1376" s="40"/>
      <c r="D1376" s="23"/>
      <c r="E1376" s="23"/>
      <c r="F1376" s="23"/>
      <c r="G1376" s="40"/>
      <c r="H1376" s="40"/>
      <c r="I1376" s="40"/>
      <c r="J1376" s="70"/>
      <c r="K1376" s="40"/>
      <c r="L1376" s="70"/>
      <c r="M1376" s="70"/>
      <c r="N1376" s="40"/>
      <c r="O1376" s="70"/>
      <c r="P1376" s="23"/>
      <c r="Q1376" s="23"/>
      <c r="R1376" s="72"/>
      <c r="S1376" s="23"/>
      <c r="T1376" s="23"/>
      <c r="U1376" s="23"/>
      <c r="V1376" s="23"/>
      <c r="W1376" s="23"/>
      <c r="X1376" s="23"/>
      <c r="Y1376" s="23"/>
      <c r="Z1376" s="23"/>
      <c r="AA1376" s="23"/>
      <c r="AB1376" s="23"/>
      <c r="AC1376" s="23"/>
      <c r="AD1376" s="23"/>
      <c r="AE1376" s="23"/>
    </row>
    <row r="1377" spans="1:31">
      <c r="A1377" s="23"/>
      <c r="B1377" s="40"/>
      <c r="C1377" s="40"/>
      <c r="D1377" s="23"/>
      <c r="E1377" s="23"/>
      <c r="F1377" s="23"/>
      <c r="G1377" s="40"/>
      <c r="H1377" s="40"/>
      <c r="I1377" s="40"/>
      <c r="J1377" s="70"/>
      <c r="K1377" s="40"/>
      <c r="L1377" s="70"/>
      <c r="M1377" s="70"/>
      <c r="N1377" s="40"/>
      <c r="O1377" s="70"/>
      <c r="P1377" s="23"/>
      <c r="Q1377" s="23"/>
      <c r="R1377" s="72"/>
      <c r="S1377" s="23"/>
      <c r="T1377" s="23"/>
      <c r="U1377" s="23"/>
      <c r="V1377" s="23"/>
      <c r="W1377" s="23"/>
      <c r="X1377" s="23"/>
      <c r="Y1377" s="23"/>
      <c r="Z1377" s="23"/>
      <c r="AA1377" s="23"/>
      <c r="AB1377" s="23"/>
      <c r="AC1377" s="23"/>
      <c r="AD1377" s="23"/>
      <c r="AE1377" s="23"/>
    </row>
    <row r="1378" spans="1:31">
      <c r="A1378" s="23"/>
      <c r="B1378" s="40"/>
      <c r="C1378" s="40"/>
      <c r="D1378" s="23"/>
      <c r="E1378" s="23"/>
      <c r="F1378" s="23"/>
      <c r="G1378" s="40"/>
      <c r="H1378" s="40"/>
      <c r="I1378" s="40"/>
      <c r="J1378" s="70"/>
      <c r="K1378" s="40"/>
      <c r="L1378" s="70"/>
      <c r="M1378" s="70"/>
      <c r="N1378" s="40"/>
      <c r="O1378" s="70"/>
      <c r="P1378" s="23"/>
      <c r="Q1378" s="23"/>
      <c r="R1378" s="72"/>
      <c r="S1378" s="23"/>
      <c r="T1378" s="23"/>
      <c r="U1378" s="23"/>
      <c r="V1378" s="23"/>
      <c r="W1378" s="23"/>
      <c r="X1378" s="23"/>
      <c r="Y1378" s="23"/>
      <c r="Z1378" s="23"/>
      <c r="AA1378" s="23"/>
      <c r="AB1378" s="23"/>
      <c r="AC1378" s="23"/>
      <c r="AD1378" s="23"/>
      <c r="AE1378" s="23"/>
    </row>
    <row r="1379" spans="1:31">
      <c r="A1379" s="23"/>
      <c r="B1379" s="40"/>
      <c r="C1379" s="40"/>
      <c r="D1379" s="23"/>
      <c r="E1379" s="23"/>
      <c r="F1379" s="23"/>
      <c r="G1379" s="40"/>
      <c r="H1379" s="40"/>
      <c r="I1379" s="40"/>
      <c r="J1379" s="70"/>
      <c r="K1379" s="40"/>
      <c r="L1379" s="70"/>
      <c r="M1379" s="70"/>
      <c r="N1379" s="40"/>
      <c r="O1379" s="70"/>
      <c r="P1379" s="23"/>
      <c r="Q1379" s="23"/>
      <c r="R1379" s="72"/>
      <c r="S1379" s="23"/>
      <c r="T1379" s="23"/>
      <c r="U1379" s="23"/>
      <c r="V1379" s="23"/>
      <c r="W1379" s="23"/>
      <c r="X1379" s="23"/>
      <c r="Y1379" s="23"/>
      <c r="Z1379" s="23"/>
      <c r="AA1379" s="23"/>
      <c r="AB1379" s="23"/>
      <c r="AC1379" s="23"/>
      <c r="AD1379" s="23"/>
      <c r="AE1379" s="23"/>
    </row>
    <row r="1380" spans="1:31">
      <c r="A1380" s="23"/>
      <c r="B1380" s="40"/>
      <c r="C1380" s="40"/>
      <c r="D1380" s="23"/>
      <c r="E1380" s="23"/>
      <c r="F1380" s="23"/>
      <c r="G1380" s="40"/>
      <c r="H1380" s="40"/>
      <c r="I1380" s="40"/>
      <c r="J1380" s="70"/>
      <c r="K1380" s="40"/>
      <c r="L1380" s="70"/>
      <c r="M1380" s="70"/>
      <c r="N1380" s="40"/>
      <c r="O1380" s="70"/>
      <c r="P1380" s="23"/>
      <c r="Q1380" s="23"/>
      <c r="R1380" s="72"/>
      <c r="S1380" s="23"/>
      <c r="T1380" s="23"/>
      <c r="U1380" s="23"/>
      <c r="V1380" s="23"/>
      <c r="W1380" s="23"/>
      <c r="X1380" s="23"/>
      <c r="Y1380" s="23"/>
      <c r="Z1380" s="23"/>
      <c r="AA1380" s="23"/>
      <c r="AB1380" s="23"/>
      <c r="AC1380" s="23"/>
      <c r="AD1380" s="23"/>
      <c r="AE1380" s="23"/>
    </row>
    <row r="1381" spans="1:31">
      <c r="A1381" s="23"/>
      <c r="B1381" s="40"/>
      <c r="C1381" s="40"/>
      <c r="D1381" s="23"/>
      <c r="E1381" s="23"/>
      <c r="F1381" s="23"/>
      <c r="G1381" s="40"/>
      <c r="H1381" s="40"/>
      <c r="I1381" s="40"/>
      <c r="J1381" s="70"/>
      <c r="K1381" s="40"/>
      <c r="L1381" s="70"/>
      <c r="M1381" s="70"/>
      <c r="N1381" s="40"/>
      <c r="O1381" s="70"/>
      <c r="P1381" s="23"/>
      <c r="Q1381" s="23"/>
      <c r="R1381" s="72"/>
      <c r="S1381" s="23"/>
      <c r="T1381" s="23"/>
      <c r="U1381" s="23"/>
      <c r="V1381" s="23"/>
      <c r="W1381" s="23"/>
      <c r="X1381" s="23"/>
      <c r="Y1381" s="23"/>
      <c r="Z1381" s="23"/>
      <c r="AA1381" s="23"/>
      <c r="AB1381" s="23"/>
      <c r="AC1381" s="23"/>
      <c r="AD1381" s="23"/>
      <c r="AE1381" s="23"/>
    </row>
    <row r="1382" spans="1:31">
      <c r="A1382" s="23"/>
      <c r="B1382" s="40"/>
      <c r="C1382" s="40"/>
      <c r="D1382" s="23"/>
      <c r="E1382" s="23"/>
      <c r="F1382" s="23"/>
      <c r="G1382" s="40"/>
      <c r="H1382" s="40"/>
      <c r="I1382" s="40"/>
      <c r="J1382" s="70"/>
      <c r="K1382" s="40"/>
      <c r="L1382" s="70"/>
      <c r="M1382" s="70"/>
      <c r="N1382" s="40"/>
      <c r="O1382" s="70"/>
      <c r="P1382" s="23"/>
      <c r="Q1382" s="23"/>
      <c r="R1382" s="72"/>
      <c r="S1382" s="23"/>
      <c r="T1382" s="23"/>
      <c r="U1382" s="23"/>
      <c r="V1382" s="23"/>
      <c r="W1382" s="23"/>
      <c r="X1382" s="23"/>
      <c r="Y1382" s="23"/>
      <c r="Z1382" s="23"/>
      <c r="AA1382" s="23"/>
      <c r="AB1382" s="23"/>
      <c r="AC1382" s="23"/>
      <c r="AD1382" s="23"/>
      <c r="AE1382" s="23"/>
    </row>
    <row r="1383" spans="1:31" ht="24" customHeight="1">
      <c r="A1383" s="23"/>
      <c r="B1383" s="40"/>
      <c r="C1383" s="40"/>
      <c r="D1383" s="23"/>
      <c r="E1383" s="23"/>
      <c r="F1383" s="23"/>
      <c r="G1383" s="40"/>
      <c r="H1383" s="40"/>
      <c r="I1383" s="40"/>
      <c r="J1383" s="70"/>
      <c r="K1383" s="40"/>
      <c r="L1383" s="70"/>
      <c r="M1383" s="70"/>
      <c r="N1383" s="40"/>
      <c r="O1383" s="70"/>
      <c r="P1383" s="23"/>
      <c r="Q1383" s="23"/>
      <c r="R1383" s="72"/>
      <c r="S1383" s="23"/>
      <c r="T1383" s="23"/>
      <c r="U1383" s="23"/>
      <c r="V1383" s="23"/>
      <c r="W1383" s="23"/>
      <c r="X1383" s="23"/>
      <c r="Y1383" s="23"/>
      <c r="Z1383" s="23"/>
      <c r="AA1383" s="23"/>
      <c r="AB1383" s="23"/>
      <c r="AC1383" s="23"/>
      <c r="AD1383" s="23"/>
      <c r="AE1383" s="23"/>
    </row>
    <row r="1384" spans="1:31">
      <c r="A1384" s="23"/>
      <c r="B1384" s="40"/>
      <c r="C1384" s="40"/>
      <c r="D1384" s="23"/>
      <c r="E1384" s="23"/>
      <c r="F1384" s="23"/>
      <c r="G1384" s="40"/>
      <c r="H1384" s="40"/>
      <c r="I1384" s="40"/>
      <c r="J1384" s="70"/>
      <c r="K1384" s="40"/>
      <c r="L1384" s="70"/>
      <c r="M1384" s="70"/>
      <c r="N1384" s="40"/>
      <c r="O1384" s="70"/>
      <c r="P1384" s="23"/>
      <c r="Q1384" s="23"/>
      <c r="R1384" s="72"/>
      <c r="S1384" s="23"/>
      <c r="T1384" s="23"/>
      <c r="U1384" s="23"/>
      <c r="V1384" s="23"/>
      <c r="W1384" s="23"/>
      <c r="X1384" s="23"/>
      <c r="Y1384" s="23"/>
      <c r="Z1384" s="23"/>
      <c r="AA1384" s="23"/>
      <c r="AB1384" s="23"/>
      <c r="AC1384" s="23"/>
      <c r="AD1384" s="23"/>
      <c r="AE1384" s="23"/>
    </row>
    <row r="1385" spans="1:31">
      <c r="A1385" s="23"/>
      <c r="B1385" s="40"/>
      <c r="C1385" s="40"/>
      <c r="D1385" s="23"/>
      <c r="E1385" s="23"/>
      <c r="F1385" s="23"/>
      <c r="G1385" s="40"/>
      <c r="H1385" s="40"/>
      <c r="I1385" s="40"/>
      <c r="J1385" s="70"/>
      <c r="K1385" s="40"/>
      <c r="L1385" s="70"/>
      <c r="M1385" s="70"/>
      <c r="N1385" s="40"/>
      <c r="O1385" s="70"/>
      <c r="P1385" s="23"/>
      <c r="Q1385" s="23"/>
      <c r="R1385" s="72"/>
      <c r="S1385" s="23"/>
      <c r="T1385" s="23"/>
      <c r="U1385" s="23"/>
      <c r="V1385" s="23"/>
      <c r="W1385" s="23"/>
      <c r="X1385" s="23"/>
      <c r="Y1385" s="23"/>
      <c r="Z1385" s="23"/>
      <c r="AA1385" s="23"/>
      <c r="AB1385" s="23"/>
      <c r="AC1385" s="23"/>
      <c r="AD1385" s="23"/>
      <c r="AE1385" s="23"/>
    </row>
    <row r="1386" spans="1:31">
      <c r="A1386" s="23"/>
      <c r="B1386" s="40"/>
      <c r="C1386" s="40"/>
      <c r="D1386" s="23"/>
      <c r="E1386" s="23"/>
      <c r="F1386" s="23"/>
      <c r="G1386" s="40"/>
      <c r="H1386" s="40"/>
      <c r="I1386" s="40"/>
      <c r="J1386" s="70"/>
      <c r="K1386" s="40"/>
      <c r="L1386" s="70"/>
      <c r="M1386" s="70"/>
      <c r="N1386" s="40"/>
      <c r="O1386" s="70"/>
      <c r="P1386" s="23"/>
      <c r="Q1386" s="23"/>
      <c r="R1386" s="72"/>
      <c r="S1386" s="23"/>
      <c r="T1386" s="23"/>
      <c r="U1386" s="23"/>
      <c r="V1386" s="23"/>
      <c r="W1386" s="23"/>
      <c r="X1386" s="23"/>
      <c r="Y1386" s="23"/>
      <c r="Z1386" s="23"/>
      <c r="AA1386" s="23"/>
      <c r="AB1386" s="23"/>
      <c r="AC1386" s="23"/>
      <c r="AD1386" s="23"/>
      <c r="AE1386" s="23"/>
    </row>
    <row r="1387" spans="1:31">
      <c r="A1387" s="23"/>
      <c r="B1387" s="40"/>
      <c r="C1387" s="40"/>
      <c r="D1387" s="23"/>
      <c r="E1387" s="23"/>
      <c r="F1387" s="23"/>
      <c r="G1387" s="40"/>
      <c r="H1387" s="40"/>
      <c r="I1387" s="40"/>
      <c r="J1387" s="70"/>
      <c r="K1387" s="40"/>
      <c r="L1387" s="70"/>
      <c r="M1387" s="70"/>
      <c r="N1387" s="40"/>
      <c r="O1387" s="70"/>
      <c r="P1387" s="23"/>
      <c r="Q1387" s="23"/>
      <c r="R1387" s="72"/>
      <c r="S1387" s="23"/>
      <c r="T1387" s="23"/>
      <c r="U1387" s="23"/>
      <c r="V1387" s="23"/>
      <c r="W1387" s="23"/>
      <c r="X1387" s="23"/>
      <c r="Y1387" s="23"/>
      <c r="Z1387" s="23"/>
      <c r="AA1387" s="23"/>
      <c r="AB1387" s="23"/>
      <c r="AC1387" s="23"/>
      <c r="AD1387" s="23"/>
      <c r="AE1387" s="23"/>
    </row>
    <row r="1388" spans="1:31" ht="24" customHeight="1">
      <c r="A1388" s="23"/>
      <c r="B1388" s="40"/>
      <c r="C1388" s="40"/>
      <c r="D1388" s="23"/>
      <c r="E1388" s="23"/>
      <c r="F1388" s="23"/>
      <c r="G1388" s="40"/>
      <c r="H1388" s="40"/>
      <c r="I1388" s="40"/>
      <c r="J1388" s="70"/>
      <c r="K1388" s="40"/>
      <c r="L1388" s="70"/>
      <c r="M1388" s="70"/>
      <c r="N1388" s="40"/>
      <c r="O1388" s="70"/>
      <c r="P1388" s="23"/>
      <c r="Q1388" s="23"/>
      <c r="R1388" s="72"/>
      <c r="S1388" s="23"/>
      <c r="T1388" s="23"/>
      <c r="U1388" s="23"/>
      <c r="V1388" s="23"/>
      <c r="W1388" s="23"/>
      <c r="X1388" s="23"/>
      <c r="Y1388" s="23"/>
      <c r="Z1388" s="23"/>
      <c r="AA1388" s="23"/>
      <c r="AB1388" s="23"/>
      <c r="AC1388" s="23"/>
      <c r="AD1388" s="23"/>
      <c r="AE1388" s="23"/>
    </row>
    <row r="1389" spans="1:31">
      <c r="A1389" s="23"/>
      <c r="B1389" s="40"/>
      <c r="C1389" s="40"/>
      <c r="D1389" s="23"/>
      <c r="E1389" s="23"/>
      <c r="F1389" s="23"/>
      <c r="G1389" s="40"/>
      <c r="H1389" s="40"/>
      <c r="I1389" s="40"/>
      <c r="J1389" s="70"/>
      <c r="K1389" s="40"/>
      <c r="L1389" s="70"/>
      <c r="M1389" s="70"/>
      <c r="N1389" s="40"/>
      <c r="O1389" s="70"/>
      <c r="P1389" s="23"/>
      <c r="Q1389" s="23"/>
      <c r="R1389" s="72"/>
      <c r="S1389" s="23"/>
      <c r="T1389" s="23"/>
      <c r="U1389" s="23"/>
      <c r="V1389" s="23"/>
      <c r="W1389" s="23"/>
      <c r="X1389" s="23"/>
      <c r="Y1389" s="23"/>
      <c r="Z1389" s="23"/>
      <c r="AA1389" s="23"/>
      <c r="AB1389" s="23"/>
      <c r="AC1389" s="23"/>
      <c r="AD1389" s="23"/>
      <c r="AE1389" s="23"/>
    </row>
    <row r="1390" spans="1:31">
      <c r="A1390" s="23"/>
      <c r="B1390" s="40"/>
      <c r="C1390" s="40"/>
      <c r="D1390" s="23"/>
      <c r="E1390" s="23"/>
      <c r="F1390" s="23"/>
      <c r="G1390" s="40"/>
      <c r="H1390" s="40"/>
      <c r="I1390" s="40"/>
      <c r="J1390" s="70"/>
      <c r="K1390" s="40"/>
      <c r="L1390" s="70"/>
      <c r="M1390" s="70"/>
      <c r="N1390" s="40"/>
      <c r="O1390" s="70"/>
      <c r="P1390" s="23"/>
      <c r="Q1390" s="23"/>
      <c r="R1390" s="72"/>
      <c r="S1390" s="23"/>
      <c r="T1390" s="23"/>
      <c r="U1390" s="23"/>
      <c r="V1390" s="23"/>
      <c r="W1390" s="23"/>
      <c r="X1390" s="23"/>
      <c r="Y1390" s="23"/>
      <c r="Z1390" s="23"/>
      <c r="AA1390" s="23"/>
      <c r="AB1390" s="23"/>
      <c r="AC1390" s="23"/>
      <c r="AD1390" s="23"/>
      <c r="AE1390" s="23"/>
    </row>
    <row r="1391" spans="1:31">
      <c r="A1391" s="23"/>
      <c r="B1391" s="40"/>
      <c r="C1391" s="40"/>
      <c r="D1391" s="23"/>
      <c r="E1391" s="23"/>
      <c r="F1391" s="23"/>
      <c r="G1391" s="40"/>
      <c r="H1391" s="40"/>
      <c r="I1391" s="40"/>
      <c r="J1391" s="70"/>
      <c r="K1391" s="40"/>
      <c r="L1391" s="70"/>
      <c r="M1391" s="70"/>
      <c r="N1391" s="40"/>
      <c r="O1391" s="70"/>
      <c r="P1391" s="23"/>
      <c r="Q1391" s="23"/>
      <c r="R1391" s="72"/>
      <c r="S1391" s="23"/>
      <c r="T1391" s="23"/>
      <c r="U1391" s="23"/>
      <c r="V1391" s="23"/>
      <c r="W1391" s="23"/>
      <c r="X1391" s="23"/>
      <c r="Y1391" s="23"/>
      <c r="Z1391" s="23"/>
      <c r="AA1391" s="23"/>
      <c r="AB1391" s="23"/>
      <c r="AC1391" s="23"/>
      <c r="AD1391" s="23"/>
      <c r="AE1391" s="23"/>
    </row>
    <row r="1392" spans="1:31">
      <c r="A1392" s="23"/>
      <c r="B1392" s="40"/>
      <c r="C1392" s="40"/>
      <c r="D1392" s="23"/>
      <c r="E1392" s="23"/>
      <c r="F1392" s="23"/>
      <c r="G1392" s="40"/>
      <c r="H1392" s="40"/>
      <c r="I1392" s="40"/>
      <c r="J1392" s="70"/>
      <c r="K1392" s="40"/>
      <c r="L1392" s="70"/>
      <c r="M1392" s="70"/>
      <c r="N1392" s="40"/>
      <c r="O1392" s="70"/>
      <c r="P1392" s="23"/>
      <c r="Q1392" s="23"/>
      <c r="R1392" s="72"/>
      <c r="S1392" s="23"/>
      <c r="T1392" s="23"/>
      <c r="U1392" s="23"/>
      <c r="V1392" s="23"/>
      <c r="W1392" s="23"/>
      <c r="X1392" s="23"/>
      <c r="Y1392" s="23"/>
      <c r="Z1392" s="23"/>
      <c r="AA1392" s="23"/>
      <c r="AB1392" s="23"/>
      <c r="AC1392" s="23"/>
      <c r="AD1392" s="23"/>
      <c r="AE1392" s="23"/>
    </row>
    <row r="1393" spans="1:31" ht="24" customHeight="1">
      <c r="A1393" s="23"/>
      <c r="B1393" s="40"/>
      <c r="C1393" s="40"/>
      <c r="D1393" s="23"/>
      <c r="E1393" s="23"/>
      <c r="F1393" s="23"/>
      <c r="G1393" s="40"/>
      <c r="H1393" s="40"/>
      <c r="I1393" s="40"/>
      <c r="J1393" s="70"/>
      <c r="K1393" s="40"/>
      <c r="L1393" s="70"/>
      <c r="M1393" s="70"/>
      <c r="N1393" s="40"/>
      <c r="O1393" s="70"/>
      <c r="P1393" s="23"/>
      <c r="Q1393" s="23"/>
      <c r="R1393" s="72"/>
      <c r="S1393" s="23"/>
      <c r="T1393" s="23"/>
      <c r="U1393" s="23"/>
      <c r="V1393" s="23"/>
      <c r="W1393" s="23"/>
      <c r="X1393" s="23"/>
      <c r="Y1393" s="23"/>
      <c r="Z1393" s="23"/>
      <c r="AA1393" s="23"/>
      <c r="AB1393" s="23"/>
      <c r="AC1393" s="23"/>
      <c r="AD1393" s="23"/>
      <c r="AE1393" s="23"/>
    </row>
    <row r="1394" spans="1:31">
      <c r="A1394" s="23"/>
      <c r="B1394" s="40"/>
      <c r="C1394" s="40"/>
      <c r="D1394" s="23"/>
      <c r="E1394" s="23"/>
      <c r="F1394" s="23"/>
      <c r="G1394" s="40"/>
      <c r="H1394" s="40"/>
      <c r="I1394" s="40"/>
      <c r="J1394" s="70"/>
      <c r="K1394" s="40"/>
      <c r="L1394" s="70"/>
      <c r="M1394" s="70"/>
      <c r="N1394" s="40"/>
      <c r="O1394" s="70"/>
      <c r="P1394" s="23"/>
      <c r="Q1394" s="23"/>
      <c r="R1394" s="72"/>
      <c r="S1394" s="23"/>
      <c r="T1394" s="23"/>
      <c r="U1394" s="23"/>
      <c r="V1394" s="23"/>
      <c r="W1394" s="23"/>
      <c r="X1394" s="23"/>
      <c r="Y1394" s="23"/>
      <c r="Z1394" s="23"/>
      <c r="AA1394" s="23"/>
      <c r="AB1394" s="23"/>
      <c r="AC1394" s="23"/>
      <c r="AD1394" s="23"/>
      <c r="AE1394" s="23"/>
    </row>
    <row r="1395" spans="1:31">
      <c r="A1395" s="23"/>
      <c r="B1395" s="40"/>
      <c r="C1395" s="40"/>
      <c r="D1395" s="23"/>
      <c r="E1395" s="23"/>
      <c r="F1395" s="23"/>
      <c r="G1395" s="40"/>
      <c r="H1395" s="40"/>
      <c r="I1395" s="40"/>
      <c r="J1395" s="70"/>
      <c r="K1395" s="40"/>
      <c r="L1395" s="70"/>
      <c r="M1395" s="70"/>
      <c r="N1395" s="40"/>
      <c r="O1395" s="70"/>
      <c r="P1395" s="23"/>
      <c r="Q1395" s="23"/>
      <c r="R1395" s="72"/>
      <c r="S1395" s="23"/>
      <c r="T1395" s="23"/>
      <c r="U1395" s="23"/>
      <c r="V1395" s="23"/>
      <c r="W1395" s="23"/>
      <c r="X1395" s="23"/>
      <c r="Y1395" s="23"/>
      <c r="Z1395" s="23"/>
      <c r="AA1395" s="23"/>
      <c r="AB1395" s="23"/>
      <c r="AC1395" s="23"/>
      <c r="AD1395" s="23"/>
      <c r="AE1395" s="23"/>
    </row>
    <row r="1396" spans="1:31">
      <c r="A1396" s="23"/>
      <c r="B1396" s="40"/>
      <c r="C1396" s="40"/>
      <c r="D1396" s="23"/>
      <c r="E1396" s="23"/>
      <c r="F1396" s="23"/>
      <c r="G1396" s="40"/>
      <c r="H1396" s="40"/>
      <c r="I1396" s="40"/>
      <c r="J1396" s="70"/>
      <c r="K1396" s="40"/>
      <c r="L1396" s="70"/>
      <c r="M1396" s="70"/>
      <c r="N1396" s="40"/>
      <c r="O1396" s="70"/>
      <c r="P1396" s="23"/>
      <c r="Q1396" s="23"/>
      <c r="R1396" s="72"/>
      <c r="S1396" s="23"/>
      <c r="T1396" s="23"/>
      <c r="U1396" s="23"/>
      <c r="V1396" s="23"/>
      <c r="W1396" s="23"/>
      <c r="X1396" s="23"/>
      <c r="Y1396" s="23"/>
      <c r="Z1396" s="23"/>
      <c r="AA1396" s="23"/>
      <c r="AB1396" s="23"/>
      <c r="AC1396" s="23"/>
      <c r="AD1396" s="23"/>
      <c r="AE1396" s="23"/>
    </row>
    <row r="1397" spans="1:31">
      <c r="A1397" s="23"/>
      <c r="B1397" s="40"/>
      <c r="C1397" s="40"/>
      <c r="D1397" s="23"/>
      <c r="E1397" s="23"/>
      <c r="F1397" s="23"/>
      <c r="G1397" s="40"/>
      <c r="H1397" s="40"/>
      <c r="I1397" s="40"/>
      <c r="J1397" s="70"/>
      <c r="K1397" s="40"/>
      <c r="L1397" s="70"/>
      <c r="M1397" s="70"/>
      <c r="N1397" s="40"/>
      <c r="O1397" s="70"/>
      <c r="P1397" s="23"/>
      <c r="Q1397" s="23"/>
      <c r="R1397" s="72"/>
      <c r="S1397" s="23"/>
      <c r="T1397" s="23"/>
      <c r="U1397" s="23"/>
      <c r="V1397" s="23"/>
      <c r="W1397" s="23"/>
      <c r="X1397" s="23"/>
      <c r="Y1397" s="23"/>
      <c r="Z1397" s="23"/>
      <c r="AA1397" s="23"/>
      <c r="AB1397" s="23"/>
      <c r="AC1397" s="23"/>
      <c r="AD1397" s="23"/>
      <c r="AE1397" s="23"/>
    </row>
    <row r="1398" spans="1:31">
      <c r="A1398" s="23"/>
      <c r="B1398" s="40"/>
      <c r="C1398" s="40"/>
      <c r="D1398" s="23"/>
      <c r="E1398" s="23"/>
      <c r="F1398" s="23"/>
      <c r="G1398" s="40"/>
      <c r="H1398" s="40"/>
      <c r="I1398" s="40"/>
      <c r="J1398" s="70"/>
      <c r="K1398" s="40"/>
      <c r="L1398" s="70"/>
      <c r="M1398" s="70"/>
      <c r="N1398" s="40"/>
      <c r="O1398" s="70"/>
      <c r="P1398" s="23"/>
      <c r="Q1398" s="23"/>
      <c r="R1398" s="72"/>
      <c r="S1398" s="23"/>
      <c r="T1398" s="23"/>
      <c r="U1398" s="23"/>
      <c r="V1398" s="23"/>
      <c r="W1398" s="23"/>
      <c r="X1398" s="23"/>
      <c r="Y1398" s="23"/>
      <c r="Z1398" s="23"/>
      <c r="AA1398" s="23"/>
      <c r="AB1398" s="23"/>
      <c r="AC1398" s="23"/>
      <c r="AD1398" s="23"/>
      <c r="AE1398" s="23"/>
    </row>
    <row r="1399" spans="1:31">
      <c r="A1399" s="23"/>
      <c r="B1399" s="40"/>
      <c r="C1399" s="40"/>
      <c r="D1399" s="23"/>
      <c r="E1399" s="23"/>
      <c r="F1399" s="23"/>
      <c r="G1399" s="40"/>
      <c r="H1399" s="40"/>
      <c r="I1399" s="40"/>
      <c r="J1399" s="70"/>
      <c r="K1399" s="40"/>
      <c r="L1399" s="70"/>
      <c r="M1399" s="70"/>
      <c r="N1399" s="40"/>
      <c r="O1399" s="70"/>
      <c r="P1399" s="23"/>
      <c r="Q1399" s="23"/>
      <c r="R1399" s="72"/>
      <c r="S1399" s="23"/>
      <c r="T1399" s="23"/>
      <c r="U1399" s="23"/>
      <c r="V1399" s="23"/>
      <c r="W1399" s="23"/>
      <c r="X1399" s="23"/>
      <c r="Y1399" s="23"/>
      <c r="Z1399" s="23"/>
      <c r="AA1399" s="23"/>
      <c r="AB1399" s="23"/>
      <c r="AC1399" s="23"/>
      <c r="AD1399" s="23"/>
      <c r="AE1399" s="23"/>
    </row>
    <row r="1400" spans="1:31">
      <c r="A1400" s="23"/>
      <c r="B1400" s="40"/>
      <c r="C1400" s="40"/>
      <c r="D1400" s="23"/>
      <c r="E1400" s="23"/>
      <c r="F1400" s="23"/>
      <c r="G1400" s="40"/>
      <c r="H1400" s="40"/>
      <c r="I1400" s="40"/>
      <c r="J1400" s="70"/>
      <c r="K1400" s="40"/>
      <c r="L1400" s="70"/>
      <c r="M1400" s="70"/>
      <c r="N1400" s="40"/>
      <c r="O1400" s="70"/>
      <c r="P1400" s="23"/>
      <c r="Q1400" s="23"/>
      <c r="R1400" s="72"/>
      <c r="S1400" s="23"/>
      <c r="T1400" s="23"/>
      <c r="U1400" s="23"/>
      <c r="V1400" s="23"/>
      <c r="W1400" s="23"/>
      <c r="X1400" s="23"/>
      <c r="Y1400" s="23"/>
      <c r="Z1400" s="23"/>
      <c r="AA1400" s="23"/>
      <c r="AB1400" s="23"/>
      <c r="AC1400" s="23"/>
      <c r="AD1400" s="23"/>
      <c r="AE1400" s="23"/>
    </row>
    <row r="1401" spans="1:31">
      <c r="A1401" s="23"/>
      <c r="B1401" s="40"/>
      <c r="C1401" s="40"/>
      <c r="D1401" s="23"/>
      <c r="E1401" s="23"/>
      <c r="F1401" s="23"/>
      <c r="G1401" s="40"/>
      <c r="H1401" s="40"/>
      <c r="I1401" s="40"/>
      <c r="J1401" s="70"/>
      <c r="K1401" s="40"/>
      <c r="L1401" s="70"/>
      <c r="M1401" s="70"/>
      <c r="N1401" s="40"/>
      <c r="O1401" s="70"/>
      <c r="P1401" s="23"/>
      <c r="Q1401" s="23"/>
      <c r="R1401" s="72"/>
      <c r="S1401" s="23"/>
      <c r="T1401" s="23"/>
      <c r="U1401" s="23"/>
      <c r="V1401" s="23"/>
      <c r="W1401" s="23"/>
      <c r="X1401" s="23"/>
      <c r="Y1401" s="23"/>
      <c r="Z1401" s="23"/>
      <c r="AA1401" s="23"/>
      <c r="AB1401" s="23"/>
      <c r="AC1401" s="23"/>
      <c r="AD1401" s="23"/>
      <c r="AE1401" s="23"/>
    </row>
    <row r="1402" spans="1:31">
      <c r="A1402" s="23"/>
      <c r="B1402" s="40"/>
      <c r="C1402" s="40"/>
      <c r="D1402" s="23"/>
      <c r="E1402" s="23"/>
      <c r="F1402" s="23"/>
      <c r="G1402" s="40"/>
      <c r="H1402" s="40"/>
      <c r="I1402" s="40"/>
      <c r="J1402" s="70"/>
      <c r="K1402" s="70"/>
      <c r="L1402" s="70"/>
      <c r="M1402" s="70"/>
      <c r="N1402" s="70"/>
      <c r="O1402" s="70"/>
      <c r="P1402" s="23"/>
      <c r="Q1402" s="23"/>
      <c r="R1402" s="72"/>
      <c r="S1402" s="23"/>
      <c r="T1402" s="23"/>
      <c r="U1402" s="23"/>
      <c r="V1402" s="23"/>
      <c r="W1402" s="23"/>
      <c r="X1402" s="23"/>
      <c r="Y1402" s="23"/>
      <c r="Z1402" s="23"/>
      <c r="AA1402" s="23"/>
      <c r="AB1402" s="23"/>
      <c r="AC1402" s="23"/>
      <c r="AD1402" s="23"/>
      <c r="AE1402" s="23"/>
    </row>
    <row r="1403" spans="1:31">
      <c r="A1403" s="23"/>
      <c r="B1403" s="40"/>
      <c r="C1403" s="40"/>
      <c r="D1403" s="23"/>
      <c r="E1403" s="23"/>
      <c r="F1403" s="23"/>
      <c r="G1403" s="40"/>
      <c r="H1403" s="40"/>
      <c r="I1403" s="40"/>
      <c r="J1403" s="70"/>
      <c r="K1403" s="70"/>
      <c r="L1403" s="70"/>
      <c r="M1403" s="70"/>
      <c r="N1403" s="70"/>
      <c r="O1403" s="70"/>
      <c r="P1403" s="23"/>
      <c r="Q1403" s="23"/>
      <c r="R1403" s="72"/>
      <c r="S1403" s="23"/>
      <c r="T1403" s="23"/>
      <c r="U1403" s="23"/>
      <c r="V1403" s="23"/>
      <c r="W1403" s="23"/>
      <c r="X1403" s="23"/>
      <c r="Y1403" s="23"/>
      <c r="Z1403" s="23"/>
      <c r="AA1403" s="23"/>
      <c r="AB1403" s="23"/>
      <c r="AC1403" s="23"/>
      <c r="AD1403" s="23"/>
      <c r="AE1403" s="23"/>
    </row>
    <row r="1404" spans="1:31">
      <c r="A1404" s="23"/>
      <c r="B1404" s="40"/>
      <c r="C1404" s="40"/>
      <c r="D1404" s="23"/>
      <c r="E1404" s="23"/>
      <c r="F1404" s="23"/>
      <c r="G1404" s="40"/>
      <c r="H1404" s="40"/>
      <c r="I1404" s="40"/>
      <c r="J1404" s="70"/>
      <c r="K1404" s="70"/>
      <c r="L1404" s="70"/>
      <c r="M1404" s="70"/>
      <c r="N1404" s="70"/>
      <c r="O1404" s="70"/>
      <c r="P1404" s="23"/>
      <c r="Q1404" s="23"/>
      <c r="R1404" s="72"/>
      <c r="S1404" s="23"/>
      <c r="T1404" s="23"/>
      <c r="U1404" s="23"/>
      <c r="V1404" s="23"/>
      <c r="W1404" s="23"/>
      <c r="X1404" s="23"/>
      <c r="Y1404" s="23"/>
      <c r="Z1404" s="23"/>
      <c r="AA1404" s="23"/>
      <c r="AB1404" s="23"/>
      <c r="AC1404" s="23"/>
      <c r="AD1404" s="23"/>
      <c r="AE1404" s="23"/>
    </row>
    <row r="1405" spans="1:31">
      <c r="A1405" s="23"/>
      <c r="B1405" s="40"/>
      <c r="C1405" s="40"/>
      <c r="D1405" s="23"/>
      <c r="E1405" s="23"/>
      <c r="F1405" s="23"/>
      <c r="G1405" s="40"/>
      <c r="H1405" s="40"/>
      <c r="I1405" s="40"/>
      <c r="J1405" s="70"/>
      <c r="K1405" s="70"/>
      <c r="L1405" s="70"/>
      <c r="M1405" s="70"/>
      <c r="N1405" s="70"/>
      <c r="O1405" s="70"/>
      <c r="P1405" s="23"/>
      <c r="Q1405" s="23"/>
      <c r="R1405" s="72"/>
      <c r="S1405" s="23"/>
      <c r="T1405" s="23"/>
      <c r="U1405" s="23"/>
      <c r="V1405" s="23"/>
      <c r="W1405" s="23"/>
      <c r="X1405" s="23"/>
      <c r="Y1405" s="23"/>
      <c r="Z1405" s="23"/>
      <c r="AA1405" s="23"/>
      <c r="AB1405" s="23"/>
      <c r="AC1405" s="23"/>
      <c r="AD1405" s="23"/>
      <c r="AE1405" s="23"/>
    </row>
    <row r="1406" spans="1:31">
      <c r="A1406" s="23"/>
      <c r="B1406" s="40"/>
      <c r="C1406" s="40"/>
      <c r="D1406" s="23"/>
      <c r="E1406" s="23"/>
      <c r="F1406" s="23"/>
      <c r="G1406" s="40"/>
      <c r="H1406" s="40"/>
      <c r="I1406" s="40"/>
      <c r="J1406" s="70"/>
      <c r="K1406" s="70"/>
      <c r="L1406" s="70"/>
      <c r="M1406" s="70"/>
      <c r="N1406" s="70"/>
      <c r="O1406" s="70"/>
      <c r="P1406" s="23"/>
      <c r="Q1406" s="23"/>
      <c r="R1406" s="72"/>
      <c r="S1406" s="23"/>
      <c r="T1406" s="23"/>
      <c r="U1406" s="23"/>
      <c r="V1406" s="23"/>
      <c r="W1406" s="23"/>
      <c r="X1406" s="23"/>
      <c r="Y1406" s="23"/>
      <c r="Z1406" s="23"/>
      <c r="AA1406" s="23"/>
      <c r="AB1406" s="23"/>
      <c r="AC1406" s="23"/>
      <c r="AD1406" s="23"/>
      <c r="AE1406" s="23"/>
    </row>
    <row r="1407" spans="1:31">
      <c r="A1407" s="23"/>
      <c r="B1407" s="40"/>
      <c r="C1407" s="40"/>
      <c r="D1407" s="23"/>
      <c r="E1407" s="23"/>
      <c r="F1407" s="23"/>
      <c r="G1407" s="40"/>
      <c r="H1407" s="40"/>
      <c r="I1407" s="40"/>
      <c r="J1407" s="70"/>
      <c r="K1407" s="70"/>
      <c r="L1407" s="70"/>
      <c r="M1407" s="70"/>
      <c r="N1407" s="70"/>
      <c r="O1407" s="70"/>
      <c r="P1407" s="23"/>
      <c r="Q1407" s="23"/>
      <c r="R1407" s="72"/>
      <c r="S1407" s="23"/>
      <c r="T1407" s="23"/>
      <c r="U1407" s="23"/>
      <c r="V1407" s="23"/>
      <c r="W1407" s="23"/>
      <c r="X1407" s="23"/>
      <c r="Y1407" s="23"/>
      <c r="Z1407" s="23"/>
      <c r="AA1407" s="23"/>
      <c r="AB1407" s="23"/>
      <c r="AC1407" s="23"/>
      <c r="AD1407" s="23"/>
      <c r="AE1407" s="23"/>
    </row>
    <row r="1408" spans="1:31">
      <c r="A1408" s="23"/>
      <c r="B1408" s="40"/>
      <c r="C1408" s="40"/>
      <c r="D1408" s="23"/>
      <c r="E1408" s="23"/>
      <c r="F1408" s="23"/>
      <c r="G1408" s="40"/>
      <c r="H1408" s="40"/>
      <c r="I1408" s="40"/>
      <c r="J1408" s="70"/>
      <c r="K1408" s="70"/>
      <c r="L1408" s="70"/>
      <c r="M1408" s="70"/>
      <c r="N1408" s="70"/>
      <c r="O1408" s="70"/>
      <c r="P1408" s="23"/>
      <c r="Q1408" s="23"/>
      <c r="R1408" s="72"/>
      <c r="S1408" s="23"/>
      <c r="T1408" s="23"/>
      <c r="U1408" s="23"/>
      <c r="V1408" s="23"/>
      <c r="W1408" s="23"/>
      <c r="X1408" s="23"/>
      <c r="Y1408" s="23"/>
      <c r="Z1408" s="23"/>
      <c r="AA1408" s="23"/>
      <c r="AB1408" s="23"/>
      <c r="AC1408" s="23"/>
      <c r="AD1408" s="23"/>
      <c r="AE1408" s="23"/>
    </row>
    <row r="1409" spans="1:31">
      <c r="A1409" s="23"/>
      <c r="B1409" s="40"/>
      <c r="C1409" s="40"/>
      <c r="D1409" s="23"/>
      <c r="E1409" s="23"/>
      <c r="F1409" s="23"/>
      <c r="G1409" s="40"/>
      <c r="H1409" s="40"/>
      <c r="I1409" s="40"/>
      <c r="J1409" s="70"/>
      <c r="K1409" s="70"/>
      <c r="L1409" s="70"/>
      <c r="M1409" s="70"/>
      <c r="N1409" s="70"/>
      <c r="O1409" s="70"/>
      <c r="P1409" s="23"/>
      <c r="Q1409" s="23"/>
      <c r="R1409" s="72"/>
      <c r="S1409" s="23"/>
      <c r="T1409" s="23"/>
      <c r="U1409" s="23"/>
      <c r="V1409" s="23"/>
      <c r="W1409" s="23"/>
      <c r="X1409" s="23"/>
      <c r="Y1409" s="23"/>
      <c r="Z1409" s="23"/>
      <c r="AA1409" s="23"/>
      <c r="AB1409" s="23"/>
      <c r="AC1409" s="23"/>
      <c r="AD1409" s="23"/>
      <c r="AE1409" s="23"/>
    </row>
    <row r="1410" spans="1:31">
      <c r="A1410" s="23"/>
      <c r="B1410" s="40"/>
      <c r="C1410" s="40"/>
      <c r="D1410" s="23"/>
      <c r="E1410" s="23"/>
      <c r="F1410" s="23"/>
      <c r="G1410" s="40"/>
      <c r="H1410" s="40"/>
      <c r="I1410" s="40"/>
      <c r="J1410" s="70"/>
      <c r="K1410" s="70"/>
      <c r="L1410" s="70"/>
      <c r="M1410" s="70"/>
      <c r="N1410" s="70"/>
      <c r="O1410" s="70"/>
      <c r="P1410" s="23"/>
      <c r="Q1410" s="23"/>
      <c r="R1410" s="72"/>
      <c r="S1410" s="23"/>
      <c r="T1410" s="23"/>
      <c r="U1410" s="23"/>
      <c r="V1410" s="23"/>
      <c r="W1410" s="23"/>
      <c r="X1410" s="23"/>
      <c r="Y1410" s="23"/>
      <c r="Z1410" s="23"/>
      <c r="AA1410" s="23"/>
      <c r="AB1410" s="23"/>
      <c r="AC1410" s="23"/>
      <c r="AD1410" s="23"/>
      <c r="AE1410" s="23"/>
    </row>
    <row r="1411" spans="1:31">
      <c r="A1411" s="23"/>
      <c r="B1411" s="40"/>
      <c r="C1411" s="40"/>
      <c r="D1411" s="23"/>
      <c r="E1411" s="23"/>
      <c r="F1411" s="23"/>
      <c r="G1411" s="40"/>
      <c r="H1411" s="40"/>
      <c r="I1411" s="40"/>
      <c r="J1411" s="70"/>
      <c r="K1411" s="70"/>
      <c r="L1411" s="70"/>
      <c r="M1411" s="70"/>
      <c r="N1411" s="70"/>
      <c r="O1411" s="70"/>
      <c r="P1411" s="23"/>
      <c r="Q1411" s="23"/>
      <c r="R1411" s="72"/>
      <c r="S1411" s="23"/>
      <c r="T1411" s="23"/>
      <c r="U1411" s="23"/>
      <c r="V1411" s="23"/>
      <c r="W1411" s="23"/>
      <c r="X1411" s="23"/>
      <c r="Y1411" s="23"/>
      <c r="Z1411" s="23"/>
      <c r="AA1411" s="23"/>
      <c r="AB1411" s="23"/>
      <c r="AC1411" s="23"/>
      <c r="AD1411" s="23"/>
      <c r="AE1411" s="23"/>
    </row>
    <row r="1412" spans="1:31">
      <c r="A1412" s="23"/>
      <c r="B1412" s="40"/>
      <c r="C1412" s="40"/>
      <c r="D1412" s="23"/>
      <c r="E1412" s="23"/>
      <c r="F1412" s="23"/>
      <c r="G1412" s="40"/>
      <c r="H1412" s="40"/>
      <c r="I1412" s="40"/>
      <c r="J1412" s="70"/>
      <c r="K1412" s="70"/>
      <c r="L1412" s="70"/>
      <c r="M1412" s="70"/>
      <c r="N1412" s="70"/>
      <c r="O1412" s="70"/>
      <c r="P1412" s="23"/>
      <c r="Q1412" s="23"/>
      <c r="R1412" s="72"/>
      <c r="S1412" s="23"/>
      <c r="T1412" s="23"/>
      <c r="U1412" s="23"/>
      <c r="V1412" s="23"/>
      <c r="W1412" s="23"/>
      <c r="X1412" s="23"/>
      <c r="Y1412" s="23"/>
      <c r="Z1412" s="23"/>
      <c r="AA1412" s="23"/>
      <c r="AB1412" s="23"/>
      <c r="AC1412" s="23"/>
      <c r="AD1412" s="23"/>
      <c r="AE1412" s="23"/>
    </row>
    <row r="1413" spans="1:31" ht="24" customHeight="1">
      <c r="A1413" s="23"/>
      <c r="B1413" s="40"/>
      <c r="C1413" s="40"/>
      <c r="D1413" s="23"/>
      <c r="E1413" s="23"/>
      <c r="F1413" s="23"/>
      <c r="G1413" s="40"/>
      <c r="H1413" s="40"/>
      <c r="I1413" s="40"/>
      <c r="J1413" s="70"/>
      <c r="K1413" s="70"/>
      <c r="L1413" s="70"/>
      <c r="M1413" s="70"/>
      <c r="N1413" s="70"/>
      <c r="O1413" s="70"/>
      <c r="P1413" s="23"/>
      <c r="Q1413" s="23"/>
      <c r="R1413" s="72"/>
      <c r="S1413" s="23"/>
      <c r="T1413" s="23"/>
      <c r="U1413" s="23"/>
      <c r="V1413" s="23"/>
      <c r="W1413" s="23"/>
      <c r="X1413" s="23"/>
      <c r="Y1413" s="23"/>
      <c r="Z1413" s="23"/>
      <c r="AA1413" s="23"/>
      <c r="AB1413" s="23"/>
      <c r="AC1413" s="23"/>
      <c r="AD1413" s="23"/>
      <c r="AE1413" s="23"/>
    </row>
    <row r="1414" spans="1:31">
      <c r="A1414" s="23"/>
      <c r="B1414" s="40"/>
      <c r="C1414" s="40"/>
      <c r="D1414" s="23"/>
      <c r="E1414" s="23"/>
      <c r="F1414" s="23"/>
      <c r="G1414" s="40"/>
      <c r="H1414" s="40"/>
      <c r="I1414" s="40"/>
      <c r="J1414" s="70"/>
      <c r="K1414" s="70"/>
      <c r="L1414" s="70"/>
      <c r="M1414" s="70"/>
      <c r="N1414" s="70"/>
      <c r="O1414" s="70"/>
      <c r="P1414" s="23"/>
      <c r="Q1414" s="23"/>
      <c r="R1414" s="72"/>
      <c r="S1414" s="23"/>
      <c r="T1414" s="23"/>
      <c r="U1414" s="23"/>
      <c r="V1414" s="23"/>
      <c r="W1414" s="23"/>
      <c r="X1414" s="23"/>
      <c r="Y1414" s="23"/>
      <c r="Z1414" s="23"/>
      <c r="AA1414" s="23"/>
      <c r="AB1414" s="23"/>
      <c r="AC1414" s="23"/>
      <c r="AD1414" s="23"/>
      <c r="AE1414" s="23"/>
    </row>
    <row r="1415" spans="1:31">
      <c r="A1415" s="23"/>
      <c r="B1415" s="40"/>
      <c r="C1415" s="40"/>
      <c r="D1415" s="23"/>
      <c r="E1415" s="23"/>
      <c r="F1415" s="23"/>
      <c r="G1415" s="40"/>
      <c r="H1415" s="40"/>
      <c r="I1415" s="40"/>
      <c r="J1415" s="70"/>
      <c r="K1415" s="70"/>
      <c r="L1415" s="70"/>
      <c r="M1415" s="70"/>
      <c r="N1415" s="70"/>
      <c r="O1415" s="70"/>
      <c r="P1415" s="23"/>
      <c r="Q1415" s="23"/>
      <c r="R1415" s="72"/>
      <c r="S1415" s="23"/>
      <c r="T1415" s="23"/>
      <c r="U1415" s="23"/>
      <c r="V1415" s="23"/>
      <c r="W1415" s="23"/>
      <c r="X1415" s="23"/>
      <c r="Y1415" s="23"/>
      <c r="Z1415" s="23"/>
      <c r="AA1415" s="23"/>
      <c r="AB1415" s="23"/>
      <c r="AC1415" s="23"/>
      <c r="AD1415" s="23"/>
      <c r="AE1415" s="23"/>
    </row>
    <row r="1416" spans="1:31" ht="24" customHeight="1">
      <c r="A1416" s="23"/>
      <c r="B1416" s="40"/>
      <c r="C1416" s="40"/>
      <c r="D1416" s="23"/>
      <c r="E1416" s="23"/>
      <c r="F1416" s="23"/>
      <c r="G1416" s="40"/>
      <c r="H1416" s="40"/>
      <c r="I1416" s="40"/>
      <c r="J1416" s="70"/>
      <c r="K1416" s="70"/>
      <c r="L1416" s="70"/>
      <c r="M1416" s="70"/>
      <c r="N1416" s="70"/>
      <c r="O1416" s="70"/>
      <c r="P1416" s="23"/>
      <c r="Q1416" s="23"/>
      <c r="R1416" s="72"/>
      <c r="S1416" s="23"/>
      <c r="T1416" s="23"/>
      <c r="U1416" s="23"/>
      <c r="V1416" s="23"/>
      <c r="W1416" s="23"/>
      <c r="X1416" s="23"/>
      <c r="Y1416" s="23"/>
      <c r="Z1416" s="23"/>
      <c r="AA1416" s="23"/>
      <c r="AB1416" s="23"/>
      <c r="AC1416" s="23"/>
      <c r="AD1416" s="23"/>
      <c r="AE1416" s="23"/>
    </row>
    <row r="1417" spans="1:31">
      <c r="A1417" s="23"/>
      <c r="B1417" s="40"/>
      <c r="C1417" s="40"/>
      <c r="D1417" s="23"/>
      <c r="E1417" s="23"/>
      <c r="F1417" s="23"/>
      <c r="G1417" s="40"/>
      <c r="H1417" s="40"/>
      <c r="I1417" s="40"/>
      <c r="J1417" s="70"/>
      <c r="K1417" s="70"/>
      <c r="L1417" s="70"/>
      <c r="M1417" s="70"/>
      <c r="N1417" s="70"/>
      <c r="O1417" s="70"/>
      <c r="P1417" s="23"/>
      <c r="Q1417" s="23"/>
      <c r="R1417" s="72"/>
      <c r="S1417" s="23"/>
      <c r="T1417" s="23"/>
      <c r="U1417" s="23"/>
      <c r="V1417" s="23"/>
      <c r="W1417" s="23"/>
      <c r="X1417" s="23"/>
      <c r="Y1417" s="23"/>
      <c r="Z1417" s="23"/>
      <c r="AA1417" s="23"/>
      <c r="AB1417" s="23"/>
      <c r="AC1417" s="23"/>
      <c r="AD1417" s="23"/>
      <c r="AE1417" s="23"/>
    </row>
    <row r="1418" spans="1:31">
      <c r="A1418" s="23"/>
      <c r="B1418" s="40"/>
      <c r="C1418" s="40"/>
      <c r="D1418" s="23"/>
      <c r="E1418" s="23"/>
      <c r="F1418" s="23"/>
      <c r="G1418" s="40"/>
      <c r="H1418" s="40"/>
      <c r="I1418" s="40"/>
      <c r="J1418" s="70"/>
      <c r="K1418" s="70"/>
      <c r="L1418" s="70"/>
      <c r="M1418" s="70"/>
      <c r="N1418" s="70"/>
      <c r="O1418" s="70"/>
      <c r="P1418" s="23"/>
      <c r="Q1418" s="23"/>
      <c r="R1418" s="72"/>
      <c r="S1418" s="23"/>
      <c r="T1418" s="23"/>
      <c r="U1418" s="23"/>
      <c r="V1418" s="23"/>
      <c r="W1418" s="23"/>
      <c r="X1418" s="23"/>
      <c r="Y1418" s="23"/>
      <c r="Z1418" s="23"/>
      <c r="AA1418" s="23"/>
      <c r="AB1418" s="23"/>
      <c r="AC1418" s="23"/>
      <c r="AD1418" s="23"/>
      <c r="AE1418" s="23"/>
    </row>
    <row r="1419" spans="1:31">
      <c r="A1419" s="23"/>
      <c r="B1419" s="40"/>
      <c r="C1419" s="40"/>
      <c r="D1419" s="23"/>
      <c r="E1419" s="23"/>
      <c r="F1419" s="23"/>
      <c r="G1419" s="40"/>
      <c r="H1419" s="40"/>
      <c r="I1419" s="40"/>
      <c r="J1419" s="70"/>
      <c r="K1419" s="70"/>
      <c r="L1419" s="70"/>
      <c r="M1419" s="70"/>
      <c r="N1419" s="70"/>
      <c r="O1419" s="70"/>
      <c r="P1419" s="23"/>
      <c r="Q1419" s="23"/>
      <c r="R1419" s="72"/>
      <c r="S1419" s="23"/>
      <c r="T1419" s="23"/>
      <c r="U1419" s="23"/>
      <c r="V1419" s="23"/>
      <c r="W1419" s="23"/>
      <c r="X1419" s="23"/>
      <c r="Y1419" s="23"/>
      <c r="Z1419" s="23"/>
      <c r="AA1419" s="23"/>
      <c r="AB1419" s="23"/>
      <c r="AC1419" s="23"/>
      <c r="AD1419" s="23"/>
      <c r="AE1419" s="23"/>
    </row>
    <row r="1420" spans="1:31">
      <c r="A1420" s="23"/>
      <c r="B1420" s="40"/>
      <c r="C1420" s="40"/>
      <c r="D1420" s="23"/>
      <c r="E1420" s="23"/>
      <c r="F1420" s="23"/>
      <c r="G1420" s="40"/>
      <c r="H1420" s="40"/>
      <c r="I1420" s="40"/>
      <c r="J1420" s="70"/>
      <c r="K1420" s="70"/>
      <c r="L1420" s="70"/>
      <c r="M1420" s="70"/>
      <c r="N1420" s="70"/>
      <c r="O1420" s="70"/>
      <c r="P1420" s="23"/>
      <c r="Q1420" s="23"/>
      <c r="R1420" s="72"/>
      <c r="S1420" s="23"/>
      <c r="T1420" s="23"/>
      <c r="U1420" s="23"/>
      <c r="V1420" s="23"/>
      <c r="W1420" s="23"/>
      <c r="X1420" s="23"/>
      <c r="Y1420" s="23"/>
      <c r="Z1420" s="23"/>
      <c r="AA1420" s="23"/>
      <c r="AB1420" s="23"/>
      <c r="AC1420" s="23"/>
      <c r="AD1420" s="23"/>
      <c r="AE1420" s="23"/>
    </row>
    <row r="1421" spans="1:31">
      <c r="A1421" s="23"/>
      <c r="B1421" s="40"/>
      <c r="C1421" s="40"/>
      <c r="D1421" s="23"/>
      <c r="E1421" s="23"/>
      <c r="F1421" s="23"/>
      <c r="G1421" s="40"/>
      <c r="H1421" s="40"/>
      <c r="I1421" s="40"/>
      <c r="J1421" s="70"/>
      <c r="K1421" s="70"/>
      <c r="L1421" s="70"/>
      <c r="M1421" s="70"/>
      <c r="N1421" s="70"/>
      <c r="O1421" s="70"/>
      <c r="P1421" s="23"/>
      <c r="Q1421" s="23"/>
      <c r="R1421" s="72"/>
      <c r="S1421" s="23"/>
      <c r="T1421" s="23"/>
      <c r="U1421" s="23"/>
      <c r="V1421" s="23"/>
      <c r="W1421" s="23"/>
      <c r="X1421" s="23"/>
      <c r="Y1421" s="23"/>
      <c r="Z1421" s="23"/>
      <c r="AA1421" s="23"/>
      <c r="AB1421" s="23"/>
      <c r="AC1421" s="23"/>
      <c r="AD1421" s="23"/>
      <c r="AE1421" s="23"/>
    </row>
    <row r="1422" spans="1:31">
      <c r="A1422" s="23"/>
      <c r="B1422" s="40"/>
      <c r="C1422" s="40"/>
      <c r="D1422" s="23"/>
      <c r="E1422" s="23"/>
      <c r="F1422" s="23"/>
      <c r="G1422" s="40"/>
      <c r="H1422" s="40"/>
      <c r="I1422" s="40"/>
      <c r="J1422" s="70"/>
      <c r="K1422" s="70"/>
      <c r="L1422" s="70"/>
      <c r="M1422" s="70"/>
      <c r="N1422" s="70"/>
      <c r="O1422" s="70"/>
      <c r="P1422" s="23"/>
      <c r="Q1422" s="23"/>
      <c r="R1422" s="72"/>
      <c r="S1422" s="23"/>
      <c r="T1422" s="23"/>
      <c r="U1422" s="23"/>
      <c r="V1422" s="23"/>
      <c r="W1422" s="23"/>
      <c r="X1422" s="23"/>
      <c r="Y1422" s="23"/>
      <c r="Z1422" s="23"/>
      <c r="AA1422" s="23"/>
      <c r="AB1422" s="23"/>
      <c r="AC1422" s="23"/>
      <c r="AD1422" s="23"/>
      <c r="AE1422" s="23"/>
    </row>
    <row r="1423" spans="1:31">
      <c r="A1423" s="23"/>
      <c r="B1423" s="40"/>
      <c r="C1423" s="40"/>
      <c r="D1423" s="23"/>
      <c r="E1423" s="23"/>
      <c r="F1423" s="23"/>
      <c r="G1423" s="40"/>
      <c r="H1423" s="40"/>
      <c r="I1423" s="40"/>
      <c r="J1423" s="70"/>
      <c r="K1423" s="70"/>
      <c r="L1423" s="70"/>
      <c r="M1423" s="70"/>
      <c r="N1423" s="70"/>
      <c r="O1423" s="70"/>
      <c r="P1423" s="23"/>
      <c r="Q1423" s="23"/>
      <c r="R1423" s="72"/>
      <c r="S1423" s="23"/>
      <c r="T1423" s="23"/>
      <c r="U1423" s="23"/>
      <c r="V1423" s="23"/>
      <c r="W1423" s="23"/>
      <c r="X1423" s="23"/>
      <c r="Y1423" s="23"/>
      <c r="Z1423" s="23"/>
      <c r="AA1423" s="23"/>
      <c r="AB1423" s="23"/>
      <c r="AC1423" s="23"/>
      <c r="AD1423" s="23"/>
      <c r="AE1423" s="23"/>
    </row>
    <row r="1424" spans="1:31">
      <c r="A1424" s="23"/>
      <c r="B1424" s="40"/>
      <c r="C1424" s="40"/>
      <c r="D1424" s="23"/>
      <c r="E1424" s="23"/>
      <c r="F1424" s="23"/>
      <c r="G1424" s="40"/>
      <c r="H1424" s="40"/>
      <c r="I1424" s="40"/>
      <c r="J1424" s="70"/>
      <c r="K1424" s="70"/>
      <c r="L1424" s="70"/>
      <c r="M1424" s="70"/>
      <c r="N1424" s="70"/>
      <c r="O1424" s="70"/>
      <c r="P1424" s="23"/>
      <c r="Q1424" s="23"/>
      <c r="R1424" s="72"/>
      <c r="S1424" s="23"/>
      <c r="T1424" s="23"/>
      <c r="U1424" s="23"/>
      <c r="V1424" s="23"/>
      <c r="W1424" s="23"/>
      <c r="X1424" s="23"/>
      <c r="Y1424" s="23"/>
      <c r="Z1424" s="23"/>
      <c r="AA1424" s="23"/>
      <c r="AB1424" s="23"/>
      <c r="AC1424" s="23"/>
      <c r="AD1424" s="23"/>
      <c r="AE1424" s="23"/>
    </row>
    <row r="1425" spans="1:31" ht="24" customHeight="1">
      <c r="A1425" s="23"/>
      <c r="B1425" s="40"/>
      <c r="C1425" s="40"/>
      <c r="D1425" s="23"/>
      <c r="E1425" s="23"/>
      <c r="F1425" s="23"/>
      <c r="G1425" s="40"/>
      <c r="H1425" s="40"/>
      <c r="I1425" s="40"/>
      <c r="J1425" s="70"/>
      <c r="K1425" s="70"/>
      <c r="L1425" s="70"/>
      <c r="M1425" s="70"/>
      <c r="N1425" s="70"/>
      <c r="O1425" s="70"/>
      <c r="P1425" s="23"/>
      <c r="Q1425" s="23"/>
      <c r="R1425" s="72"/>
      <c r="S1425" s="23"/>
      <c r="T1425" s="23"/>
      <c r="U1425" s="23"/>
      <c r="V1425" s="23"/>
      <c r="W1425" s="23"/>
      <c r="X1425" s="23"/>
      <c r="Y1425" s="23"/>
      <c r="Z1425" s="23"/>
      <c r="AA1425" s="23"/>
      <c r="AB1425" s="23"/>
      <c r="AC1425" s="23"/>
      <c r="AD1425" s="23"/>
      <c r="AE1425" s="23"/>
    </row>
    <row r="1426" spans="1:31">
      <c r="A1426" s="23"/>
      <c r="B1426" s="40"/>
      <c r="C1426" s="40"/>
      <c r="D1426" s="23"/>
      <c r="E1426" s="23"/>
      <c r="F1426" s="23"/>
      <c r="G1426" s="40"/>
      <c r="H1426" s="40"/>
      <c r="I1426" s="40"/>
      <c r="J1426" s="70"/>
      <c r="K1426" s="70"/>
      <c r="L1426" s="70"/>
      <c r="M1426" s="70"/>
      <c r="N1426" s="70"/>
      <c r="O1426" s="70"/>
      <c r="P1426" s="23"/>
      <c r="Q1426" s="23"/>
      <c r="R1426" s="72"/>
      <c r="S1426" s="23"/>
      <c r="T1426" s="23"/>
      <c r="U1426" s="23"/>
      <c r="V1426" s="23"/>
      <c r="W1426" s="23"/>
      <c r="X1426" s="23"/>
      <c r="Y1426" s="23"/>
      <c r="Z1426" s="23"/>
      <c r="AA1426" s="23"/>
      <c r="AB1426" s="23"/>
      <c r="AC1426" s="23"/>
      <c r="AD1426" s="23"/>
      <c r="AE1426" s="23"/>
    </row>
    <row r="1427" spans="1:31">
      <c r="A1427" s="23"/>
      <c r="B1427" s="40"/>
      <c r="C1427" s="40"/>
      <c r="D1427" s="23"/>
      <c r="E1427" s="23"/>
      <c r="F1427" s="23"/>
      <c r="G1427" s="40"/>
      <c r="H1427" s="40"/>
      <c r="I1427" s="40"/>
      <c r="J1427" s="70"/>
      <c r="K1427" s="70"/>
      <c r="L1427" s="70"/>
      <c r="M1427" s="70"/>
      <c r="N1427" s="70"/>
      <c r="O1427" s="70"/>
      <c r="P1427" s="23"/>
      <c r="Q1427" s="23"/>
      <c r="R1427" s="72"/>
      <c r="S1427" s="23"/>
      <c r="T1427" s="23"/>
      <c r="U1427" s="23"/>
      <c r="V1427" s="23"/>
      <c r="W1427" s="23"/>
      <c r="X1427" s="23"/>
      <c r="Y1427" s="23"/>
      <c r="Z1427" s="23"/>
      <c r="AA1427" s="23"/>
      <c r="AB1427" s="23"/>
      <c r="AC1427" s="23"/>
      <c r="AD1427" s="23"/>
      <c r="AE1427" s="23"/>
    </row>
    <row r="1428" spans="1:31" ht="24" customHeight="1">
      <c r="A1428" s="23"/>
      <c r="B1428" s="40"/>
      <c r="C1428" s="40"/>
      <c r="D1428" s="23"/>
      <c r="E1428" s="23"/>
      <c r="F1428" s="23"/>
      <c r="G1428" s="40"/>
      <c r="H1428" s="40"/>
      <c r="I1428" s="40"/>
      <c r="J1428" s="70"/>
      <c r="K1428" s="70"/>
      <c r="L1428" s="70"/>
      <c r="M1428" s="70"/>
      <c r="N1428" s="70"/>
      <c r="O1428" s="70"/>
      <c r="P1428" s="23"/>
      <c r="Q1428" s="23"/>
      <c r="R1428" s="72"/>
      <c r="S1428" s="23"/>
      <c r="T1428" s="23"/>
      <c r="U1428" s="23"/>
      <c r="V1428" s="23"/>
      <c r="W1428" s="23"/>
      <c r="X1428" s="23"/>
      <c r="Y1428" s="23"/>
      <c r="Z1428" s="23"/>
      <c r="AA1428" s="23"/>
      <c r="AB1428" s="23"/>
      <c r="AC1428" s="23"/>
      <c r="AD1428" s="23"/>
      <c r="AE1428" s="23"/>
    </row>
    <row r="1429" spans="1:31">
      <c r="A1429" s="23"/>
      <c r="B1429" s="40"/>
      <c r="C1429" s="40"/>
      <c r="D1429" s="23"/>
      <c r="E1429" s="23"/>
      <c r="F1429" s="23"/>
      <c r="G1429" s="40"/>
      <c r="H1429" s="40"/>
      <c r="I1429" s="40"/>
      <c r="J1429" s="70"/>
      <c r="K1429" s="70"/>
      <c r="L1429" s="70"/>
      <c r="M1429" s="70"/>
      <c r="N1429" s="70"/>
      <c r="O1429" s="70"/>
      <c r="P1429" s="23"/>
      <c r="Q1429" s="23"/>
      <c r="R1429" s="72"/>
      <c r="S1429" s="23"/>
      <c r="T1429" s="23"/>
      <c r="U1429" s="23"/>
      <c r="V1429" s="23"/>
      <c r="W1429" s="23"/>
      <c r="X1429" s="23"/>
      <c r="Y1429" s="23"/>
      <c r="Z1429" s="23"/>
      <c r="AA1429" s="23"/>
      <c r="AB1429" s="23"/>
      <c r="AC1429" s="23"/>
      <c r="AD1429" s="23"/>
      <c r="AE1429" s="23"/>
    </row>
    <row r="1430" spans="1:31">
      <c r="A1430" s="23"/>
      <c r="B1430" s="40"/>
      <c r="C1430" s="40"/>
      <c r="D1430" s="23"/>
      <c r="E1430" s="23"/>
      <c r="F1430" s="23"/>
      <c r="G1430" s="40"/>
      <c r="H1430" s="40"/>
      <c r="I1430" s="40"/>
      <c r="J1430" s="70"/>
      <c r="K1430" s="70"/>
      <c r="L1430" s="70"/>
      <c r="M1430" s="70"/>
      <c r="N1430" s="70"/>
      <c r="O1430" s="70"/>
      <c r="P1430" s="23"/>
      <c r="Q1430" s="23"/>
      <c r="R1430" s="72"/>
      <c r="S1430" s="23"/>
      <c r="T1430" s="23"/>
      <c r="U1430" s="23"/>
      <c r="V1430" s="23"/>
      <c r="W1430" s="23"/>
      <c r="X1430" s="23"/>
      <c r="Y1430" s="23"/>
      <c r="Z1430" s="23"/>
      <c r="AA1430" s="23"/>
      <c r="AB1430" s="23"/>
      <c r="AC1430" s="23"/>
      <c r="AD1430" s="23"/>
      <c r="AE1430" s="23"/>
    </row>
    <row r="1431" spans="1:31">
      <c r="A1431" s="23"/>
      <c r="B1431" s="40"/>
      <c r="C1431" s="40"/>
      <c r="D1431" s="23"/>
      <c r="E1431" s="23"/>
      <c r="F1431" s="23"/>
      <c r="G1431" s="40"/>
      <c r="H1431" s="40"/>
      <c r="I1431" s="40"/>
      <c r="J1431" s="70"/>
      <c r="K1431" s="70"/>
      <c r="L1431" s="70"/>
      <c r="M1431" s="70"/>
      <c r="N1431" s="70"/>
      <c r="O1431" s="70"/>
      <c r="P1431" s="23"/>
      <c r="Q1431" s="23"/>
      <c r="R1431" s="72"/>
      <c r="S1431" s="23"/>
      <c r="T1431" s="23"/>
      <c r="U1431" s="23"/>
      <c r="V1431" s="23"/>
      <c r="W1431" s="23"/>
      <c r="X1431" s="23"/>
      <c r="Y1431" s="23"/>
      <c r="Z1431" s="23"/>
      <c r="AA1431" s="23"/>
      <c r="AB1431" s="23"/>
      <c r="AC1431" s="23"/>
      <c r="AD1431" s="23"/>
      <c r="AE1431" s="23"/>
    </row>
    <row r="1432" spans="1:31">
      <c r="A1432" s="23"/>
      <c r="B1432" s="40"/>
      <c r="C1432" s="40"/>
      <c r="D1432" s="23"/>
      <c r="E1432" s="23"/>
      <c r="F1432" s="23"/>
      <c r="G1432" s="40"/>
      <c r="H1432" s="40"/>
      <c r="I1432" s="40"/>
      <c r="J1432" s="70"/>
      <c r="K1432" s="70"/>
      <c r="L1432" s="70"/>
      <c r="M1432" s="70"/>
      <c r="N1432" s="70"/>
      <c r="O1432" s="70"/>
      <c r="P1432" s="23"/>
      <c r="Q1432" s="23"/>
      <c r="R1432" s="72"/>
      <c r="S1432" s="23"/>
      <c r="T1432" s="23"/>
      <c r="U1432" s="23"/>
      <c r="V1432" s="23"/>
      <c r="W1432" s="23"/>
      <c r="X1432" s="23"/>
      <c r="Y1432" s="23"/>
      <c r="Z1432" s="23"/>
      <c r="AA1432" s="23"/>
      <c r="AB1432" s="23"/>
      <c r="AC1432" s="23"/>
      <c r="AD1432" s="23"/>
      <c r="AE1432" s="23"/>
    </row>
    <row r="1433" spans="1:31">
      <c r="A1433" s="23"/>
      <c r="B1433" s="40"/>
      <c r="C1433" s="40"/>
      <c r="D1433" s="23"/>
      <c r="E1433" s="23"/>
      <c r="F1433" s="23"/>
      <c r="G1433" s="40"/>
      <c r="H1433" s="40"/>
      <c r="I1433" s="40"/>
      <c r="J1433" s="70"/>
      <c r="K1433" s="70"/>
      <c r="L1433" s="70"/>
      <c r="M1433" s="70"/>
      <c r="N1433" s="70"/>
      <c r="O1433" s="70"/>
      <c r="P1433" s="23"/>
      <c r="Q1433" s="23"/>
      <c r="R1433" s="72"/>
      <c r="S1433" s="23"/>
      <c r="T1433" s="23"/>
      <c r="U1433" s="23"/>
      <c r="V1433" s="23"/>
      <c r="W1433" s="23"/>
      <c r="X1433" s="23"/>
      <c r="Y1433" s="23"/>
      <c r="Z1433" s="23"/>
      <c r="AA1433" s="23"/>
      <c r="AB1433" s="23"/>
      <c r="AC1433" s="23"/>
      <c r="AD1433" s="23"/>
      <c r="AE1433" s="23"/>
    </row>
    <row r="1434" spans="1:31">
      <c r="A1434" s="23"/>
      <c r="B1434" s="40"/>
      <c r="C1434" s="40"/>
      <c r="D1434" s="23"/>
      <c r="E1434" s="23"/>
      <c r="F1434" s="23"/>
      <c r="G1434" s="40"/>
      <c r="H1434" s="40"/>
      <c r="I1434" s="40"/>
      <c r="J1434" s="70"/>
      <c r="K1434" s="70"/>
      <c r="L1434" s="70"/>
      <c r="M1434" s="70"/>
      <c r="N1434" s="70"/>
      <c r="O1434" s="70"/>
      <c r="P1434" s="23"/>
      <c r="Q1434" s="23"/>
      <c r="R1434" s="72"/>
      <c r="S1434" s="23"/>
      <c r="T1434" s="23"/>
      <c r="U1434" s="23"/>
      <c r="V1434" s="23"/>
      <c r="W1434" s="23"/>
      <c r="X1434" s="23"/>
      <c r="Y1434" s="23"/>
      <c r="Z1434" s="23"/>
      <c r="AA1434" s="23"/>
      <c r="AB1434" s="23"/>
      <c r="AC1434" s="23"/>
      <c r="AD1434" s="23"/>
      <c r="AE1434" s="23"/>
    </row>
    <row r="1435" spans="1:31">
      <c r="A1435" s="23"/>
      <c r="B1435" s="40"/>
      <c r="C1435" s="40"/>
      <c r="D1435" s="23"/>
      <c r="E1435" s="23"/>
      <c r="F1435" s="23"/>
      <c r="G1435" s="40"/>
      <c r="H1435" s="40"/>
      <c r="I1435" s="40"/>
      <c r="J1435" s="70"/>
      <c r="K1435" s="70"/>
      <c r="L1435" s="70"/>
      <c r="M1435" s="70"/>
      <c r="N1435" s="70"/>
      <c r="O1435" s="70"/>
      <c r="P1435" s="23"/>
      <c r="Q1435" s="23"/>
      <c r="R1435" s="72"/>
      <c r="S1435" s="23"/>
      <c r="T1435" s="23"/>
      <c r="U1435" s="23"/>
      <c r="V1435" s="23"/>
      <c r="W1435" s="23"/>
      <c r="X1435" s="23"/>
      <c r="Y1435" s="23"/>
      <c r="Z1435" s="23"/>
      <c r="AA1435" s="23"/>
      <c r="AB1435" s="23"/>
      <c r="AC1435" s="23"/>
      <c r="AD1435" s="23"/>
      <c r="AE1435" s="23"/>
    </row>
    <row r="1436" spans="1:31">
      <c r="A1436" s="23"/>
      <c r="B1436" s="40"/>
      <c r="C1436" s="40"/>
      <c r="D1436" s="23"/>
      <c r="E1436" s="23"/>
      <c r="F1436" s="40"/>
      <c r="G1436" s="40"/>
      <c r="H1436" s="40"/>
      <c r="I1436" s="40"/>
      <c r="J1436" s="70"/>
      <c r="K1436" s="70"/>
      <c r="L1436" s="70"/>
      <c r="M1436" s="70"/>
      <c r="N1436" s="70"/>
      <c r="O1436" s="70"/>
      <c r="P1436" s="23"/>
      <c r="Q1436" s="23"/>
      <c r="R1436" s="72"/>
      <c r="S1436" s="23"/>
      <c r="T1436" s="23"/>
      <c r="U1436" s="23"/>
      <c r="V1436" s="23"/>
      <c r="W1436" s="23"/>
      <c r="X1436" s="23"/>
      <c r="Y1436" s="23"/>
      <c r="Z1436" s="23"/>
      <c r="AA1436" s="23"/>
      <c r="AB1436" s="23"/>
      <c r="AC1436" s="23"/>
      <c r="AD1436" s="23"/>
      <c r="AE1436" s="23"/>
    </row>
    <row r="1437" spans="1:31" ht="24" customHeight="1">
      <c r="A1437" s="23"/>
      <c r="B1437" s="40"/>
      <c r="C1437" s="40"/>
      <c r="D1437" s="23"/>
      <c r="E1437" s="23"/>
      <c r="F1437" s="40"/>
      <c r="G1437" s="40"/>
      <c r="H1437" s="40"/>
      <c r="I1437" s="40"/>
      <c r="J1437" s="70"/>
      <c r="K1437" s="70"/>
      <c r="L1437" s="70"/>
      <c r="M1437" s="70"/>
      <c r="N1437" s="70"/>
      <c r="O1437" s="70"/>
      <c r="P1437" s="23"/>
      <c r="Q1437" s="23"/>
      <c r="R1437" s="72"/>
      <c r="S1437" s="23"/>
      <c r="T1437" s="23"/>
      <c r="U1437" s="23"/>
      <c r="V1437" s="23"/>
      <c r="W1437" s="23"/>
      <c r="X1437" s="23"/>
      <c r="Y1437" s="23"/>
      <c r="Z1437" s="23"/>
      <c r="AA1437" s="23"/>
      <c r="AB1437" s="23"/>
      <c r="AC1437" s="23"/>
      <c r="AD1437" s="23"/>
      <c r="AE1437" s="23"/>
    </row>
    <row r="1438" spans="1:31">
      <c r="A1438" s="23"/>
      <c r="B1438" s="40"/>
      <c r="C1438" s="40"/>
      <c r="D1438" s="23"/>
      <c r="E1438" s="23"/>
      <c r="F1438" s="40"/>
      <c r="G1438" s="40"/>
      <c r="H1438" s="40"/>
      <c r="I1438" s="40"/>
      <c r="J1438" s="70"/>
      <c r="K1438" s="70"/>
      <c r="L1438" s="70"/>
      <c r="M1438" s="70"/>
      <c r="N1438" s="70"/>
      <c r="O1438" s="70"/>
      <c r="P1438" s="23"/>
      <c r="Q1438" s="23"/>
      <c r="R1438" s="72"/>
      <c r="S1438" s="23"/>
      <c r="T1438" s="23"/>
      <c r="U1438" s="23"/>
      <c r="V1438" s="23"/>
      <c r="W1438" s="23"/>
      <c r="X1438" s="23"/>
      <c r="Y1438" s="23"/>
      <c r="Z1438" s="23"/>
      <c r="AA1438" s="23"/>
      <c r="AB1438" s="23"/>
      <c r="AC1438" s="23"/>
      <c r="AD1438" s="23"/>
      <c r="AE1438" s="23"/>
    </row>
    <row r="1439" spans="1:31">
      <c r="A1439" s="23"/>
      <c r="B1439" s="40"/>
      <c r="C1439" s="40"/>
      <c r="D1439" s="23"/>
      <c r="E1439" s="23"/>
      <c r="F1439" s="40"/>
      <c r="G1439" s="40"/>
      <c r="H1439" s="40"/>
      <c r="I1439" s="40"/>
      <c r="J1439" s="70"/>
      <c r="K1439" s="70"/>
      <c r="L1439" s="70"/>
      <c r="M1439" s="70"/>
      <c r="N1439" s="70"/>
      <c r="O1439" s="70"/>
      <c r="P1439" s="23"/>
      <c r="Q1439" s="23"/>
      <c r="R1439" s="72"/>
      <c r="S1439" s="23"/>
      <c r="T1439" s="23"/>
      <c r="U1439" s="23"/>
      <c r="V1439" s="23"/>
      <c r="W1439" s="23"/>
      <c r="X1439" s="23"/>
      <c r="Y1439" s="23"/>
      <c r="Z1439" s="23"/>
      <c r="AA1439" s="23"/>
      <c r="AB1439" s="23"/>
      <c r="AC1439" s="23"/>
      <c r="AD1439" s="23"/>
      <c r="AE1439" s="23"/>
    </row>
    <row r="1440" spans="1:31">
      <c r="A1440" s="23"/>
      <c r="B1440" s="40"/>
      <c r="C1440" s="40"/>
      <c r="D1440" s="23"/>
      <c r="E1440" s="23"/>
      <c r="F1440" s="40"/>
      <c r="G1440" s="40"/>
      <c r="H1440" s="40"/>
      <c r="I1440" s="40"/>
      <c r="J1440" s="70"/>
      <c r="K1440" s="70"/>
      <c r="L1440" s="70"/>
      <c r="M1440" s="70"/>
      <c r="N1440" s="70"/>
      <c r="O1440" s="70"/>
      <c r="P1440" s="23"/>
      <c r="Q1440" s="23"/>
      <c r="R1440" s="72"/>
      <c r="S1440" s="23"/>
      <c r="T1440" s="23"/>
      <c r="U1440" s="23"/>
      <c r="V1440" s="23"/>
      <c r="W1440" s="23"/>
      <c r="X1440" s="23"/>
      <c r="Y1440" s="23"/>
      <c r="Z1440" s="23"/>
      <c r="AA1440" s="23"/>
      <c r="AB1440" s="23"/>
      <c r="AC1440" s="23"/>
      <c r="AD1440" s="23"/>
      <c r="AE1440" s="23"/>
    </row>
    <row r="1441" spans="1:32">
      <c r="A1441" s="23"/>
      <c r="B1441" s="40"/>
      <c r="C1441" s="40"/>
      <c r="D1441" s="23"/>
      <c r="E1441" s="23"/>
      <c r="F1441" s="40"/>
      <c r="G1441" s="40"/>
      <c r="H1441" s="40"/>
      <c r="I1441" s="40"/>
      <c r="J1441" s="70"/>
      <c r="K1441" s="70"/>
      <c r="L1441" s="70"/>
      <c r="M1441" s="70"/>
      <c r="N1441" s="70"/>
      <c r="O1441" s="70"/>
      <c r="P1441" s="23"/>
      <c r="Q1441" s="23"/>
      <c r="R1441" s="72"/>
      <c r="S1441" s="23"/>
      <c r="T1441" s="23"/>
      <c r="U1441" s="23"/>
      <c r="V1441" s="23"/>
      <c r="W1441" s="23"/>
      <c r="X1441" s="23"/>
      <c r="Y1441" s="23"/>
      <c r="Z1441" s="23"/>
      <c r="AA1441" s="23"/>
      <c r="AB1441" s="23"/>
      <c r="AC1441" s="23"/>
      <c r="AD1441" s="23"/>
      <c r="AE1441" s="23"/>
    </row>
    <row r="1442" spans="1:32" ht="24" customHeight="1">
      <c r="A1442" s="23"/>
      <c r="B1442" s="40"/>
      <c r="C1442" s="40"/>
      <c r="D1442" s="23"/>
      <c r="E1442" s="23"/>
      <c r="F1442" s="40"/>
      <c r="G1442" s="40"/>
      <c r="H1442" s="40"/>
      <c r="I1442" s="40"/>
      <c r="J1442" s="70"/>
      <c r="K1442" s="70"/>
      <c r="L1442" s="70"/>
      <c r="M1442" s="70"/>
      <c r="N1442" s="70"/>
      <c r="O1442" s="70"/>
      <c r="P1442" s="23"/>
      <c r="Q1442" s="23"/>
      <c r="R1442" s="72"/>
      <c r="S1442" s="23"/>
      <c r="T1442" s="23"/>
      <c r="U1442" s="23"/>
      <c r="V1442" s="23"/>
      <c r="W1442" s="23"/>
      <c r="X1442" s="23"/>
      <c r="Y1442" s="23"/>
      <c r="Z1442" s="23"/>
      <c r="AA1442" s="23"/>
      <c r="AB1442" s="23"/>
      <c r="AC1442" s="23"/>
      <c r="AD1442" s="23"/>
      <c r="AE1442" s="23"/>
    </row>
    <row r="1443" spans="1:32">
      <c r="A1443" s="23"/>
      <c r="B1443" s="40"/>
      <c r="C1443" s="40"/>
      <c r="D1443" s="23"/>
      <c r="E1443" s="23"/>
      <c r="F1443" s="40"/>
      <c r="G1443" s="40"/>
      <c r="H1443" s="40"/>
      <c r="I1443" s="40"/>
      <c r="J1443" s="70"/>
      <c r="K1443" s="70"/>
      <c r="L1443" s="70"/>
      <c r="M1443" s="70"/>
      <c r="N1443" s="70"/>
      <c r="O1443" s="70"/>
      <c r="P1443" s="23"/>
      <c r="Q1443" s="23"/>
      <c r="R1443" s="72"/>
      <c r="S1443" s="23"/>
      <c r="T1443" s="23"/>
      <c r="U1443" s="23"/>
      <c r="V1443" s="23"/>
      <c r="W1443" s="23"/>
      <c r="X1443" s="23"/>
      <c r="Y1443" s="23"/>
      <c r="Z1443" s="23"/>
      <c r="AA1443" s="23"/>
      <c r="AB1443" s="23"/>
      <c r="AC1443" s="23"/>
      <c r="AD1443" s="23"/>
      <c r="AE1443" s="23"/>
    </row>
    <row r="1444" spans="1:32">
      <c r="A1444" s="23"/>
      <c r="B1444" s="40"/>
      <c r="C1444" s="40"/>
      <c r="D1444" s="23"/>
      <c r="E1444" s="23"/>
      <c r="F1444" s="40"/>
      <c r="G1444" s="40"/>
      <c r="H1444" s="40"/>
      <c r="I1444" s="40"/>
      <c r="J1444" s="70"/>
      <c r="K1444" s="70"/>
      <c r="L1444" s="70"/>
      <c r="M1444" s="70"/>
      <c r="N1444" s="70"/>
      <c r="O1444" s="70"/>
      <c r="P1444" s="23"/>
      <c r="Q1444" s="23"/>
      <c r="R1444" s="72"/>
      <c r="S1444" s="23"/>
      <c r="T1444" s="23"/>
      <c r="U1444" s="23"/>
      <c r="V1444" s="23"/>
      <c r="W1444" s="23"/>
      <c r="X1444" s="23"/>
      <c r="Y1444" s="23"/>
      <c r="Z1444" s="23"/>
      <c r="AA1444" s="23"/>
      <c r="AB1444" s="23"/>
      <c r="AC1444" s="23"/>
      <c r="AD1444" s="23"/>
      <c r="AE1444" s="23"/>
    </row>
    <row r="1445" spans="1:32">
      <c r="A1445" s="23"/>
      <c r="B1445" s="40"/>
      <c r="C1445" s="40"/>
      <c r="D1445" s="23"/>
      <c r="E1445" s="23"/>
      <c r="F1445" s="40"/>
      <c r="G1445" s="40"/>
      <c r="H1445" s="40"/>
      <c r="I1445" s="40"/>
      <c r="J1445" s="70"/>
      <c r="K1445" s="70"/>
      <c r="L1445" s="70"/>
      <c r="M1445" s="70"/>
      <c r="N1445" s="70"/>
      <c r="O1445" s="70"/>
      <c r="P1445" s="23"/>
      <c r="Q1445" s="23"/>
      <c r="R1445" s="72"/>
      <c r="S1445" s="23"/>
      <c r="T1445" s="23"/>
      <c r="U1445" s="23"/>
      <c r="V1445" s="23"/>
      <c r="W1445" s="23"/>
      <c r="X1445" s="23"/>
      <c r="Y1445" s="23"/>
      <c r="Z1445" s="23"/>
      <c r="AA1445" s="23"/>
      <c r="AB1445" s="23"/>
      <c r="AC1445" s="23"/>
      <c r="AD1445" s="23"/>
      <c r="AE1445" s="23"/>
    </row>
    <row r="1446" spans="1:32">
      <c r="A1446" s="23"/>
      <c r="B1446" s="40"/>
      <c r="C1446" s="40"/>
      <c r="D1446" s="23"/>
      <c r="E1446" s="23"/>
      <c r="F1446" s="40"/>
      <c r="G1446" s="40"/>
      <c r="H1446" s="40"/>
      <c r="I1446" s="40"/>
      <c r="J1446" s="70"/>
      <c r="K1446" s="70"/>
      <c r="L1446" s="70"/>
      <c r="M1446" s="70"/>
      <c r="N1446" s="70"/>
      <c r="O1446" s="70"/>
      <c r="P1446" s="23"/>
      <c r="Q1446" s="23"/>
      <c r="R1446" s="72"/>
      <c r="S1446" s="23"/>
      <c r="T1446" s="23"/>
      <c r="U1446" s="23"/>
      <c r="V1446" s="23"/>
      <c r="W1446" s="23"/>
      <c r="X1446" s="23"/>
      <c r="Y1446" s="23"/>
      <c r="Z1446" s="23"/>
      <c r="AA1446" s="23"/>
      <c r="AB1446" s="23"/>
      <c r="AC1446" s="23"/>
      <c r="AD1446" s="23"/>
      <c r="AE1446" s="23"/>
    </row>
    <row r="1447" spans="1:32">
      <c r="A1447" s="23"/>
      <c r="B1447" s="40"/>
      <c r="C1447" s="40"/>
      <c r="D1447" s="23"/>
      <c r="E1447" s="23"/>
      <c r="F1447" s="40"/>
      <c r="G1447" s="40"/>
      <c r="H1447" s="40"/>
      <c r="I1447" s="40"/>
      <c r="J1447" s="70"/>
      <c r="K1447" s="70"/>
      <c r="L1447" s="70"/>
      <c r="M1447" s="70"/>
      <c r="N1447" s="70"/>
      <c r="O1447" s="70"/>
      <c r="P1447" s="23"/>
      <c r="Q1447" s="23"/>
      <c r="R1447" s="72"/>
      <c r="S1447" s="23"/>
      <c r="T1447" s="23"/>
      <c r="U1447" s="23"/>
      <c r="V1447" s="23"/>
      <c r="W1447" s="23"/>
      <c r="X1447" s="23"/>
      <c r="Y1447" s="23"/>
      <c r="Z1447" s="23"/>
      <c r="AA1447" s="23"/>
      <c r="AB1447" s="23"/>
      <c r="AC1447" s="23"/>
      <c r="AD1447" s="23"/>
      <c r="AE1447" s="23"/>
    </row>
    <row r="1448" spans="1:32">
      <c r="A1448" s="23"/>
      <c r="B1448" s="40"/>
      <c r="C1448" s="40"/>
      <c r="D1448" s="23"/>
      <c r="E1448" s="23"/>
      <c r="F1448" s="40"/>
      <c r="G1448" s="40"/>
      <c r="H1448" s="40"/>
      <c r="I1448" s="40"/>
      <c r="J1448" s="70"/>
      <c r="K1448" s="70"/>
      <c r="L1448" s="70"/>
      <c r="M1448" s="70"/>
      <c r="N1448" s="70"/>
      <c r="O1448" s="70"/>
      <c r="P1448" s="23"/>
      <c r="Q1448" s="23"/>
      <c r="R1448" s="72"/>
      <c r="S1448" s="23"/>
      <c r="T1448" s="23"/>
      <c r="U1448" s="23"/>
      <c r="V1448" s="23"/>
      <c r="W1448" s="23"/>
      <c r="X1448" s="23"/>
      <c r="Y1448" s="23"/>
      <c r="Z1448" s="23"/>
      <c r="AA1448" s="23"/>
      <c r="AB1448" s="23"/>
      <c r="AC1448" s="23"/>
      <c r="AD1448" s="23"/>
      <c r="AE1448" s="23"/>
    </row>
    <row r="1449" spans="1:32">
      <c r="A1449" s="23"/>
      <c r="B1449" s="40"/>
      <c r="C1449" s="40"/>
      <c r="D1449" s="23"/>
      <c r="E1449" s="23"/>
      <c r="F1449" s="40"/>
      <c r="G1449" s="40"/>
      <c r="H1449" s="40"/>
      <c r="I1449" s="40"/>
      <c r="J1449" s="70"/>
      <c r="K1449" s="70"/>
      <c r="L1449" s="70"/>
      <c r="M1449" s="70"/>
      <c r="N1449" s="70"/>
      <c r="O1449" s="70"/>
      <c r="P1449" s="23"/>
      <c r="Q1449" s="23"/>
      <c r="R1449" s="72"/>
      <c r="S1449" s="23"/>
      <c r="T1449" s="23"/>
      <c r="U1449" s="23"/>
      <c r="V1449" s="23"/>
      <c r="W1449" s="23"/>
      <c r="X1449" s="23"/>
      <c r="Y1449" s="23"/>
      <c r="Z1449" s="23"/>
      <c r="AA1449" s="23"/>
      <c r="AB1449" s="23"/>
      <c r="AC1449" s="23"/>
      <c r="AD1449" s="23"/>
      <c r="AE1449" s="23"/>
    </row>
    <row r="1450" spans="1:32">
      <c r="A1450" s="23"/>
      <c r="B1450" s="40"/>
      <c r="C1450" s="40"/>
      <c r="D1450" s="23"/>
      <c r="E1450" s="23"/>
      <c r="F1450" s="40"/>
      <c r="G1450" s="40"/>
      <c r="H1450" s="40"/>
      <c r="I1450" s="40"/>
      <c r="J1450" s="70"/>
      <c r="K1450" s="70"/>
      <c r="L1450" s="70"/>
      <c r="M1450" s="70"/>
      <c r="N1450" s="70"/>
      <c r="O1450" s="70"/>
      <c r="P1450" s="23"/>
      <c r="Q1450" s="23"/>
      <c r="R1450" s="72"/>
      <c r="S1450" s="23"/>
      <c r="T1450" s="23"/>
      <c r="U1450" s="23"/>
      <c r="V1450" s="23"/>
      <c r="W1450" s="23"/>
      <c r="X1450" s="23"/>
      <c r="Y1450" s="23"/>
      <c r="Z1450" s="23"/>
      <c r="AA1450" s="23"/>
      <c r="AB1450" s="23"/>
      <c r="AC1450" s="23"/>
      <c r="AD1450" s="23"/>
      <c r="AE1450" s="23"/>
    </row>
    <row r="1451" spans="1:32">
      <c r="A1451" s="23"/>
      <c r="B1451" s="40"/>
      <c r="C1451" s="40"/>
      <c r="D1451" s="23"/>
      <c r="E1451" s="23"/>
      <c r="F1451" s="40"/>
      <c r="G1451" s="40"/>
      <c r="H1451" s="40"/>
      <c r="I1451" s="40"/>
      <c r="J1451" s="70"/>
      <c r="K1451" s="70"/>
      <c r="L1451" s="70"/>
      <c r="M1451" s="70"/>
      <c r="N1451" s="70"/>
      <c r="O1451" s="70"/>
      <c r="P1451" s="23"/>
      <c r="Q1451" s="23"/>
      <c r="R1451" s="72"/>
      <c r="S1451" s="23"/>
      <c r="T1451" s="23"/>
      <c r="U1451" s="23"/>
      <c r="V1451" s="23"/>
      <c r="W1451" s="23"/>
      <c r="X1451" s="23"/>
      <c r="Y1451" s="23"/>
      <c r="Z1451" s="23"/>
      <c r="AA1451" s="23"/>
      <c r="AB1451" s="23"/>
      <c r="AC1451" s="23"/>
      <c r="AD1451" s="23"/>
      <c r="AE1451" s="23"/>
    </row>
    <row r="1452" spans="1:32" s="23" customFormat="1">
      <c r="B1452" s="40"/>
      <c r="C1452" s="40"/>
      <c r="F1452" s="40"/>
      <c r="G1452" s="40"/>
      <c r="H1452" s="40"/>
      <c r="I1452" s="40"/>
      <c r="J1452" s="70"/>
      <c r="K1452" s="70"/>
      <c r="L1452" s="70"/>
      <c r="M1452" s="70"/>
      <c r="N1452" s="70"/>
      <c r="O1452" s="70"/>
      <c r="R1452" s="72"/>
      <c r="AF1452" s="93"/>
    </row>
    <row r="1453" spans="1:32" s="23" customFormat="1">
      <c r="B1453" s="40"/>
      <c r="C1453" s="40"/>
      <c r="F1453" s="40"/>
      <c r="G1453" s="40"/>
      <c r="H1453" s="40"/>
      <c r="I1453" s="40"/>
      <c r="J1453" s="70"/>
      <c r="K1453" s="70"/>
      <c r="L1453" s="70"/>
      <c r="M1453" s="70"/>
      <c r="N1453" s="70"/>
      <c r="O1453" s="70"/>
      <c r="R1453" s="72"/>
      <c r="AF1453" s="93"/>
    </row>
  </sheetData>
  <mergeCells count="4">
    <mergeCell ref="B2:P2"/>
    <mergeCell ref="S4:V4"/>
    <mergeCell ref="W4:Z4"/>
    <mergeCell ref="AA4:AD4"/>
  </mergeCells>
  <phoneticPr fontId="57" type="noConversion"/>
  <conditionalFormatting sqref="S4:AD9 D93:D94 D134:D135 D157:D158 D160:D169 D172:D173 D57:D90 D47:D54 D24:D45 D15:D21 D100:D118 D121 D127:D132 D148:D155 D96:D98">
    <cfRule type="cellIs" dxfId="140" priority="1663" stopIfTrue="1" operator="equal">
      <formula>"√"</formula>
    </cfRule>
  </conditionalFormatting>
  <conditionalFormatting sqref="J290 J292 J294 J521 J523 J525">
    <cfRule type="expression" priority="1664" stopIfTrue="1">
      <formula>$Q289="删除"</formula>
    </cfRule>
  </conditionalFormatting>
  <conditionalFormatting sqref="J309 J517 J510 J540 J286 J279 J216 J207:J208 J210:J212">
    <cfRule type="expression" priority="1665" stopIfTrue="1">
      <formula>#REF!="删除"</formula>
    </cfRule>
  </conditionalFormatting>
  <conditionalFormatting sqref="J221">
    <cfRule type="expression" priority="1666" stopIfTrue="1">
      <formula>$Q280="删除"</formula>
    </cfRule>
  </conditionalFormatting>
  <conditionalFormatting sqref="N354 J179:J180 N359 N364 N585 N590 N595">
    <cfRule type="expression" priority="1667" stopIfTrue="1">
      <formula>$Q181="删除"</formula>
    </cfRule>
  </conditionalFormatting>
  <conditionalFormatting sqref="H216">
    <cfRule type="expression" priority="1668" stopIfTrue="1">
      <formula>$Q207="删除"</formula>
    </cfRule>
  </conditionalFormatting>
  <conditionalFormatting sqref="J300 J307 J531 J538">
    <cfRule type="expression" priority="1669" stopIfTrue="1">
      <formula>$Q379="删除"</formula>
    </cfRule>
  </conditionalFormatting>
  <conditionalFormatting sqref="J302 J533">
    <cfRule type="expression" priority="1670" stopIfTrue="1">
      <formula>$Q380="删除"</formula>
    </cfRule>
  </conditionalFormatting>
  <conditionalFormatting sqref="J209 J181:J182">
    <cfRule type="expression" priority="1671" stopIfTrue="1">
      <formula>$Q253="删除"</formula>
    </cfRule>
  </conditionalFormatting>
  <conditionalFormatting sqref="J213:J215">
    <cfRule type="expression" priority="1672" stopIfTrue="1">
      <formula>$Q282="删除"</formula>
    </cfRule>
  </conditionalFormatting>
  <conditionalFormatting sqref="J200 J189:J193">
    <cfRule type="expression" priority="1674" stopIfTrue="1">
      <formula>$Q262="删除"</formula>
    </cfRule>
  </conditionalFormatting>
  <conditionalFormatting sqref="N357 N362 N367 N588 N593 N598">
    <cfRule type="expression" priority="1675" stopIfTrue="1">
      <formula>$Q363="删除"</formula>
    </cfRule>
  </conditionalFormatting>
  <conditionalFormatting sqref="J187 J198 J205">
    <cfRule type="expression" priority="1676" stopIfTrue="1">
      <formula>$Q261="删除"</formula>
    </cfRule>
  </conditionalFormatting>
  <conditionalFormatting sqref="J311:J312 J206 J178 J183:J186 J188 J194:J197 J199 J201:J204 J308 J288 J275 J296:J299 J301 J303:J306 N351 N355:N356 N360:N361 N365:N366 J542:J543 J539 J519 J506 J527:J530 J532 J534:J537 N582 N586:N587 N591:N592 N596:N597">
    <cfRule type="expression" priority="1677" stopIfTrue="1">
      <formula>$Q179="删除"</formula>
    </cfRule>
  </conditionalFormatting>
  <conditionalFormatting sqref="AA704:AA709 S704:S709 W704:W709 AA660:AA672 W660:W672 AA429:AA441 S660:S672 S463:S653 AA463:AA653 S429:S441 W463:W653 W429:W441 W174:W422 S174:S422 AA174:AA422 AA147:AA171 S147:S171 W147:W171 W11:W135 S11:S135 AA11:AA135">
    <cfRule type="cellIs" dxfId="139" priority="1678" stopIfTrue="1" operator="equal">
      <formula>"NG"</formula>
    </cfRule>
    <cfRule type="cellIs" dxfId="138" priority="1679" stopIfTrue="1" operator="equal">
      <formula>"SKIP"</formula>
    </cfRule>
  </conditionalFormatting>
  <conditionalFormatting sqref="H710:H717 G708:I708 H463:H703 L221:P350 G216 G231:J247 G453:G694 G313:J447 L442:N455 N368:P422 O359:P362 O354:P357 O351:P352 N353:P353 J249:J253 G249:I252 G254:J274 G275:I275 G276:J278 G279:I279 G280:J285 G286:I286 G288:I309 J289 J295 G287:J287 J291 J293 G310:J310 G311:I312 L351:M426 N358:P358 O364:P367 N363:P363 N423:N426 L427:N428 G449:J452 H453:J455 G448:H448 J448 L429:P441 I544:J679 L673:N687 N599:P653 O590:P593 O585:P588 O582:P583 L463:P581 N584:P584 I463:J478 J480:J484 I480:I483 I485:J505 I506 I507:J509 I510 I511:J516 I517 I519:I540 J520 J526 I518:J518 J522 J524 I541:J541 I542:I543 L582:M657 N589:P589 O595:P598 N594:P594 N654:N657 L658:N659 L660:P672 I681:J687 J680 G696:G697 G248 G253 H456:H461 G221:I230 G217:I218 J222:J230 G219:P220 G704:P706 L707:P709 G709:J709 G707:K707 K708:K709 I178:I216 G178:H215 L178:P218 L51:N52 L18:N18 I71 H82:J84 N152:N153 O174:P177 H85:H88 L80:N84 L19:L20 N19:N20 J32 J94 I79:I80 H161:H164 I164:J164 L164:N164 H172:H173 H115:H118 K157:K158 H158 K160:K171 K96:K118 K148:K155 H24:H26 K15:K19 K21:K31 H121:K121 M121:N121 O147:P171 O11:P135 M92 L94:N95 K122:K123 M122:M123 M126 K126">
    <cfRule type="expression" priority="1680" stopIfTrue="1">
      <formula>$Q11="删除"</formula>
    </cfRule>
  </conditionalFormatting>
  <conditionalFormatting sqref="J100:J110">
    <cfRule type="expression" priority="1369" stopIfTrue="1">
      <formula>$Q100="删除"</formula>
    </cfRule>
  </conditionalFormatting>
  <conditionalFormatting sqref="M100:M110">
    <cfRule type="expression" priority="1372" stopIfTrue="1">
      <formula>$Q100="删除"</formula>
    </cfRule>
  </conditionalFormatting>
  <conditionalFormatting sqref="H100:I110 L100:L110">
    <cfRule type="expression" priority="1371" stopIfTrue="1">
      <formula>$Q100="删除"</formula>
    </cfRule>
  </conditionalFormatting>
  <conditionalFormatting sqref="I17:J17 L17">
    <cfRule type="expression" priority="1158" stopIfTrue="1">
      <formula>$Q17="删除"</formula>
    </cfRule>
  </conditionalFormatting>
  <conditionalFormatting sqref="L175">
    <cfRule type="expression" priority="1181" stopIfTrue="1">
      <formula>$Q175="删除"</formula>
    </cfRule>
  </conditionalFormatting>
  <conditionalFormatting sqref="I18:J18">
    <cfRule type="expression" priority="1147" stopIfTrue="1">
      <formula>$Q18="删除"</formula>
    </cfRule>
  </conditionalFormatting>
  <conditionalFormatting sqref="H15:H18">
    <cfRule type="expression" priority="1140" stopIfTrue="1">
      <formula>$Q15="删除"</formula>
    </cfRule>
  </conditionalFormatting>
  <conditionalFormatting sqref="G175:G177">
    <cfRule type="expression" priority="1213" stopIfTrue="1">
      <formula>$Q175="删除"</formula>
    </cfRule>
  </conditionalFormatting>
  <conditionalFormatting sqref="J175">
    <cfRule type="expression" priority="1180" stopIfTrue="1">
      <formula>$Q175="删除"</formula>
    </cfRule>
  </conditionalFormatting>
  <conditionalFormatting sqref="J19:J20">
    <cfRule type="expression" priority="1143" stopIfTrue="1">
      <formula>$Q19="删除"</formula>
    </cfRule>
  </conditionalFormatting>
  <conditionalFormatting sqref="H177:I177">
    <cfRule type="expression" priority="1174" stopIfTrue="1">
      <formula>$Q177="删除"</formula>
    </cfRule>
  </conditionalFormatting>
  <conditionalFormatting sqref="J176">
    <cfRule type="expression" priority="1177" stopIfTrue="1">
      <formula>$Q176="删除"</formula>
    </cfRule>
  </conditionalFormatting>
  <conditionalFormatting sqref="L176">
    <cfRule type="expression" priority="1176" stopIfTrue="1">
      <formula>$Q176="删除"</formula>
    </cfRule>
  </conditionalFormatting>
  <conditionalFormatting sqref="J177">
    <cfRule type="expression" priority="1172" stopIfTrue="1">
      <formula>$Q177="删除"</formula>
    </cfRule>
  </conditionalFormatting>
  <conditionalFormatting sqref="L177">
    <cfRule type="expression" priority="1171" stopIfTrue="1">
      <formula>$Q177="删除"</formula>
    </cfRule>
  </conditionalFormatting>
  <conditionalFormatting sqref="G174">
    <cfRule type="expression" priority="1170" stopIfTrue="1">
      <formula>$Q174="删除"</formula>
    </cfRule>
  </conditionalFormatting>
  <conditionalFormatting sqref="K174">
    <cfRule type="expression" priority="1169" stopIfTrue="1">
      <formula>$Q174="删除"</formula>
    </cfRule>
  </conditionalFormatting>
  <conditionalFormatting sqref="N34">
    <cfRule type="expression" priority="1065" stopIfTrue="1">
      <formula>$Q34="删除"</formula>
    </cfRule>
  </conditionalFormatting>
  <conditionalFormatting sqref="J31">
    <cfRule type="expression" priority="1110" stopIfTrue="1">
      <formula>$Q31="删除"</formula>
    </cfRule>
  </conditionalFormatting>
  <conditionalFormatting sqref="M30:N30">
    <cfRule type="expression" priority="1125" stopIfTrue="1">
      <formula>$Q30="删除"</formula>
    </cfRule>
  </conditionalFormatting>
  <conditionalFormatting sqref="N17">
    <cfRule type="expression" priority="1159" stopIfTrue="1">
      <formula>$Q17="删除"</formula>
    </cfRule>
  </conditionalFormatting>
  <conditionalFormatting sqref="J174 L174:N174">
    <cfRule type="expression" priority="1168" stopIfTrue="1">
      <formula>$Q174="删除"</formula>
    </cfRule>
  </conditionalFormatting>
  <conditionalFormatting sqref="L31">
    <cfRule type="expression" priority="1109" stopIfTrue="1">
      <formula>$Q31="删除"</formula>
    </cfRule>
  </conditionalFormatting>
  <conditionalFormatting sqref="I16:J16 L16">
    <cfRule type="expression" priority="1161" stopIfTrue="1">
      <formula>$Q16="删除"</formula>
    </cfRule>
  </conditionalFormatting>
  <conditionalFormatting sqref="M175:N175">
    <cfRule type="expression" priority="1182" stopIfTrue="1">
      <formula>$Q175="删除"</formula>
    </cfRule>
  </conditionalFormatting>
  <conditionalFormatting sqref="H175:I175 M176:N176">
    <cfRule type="expression" priority="1184" stopIfTrue="1">
      <formula>$Q175="删除"</formula>
    </cfRule>
  </conditionalFormatting>
  <conditionalFormatting sqref="J26">
    <cfRule type="expression" priority="1130" stopIfTrue="1">
      <formula>$Q26="删除"</formula>
    </cfRule>
  </conditionalFormatting>
  <conditionalFormatting sqref="K175:K177">
    <cfRule type="expression" priority="1188" stopIfTrue="1">
      <formula>$Q175="删除"</formula>
    </cfRule>
  </conditionalFormatting>
  <conditionalFormatting sqref="D175">
    <cfRule type="cellIs" dxfId="137" priority="1183" stopIfTrue="1" operator="equal">
      <formula>"√"</formula>
    </cfRule>
  </conditionalFormatting>
  <conditionalFormatting sqref="H176:I176">
    <cfRule type="expression" priority="1179" stopIfTrue="1">
      <formula>$Q176="删除"</formula>
    </cfRule>
  </conditionalFormatting>
  <conditionalFormatting sqref="D176">
    <cfRule type="cellIs" dxfId="136" priority="1178" stopIfTrue="1" operator="equal">
      <formula>"√"</formula>
    </cfRule>
  </conditionalFormatting>
  <conditionalFormatting sqref="J30">
    <cfRule type="expression" priority="1122" stopIfTrue="1">
      <formula>$Q30="删除"</formula>
    </cfRule>
  </conditionalFormatting>
  <conditionalFormatting sqref="M177:N177">
    <cfRule type="expression" priority="1175" stopIfTrue="1">
      <formula>$Q177="删除"</formula>
    </cfRule>
  </conditionalFormatting>
  <conditionalFormatting sqref="D177">
    <cfRule type="cellIs" dxfId="135" priority="1173" stopIfTrue="1" operator="equal">
      <formula>"√"</formula>
    </cfRule>
  </conditionalFormatting>
  <conditionalFormatting sqref="H19:I20">
    <cfRule type="expression" priority="1142" stopIfTrue="1">
      <formula>$Q19="删除"</formula>
    </cfRule>
  </conditionalFormatting>
  <conditionalFormatting sqref="M33">
    <cfRule type="expression" priority="1078" stopIfTrue="1">
      <formula>$Q33="删除"</formula>
    </cfRule>
  </conditionalFormatting>
  <conditionalFormatting sqref="H30:H31">
    <cfRule type="expression" priority="1155" stopIfTrue="1">
      <formula>$Q30="删除"</formula>
    </cfRule>
  </conditionalFormatting>
  <conditionalFormatting sqref="H174:I174">
    <cfRule type="expression" priority="1167" stopIfTrue="1">
      <formula>$Q174="删除"</formula>
    </cfRule>
  </conditionalFormatting>
  <conditionalFormatting sqref="D174">
    <cfRule type="cellIs" dxfId="134" priority="1166" stopIfTrue="1" operator="equal">
      <formula>"√"</formula>
    </cfRule>
  </conditionalFormatting>
  <conditionalFormatting sqref="I37">
    <cfRule type="expression" priority="1048" stopIfTrue="1">
      <formula>$Q37="删除"</formula>
    </cfRule>
  </conditionalFormatting>
  <conditionalFormatting sqref="N16 I15:J15 L15:N15 M16:M17">
    <cfRule type="expression" priority="1163" stopIfTrue="1">
      <formula>$Q15="删除"</formula>
    </cfRule>
  </conditionalFormatting>
  <conditionalFormatting sqref="J25 L25:N25">
    <cfRule type="expression" priority="1118" stopIfTrue="1">
      <formula>$Q25="删除"</formula>
    </cfRule>
  </conditionalFormatting>
  <conditionalFormatting sqref="J24 L24:N24">
    <cfRule type="expression" priority="1137" stopIfTrue="1">
      <formula>$Q24="删除"</formula>
    </cfRule>
  </conditionalFormatting>
  <conditionalFormatting sqref="I24">
    <cfRule type="expression" priority="1136" stopIfTrue="1">
      <formula>$Q24="删除"</formula>
    </cfRule>
  </conditionalFormatting>
  <conditionalFormatting sqref="M26:N26">
    <cfRule type="expression" priority="1132" stopIfTrue="1">
      <formula>$Q26="删除"</formula>
    </cfRule>
  </conditionalFormatting>
  <conditionalFormatting sqref="L30">
    <cfRule type="expression" priority="1121" stopIfTrue="1">
      <formula>$Q30="删除"</formula>
    </cfRule>
  </conditionalFormatting>
  <conditionalFormatting sqref="L26">
    <cfRule type="expression" priority="1131" stopIfTrue="1">
      <formula>$Q26="删除"</formula>
    </cfRule>
  </conditionalFormatting>
  <conditionalFormatting sqref="M31:N31">
    <cfRule type="expression" priority="1113" stopIfTrue="1">
      <formula>$Q31="删除"</formula>
    </cfRule>
  </conditionalFormatting>
  <conditionalFormatting sqref="J65">
    <cfRule type="expression" priority="999" stopIfTrue="1">
      <formula>$Q65="删除"</formula>
    </cfRule>
  </conditionalFormatting>
  <conditionalFormatting sqref="I25">
    <cfRule type="expression" priority="1117" stopIfTrue="1">
      <formula>$Q25="删除"</formula>
    </cfRule>
  </conditionalFormatting>
  <conditionalFormatting sqref="N33">
    <cfRule type="expression" priority="1072" stopIfTrue="1">
      <formula>$Q33="删除"</formula>
    </cfRule>
  </conditionalFormatting>
  <conditionalFormatting sqref="I51:J51">
    <cfRule type="expression" priority="1024" stopIfTrue="1">
      <formula>$Q51="删除"</formula>
    </cfRule>
  </conditionalFormatting>
  <conditionalFormatting sqref="M32">
    <cfRule type="expression" priority="1090" stopIfTrue="1">
      <formula>$Q32="删除"</formula>
    </cfRule>
  </conditionalFormatting>
  <conditionalFormatting sqref="L34">
    <cfRule type="expression" priority="1067" stopIfTrue="1">
      <formula>$Q34="删除"</formula>
    </cfRule>
  </conditionalFormatting>
  <conditionalFormatting sqref="H32:I32 L32">
    <cfRule type="expression" priority="1089" stopIfTrue="1">
      <formula>$Q32="删除"</formula>
    </cfRule>
  </conditionalFormatting>
  <conditionalFormatting sqref="N32">
    <cfRule type="expression" priority="1084" stopIfTrue="1">
      <formula>$Q32="删除"</formula>
    </cfRule>
  </conditionalFormatting>
  <conditionalFormatting sqref="M35">
    <cfRule type="expression" priority="1064" stopIfTrue="1">
      <formula>$Q35="删除"</formula>
    </cfRule>
  </conditionalFormatting>
  <conditionalFormatting sqref="J37">
    <cfRule type="expression" priority="1046" stopIfTrue="1">
      <formula>$Q37="删除"</formula>
    </cfRule>
  </conditionalFormatting>
  <conditionalFormatting sqref="H33:I33 H34:H37 H45 H47:H51">
    <cfRule type="expression" priority="1077" stopIfTrue="1">
      <formula>$Q33="删除"</formula>
    </cfRule>
  </conditionalFormatting>
  <conditionalFormatting sqref="J33">
    <cfRule type="expression" priority="1075" stopIfTrue="1">
      <formula>$Q33="删除"</formula>
    </cfRule>
  </conditionalFormatting>
  <conditionalFormatting sqref="L33">
    <cfRule type="expression" priority="1074" stopIfTrue="1">
      <formula>$Q33="删除"</formula>
    </cfRule>
  </conditionalFormatting>
  <conditionalFormatting sqref="I47:J47 M48:N48 L47:N47 M50 M53 L57:M57">
    <cfRule type="expression" priority="1040" stopIfTrue="1">
      <formula>$Q47="删除"</formula>
    </cfRule>
  </conditionalFormatting>
  <conditionalFormatting sqref="M34">
    <cfRule type="expression" priority="1071" stopIfTrue="1">
      <formula>$Q34="删除"</formula>
    </cfRule>
  </conditionalFormatting>
  <conditionalFormatting sqref="I34">
    <cfRule type="expression" priority="1070" stopIfTrue="1">
      <formula>$Q34="删除"</formula>
    </cfRule>
  </conditionalFormatting>
  <conditionalFormatting sqref="J34">
    <cfRule type="expression" priority="1068" stopIfTrue="1">
      <formula>$Q34="删除"</formula>
    </cfRule>
  </conditionalFormatting>
  <conditionalFormatting sqref="I50:J50 L50">
    <cfRule type="expression" priority="1035" stopIfTrue="1">
      <formula>$Q50="删除"</formula>
    </cfRule>
  </conditionalFormatting>
  <conditionalFormatting sqref="N57">
    <cfRule type="expression" priority="1033" stopIfTrue="1">
      <formula>$Q57="删除"</formula>
    </cfRule>
  </conditionalFormatting>
  <conditionalFormatting sqref="I53">
    <cfRule type="expression" priority="1032" stopIfTrue="1">
      <formula>$Q53="删除"</formula>
    </cfRule>
  </conditionalFormatting>
  <conditionalFormatting sqref="I35">
    <cfRule type="expression" priority="1063" stopIfTrue="1">
      <formula>$Q35="删除"</formula>
    </cfRule>
  </conditionalFormatting>
  <conditionalFormatting sqref="J35">
    <cfRule type="expression" priority="1061" stopIfTrue="1">
      <formula>$Q35="删除"</formula>
    </cfRule>
  </conditionalFormatting>
  <conditionalFormatting sqref="L35">
    <cfRule type="expression" priority="1060" stopIfTrue="1">
      <formula>$Q35="删除"</formula>
    </cfRule>
  </conditionalFormatting>
  <conditionalFormatting sqref="N35">
    <cfRule type="expression" priority="1058" stopIfTrue="1">
      <formula>$Q35="删除"</formula>
    </cfRule>
  </conditionalFormatting>
  <conditionalFormatting sqref="M36">
    <cfRule type="expression" priority="1057" stopIfTrue="1">
      <formula>$Q36="删除"</formula>
    </cfRule>
  </conditionalFormatting>
  <conditionalFormatting sqref="I36">
    <cfRule type="expression" priority="1056" stopIfTrue="1">
      <formula>$Q36="删除"</formula>
    </cfRule>
  </conditionalFormatting>
  <conditionalFormatting sqref="J36">
    <cfRule type="expression" priority="1054" stopIfTrue="1">
      <formula>$Q36="删除"</formula>
    </cfRule>
  </conditionalFormatting>
  <conditionalFormatting sqref="L36">
    <cfRule type="expression" priority="1053" stopIfTrue="1">
      <formula>$Q36="删除"</formula>
    </cfRule>
  </conditionalFormatting>
  <conditionalFormatting sqref="N36">
    <cfRule type="expression" priority="1051" stopIfTrue="1">
      <formula>$Q36="删除"</formula>
    </cfRule>
  </conditionalFormatting>
  <conditionalFormatting sqref="N37">
    <cfRule type="expression" priority="1043" stopIfTrue="1">
      <formula>$Q37="删除"</formula>
    </cfRule>
  </conditionalFormatting>
  <conditionalFormatting sqref="N70">
    <cfRule type="expression" priority="944" stopIfTrue="1">
      <formula>$Q70="删除"</formula>
    </cfRule>
  </conditionalFormatting>
  <conditionalFormatting sqref="M37">
    <cfRule type="expression" priority="1049" stopIfTrue="1">
      <formula>$Q37="删除"</formula>
    </cfRule>
  </conditionalFormatting>
  <conditionalFormatting sqref="J57">
    <cfRule type="expression" priority="1025" stopIfTrue="1">
      <formula>$Q57="删除"</formula>
    </cfRule>
  </conditionalFormatting>
  <conditionalFormatting sqref="I54">
    <cfRule type="expression" priority="1030" stopIfTrue="1">
      <formula>$Q54="删除"</formula>
    </cfRule>
  </conditionalFormatting>
  <conditionalFormatting sqref="L37">
    <cfRule type="expression" priority="1045" stopIfTrue="1">
      <formula>$Q37="删除"</formula>
    </cfRule>
  </conditionalFormatting>
  <conditionalFormatting sqref="I60">
    <cfRule type="expression" priority="996" stopIfTrue="1">
      <formula>$Q60="删除"</formula>
    </cfRule>
  </conditionalFormatting>
  <conditionalFormatting sqref="J58 L58:N58 M59:N59">
    <cfRule type="expression" priority="1014" stopIfTrue="1">
      <formula>$Q58="删除"</formula>
    </cfRule>
  </conditionalFormatting>
  <conditionalFormatting sqref="I57">
    <cfRule type="expression" priority="1027" stopIfTrue="1">
      <formula>$Q57="删除"</formula>
    </cfRule>
  </conditionalFormatting>
  <conditionalFormatting sqref="H52:I52">
    <cfRule type="expression" priority="1019" stopIfTrue="1">
      <formula>$Q52="删除"</formula>
    </cfRule>
  </conditionalFormatting>
  <conditionalFormatting sqref="M67">
    <cfRule type="expression" priority="971" stopIfTrue="1">
      <formula>$Q67="删除"</formula>
    </cfRule>
  </conditionalFormatting>
  <conditionalFormatting sqref="I45:J45">
    <cfRule type="expression" priority="1017" stopIfTrue="1">
      <formula>$Q45="删除"</formula>
    </cfRule>
  </conditionalFormatting>
  <conditionalFormatting sqref="J52">
    <cfRule type="expression" priority="1020" stopIfTrue="1">
      <formula>$Q52="删除"</formula>
    </cfRule>
  </conditionalFormatting>
  <conditionalFormatting sqref="L45">
    <cfRule type="expression" priority="1041" stopIfTrue="1">
      <formula>$Q45="删除"</formula>
    </cfRule>
  </conditionalFormatting>
  <conditionalFormatting sqref="M45:N45">
    <cfRule type="expression" priority="1042" stopIfTrue="1">
      <formula>$Q45="删除"</formula>
    </cfRule>
  </conditionalFormatting>
  <conditionalFormatting sqref="J61">
    <cfRule type="expression" priority="1007" stopIfTrue="1">
      <formula>$Q61="删除"</formula>
    </cfRule>
  </conditionalFormatting>
  <conditionalFormatting sqref="I48:J48 L48">
    <cfRule type="expression" priority="1038" stopIfTrue="1">
      <formula>$Q48="删除"</formula>
    </cfRule>
  </conditionalFormatting>
  <conditionalFormatting sqref="N50">
    <cfRule type="expression" priority="1036" stopIfTrue="1">
      <formula>$Q50="删除"</formula>
    </cfRule>
  </conditionalFormatting>
  <conditionalFormatting sqref="M65">
    <cfRule type="expression" priority="1002" stopIfTrue="1">
      <formula>$Q65="删除"</formula>
    </cfRule>
  </conditionalFormatting>
  <conditionalFormatting sqref="M61:N61">
    <cfRule type="expression" priority="1009" stopIfTrue="1">
      <formula>$Q61="删除"</formula>
    </cfRule>
  </conditionalFormatting>
  <conditionalFormatting sqref="I58">
    <cfRule type="expression" priority="1013" stopIfTrue="1">
      <formula>$Q58="删除"</formula>
    </cfRule>
  </conditionalFormatting>
  <conditionalFormatting sqref="I68">
    <cfRule type="expression" priority="963" stopIfTrue="1">
      <formula>$Q68="删除"</formula>
    </cfRule>
  </conditionalFormatting>
  <conditionalFormatting sqref="M66:N66 N65">
    <cfRule type="expression" priority="994" stopIfTrue="1">
      <formula>$Q65="删除"</formula>
    </cfRule>
  </conditionalFormatting>
  <conditionalFormatting sqref="L65">
    <cfRule type="expression" priority="998" stopIfTrue="1">
      <formula>$Q65="删除"</formula>
    </cfRule>
  </conditionalFormatting>
  <conditionalFormatting sqref="L61">
    <cfRule type="expression" priority="1008" stopIfTrue="1">
      <formula>$Q61="删除"</formula>
    </cfRule>
  </conditionalFormatting>
  <conditionalFormatting sqref="M68">
    <cfRule type="expression" priority="964" stopIfTrue="1">
      <formula>$Q68="删除"</formula>
    </cfRule>
  </conditionalFormatting>
  <conditionalFormatting sqref="N68">
    <cfRule type="expression" priority="958" stopIfTrue="1">
      <formula>$Q68="删除"</formula>
    </cfRule>
  </conditionalFormatting>
  <conditionalFormatting sqref="I69">
    <cfRule type="expression" priority="956" stopIfTrue="1">
      <formula>$Q69="删除"</formula>
    </cfRule>
  </conditionalFormatting>
  <conditionalFormatting sqref="L66">
    <cfRule type="expression" priority="990" stopIfTrue="1">
      <formula>$Q66="删除"</formula>
    </cfRule>
  </conditionalFormatting>
  <conditionalFormatting sqref="J60 L60:N60">
    <cfRule type="expression" priority="997" stopIfTrue="1">
      <formula>$Q60="删除"</formula>
    </cfRule>
  </conditionalFormatting>
  <conditionalFormatting sqref="J66">
    <cfRule type="expression" priority="991" stopIfTrue="1">
      <formula>$Q66="删除"</formula>
    </cfRule>
  </conditionalFormatting>
  <conditionalFormatting sqref="J80">
    <cfRule type="expression" priority="926" stopIfTrue="1">
      <formula>$Q80="删除"</formula>
    </cfRule>
  </conditionalFormatting>
  <conditionalFormatting sqref="I67">
    <cfRule type="expression" priority="970" stopIfTrue="1">
      <formula>$Q67="删除"</formula>
    </cfRule>
  </conditionalFormatting>
  <conditionalFormatting sqref="J67">
    <cfRule type="expression" priority="968" stopIfTrue="1">
      <formula>$Q67="删除"</formula>
    </cfRule>
  </conditionalFormatting>
  <conditionalFormatting sqref="L67">
    <cfRule type="expression" priority="967" stopIfTrue="1">
      <formula>$Q67="删除"</formula>
    </cfRule>
  </conditionalFormatting>
  <conditionalFormatting sqref="N67">
    <cfRule type="expression" priority="965" stopIfTrue="1">
      <formula>$Q67="删除"</formula>
    </cfRule>
  </conditionalFormatting>
  <conditionalFormatting sqref="J69">
    <cfRule type="expression" priority="954" stopIfTrue="1">
      <formula>$Q69="删除"</formula>
    </cfRule>
  </conditionalFormatting>
  <conditionalFormatting sqref="L70">
    <cfRule type="expression" priority="946" stopIfTrue="1">
      <formula>$Q70="删除"</formula>
    </cfRule>
  </conditionalFormatting>
  <conditionalFormatting sqref="J68">
    <cfRule type="expression" priority="961" stopIfTrue="1">
      <formula>$Q68="删除"</formula>
    </cfRule>
  </conditionalFormatting>
  <conditionalFormatting sqref="L68">
    <cfRule type="expression" priority="960" stopIfTrue="1">
      <formula>$Q68="删除"</formula>
    </cfRule>
  </conditionalFormatting>
  <conditionalFormatting sqref="N69">
    <cfRule type="expression" priority="951" stopIfTrue="1">
      <formula>$Q69="删除"</formula>
    </cfRule>
  </conditionalFormatting>
  <conditionalFormatting sqref="M69">
    <cfRule type="expression" priority="957" stopIfTrue="1">
      <formula>$Q69="删除"</formula>
    </cfRule>
  </conditionalFormatting>
  <conditionalFormatting sqref="I70">
    <cfRule type="expression" priority="949" stopIfTrue="1">
      <formula>$Q70="删除"</formula>
    </cfRule>
  </conditionalFormatting>
  <conditionalFormatting sqref="L69">
    <cfRule type="expression" priority="953" stopIfTrue="1">
      <formula>$Q69="删除"</formula>
    </cfRule>
  </conditionalFormatting>
  <conditionalFormatting sqref="M70">
    <cfRule type="expression" priority="950" stopIfTrue="1">
      <formula>$Q70="删除"</formula>
    </cfRule>
  </conditionalFormatting>
  <conditionalFormatting sqref="L71">
    <cfRule type="expression" priority="939" stopIfTrue="1">
      <formula>$Q71="删除"</formula>
    </cfRule>
  </conditionalFormatting>
  <conditionalFormatting sqref="J70">
    <cfRule type="expression" priority="947" stopIfTrue="1">
      <formula>$Q70="删除"</formula>
    </cfRule>
  </conditionalFormatting>
  <conditionalFormatting sqref="N71">
    <cfRule type="expression" priority="937" stopIfTrue="1">
      <formula>$Q71="删除"</formula>
    </cfRule>
  </conditionalFormatting>
  <conditionalFormatting sqref="M71">
    <cfRule type="expression" priority="943" stopIfTrue="1">
      <formula>$Q71="删除"</formula>
    </cfRule>
  </conditionalFormatting>
  <conditionalFormatting sqref="J71">
    <cfRule type="expression" priority="940" stopIfTrue="1">
      <formula>$Q71="删除"</formula>
    </cfRule>
  </conditionalFormatting>
  <conditionalFormatting sqref="I49:J49">
    <cfRule type="expression" priority="936" stopIfTrue="1">
      <formula>$Q49="删除"</formula>
    </cfRule>
  </conditionalFormatting>
  <conditionalFormatting sqref="M49:N49">
    <cfRule type="expression" priority="933" stopIfTrue="1">
      <formula>$Q49="删除"</formula>
    </cfRule>
  </conditionalFormatting>
  <conditionalFormatting sqref="L49">
    <cfRule type="expression" priority="932" stopIfTrue="1">
      <formula>$Q49="删除"</formula>
    </cfRule>
  </conditionalFormatting>
  <conditionalFormatting sqref="L79:N79 J79">
    <cfRule type="expression" priority="930" stopIfTrue="1">
      <formula>$Q79="删除"</formula>
    </cfRule>
  </conditionalFormatting>
  <conditionalFormatting sqref="I85">
    <cfRule type="expression" priority="834" stopIfTrue="1">
      <formula>$Q85="删除"</formula>
    </cfRule>
  </conditionalFormatting>
  <conditionalFormatting sqref="N85">
    <cfRule type="expression" priority="828" stopIfTrue="1">
      <formula>$Q85="删除"</formula>
    </cfRule>
  </conditionalFormatting>
  <conditionalFormatting sqref="L85">
    <cfRule type="expression" priority="829" stopIfTrue="1">
      <formula>$Q85="删除"</formula>
    </cfRule>
  </conditionalFormatting>
  <conditionalFormatting sqref="L88:M88 J88">
    <cfRule type="expression" priority="796" stopIfTrue="1">
      <formula>$Q88="删除"</formula>
    </cfRule>
  </conditionalFormatting>
  <conditionalFormatting sqref="J88 M88">
    <cfRule type="expression" priority="795" stopIfTrue="1">
      <formula>$Q88="删除"</formula>
    </cfRule>
  </conditionalFormatting>
  <conditionalFormatting sqref="I88">
    <cfRule type="expression" priority="797" stopIfTrue="1">
      <formula>$Q88="删除"</formula>
    </cfRule>
  </conditionalFormatting>
  <conditionalFormatting sqref="L85:N85 J85">
    <cfRule type="expression" priority="833" stopIfTrue="1">
      <formula>$Q85="删除"</formula>
    </cfRule>
  </conditionalFormatting>
  <conditionalFormatting sqref="J85 M85">
    <cfRule type="expression" priority="832" stopIfTrue="1">
      <formula>$Q85="删除"</formula>
    </cfRule>
  </conditionalFormatting>
  <conditionalFormatting sqref="I86">
    <cfRule type="expression" priority="820" stopIfTrue="1">
      <formula>$Q86="删除"</formula>
    </cfRule>
  </conditionalFormatting>
  <conditionalFormatting sqref="L86:N86 J86">
    <cfRule type="expression" priority="819" stopIfTrue="1">
      <formula>$Q86="删除"</formula>
    </cfRule>
  </conditionalFormatting>
  <conditionalFormatting sqref="J86 M86">
    <cfRule type="expression" priority="818" stopIfTrue="1">
      <formula>$Q86="删除"</formula>
    </cfRule>
  </conditionalFormatting>
  <conditionalFormatting sqref="L86">
    <cfRule type="expression" priority="815" stopIfTrue="1">
      <formula>$Q86="删除"</formula>
    </cfRule>
  </conditionalFormatting>
  <conditionalFormatting sqref="N86">
    <cfRule type="expression" priority="814" stopIfTrue="1">
      <formula>$Q86="删除"</formula>
    </cfRule>
  </conditionalFormatting>
  <conditionalFormatting sqref="I87">
    <cfRule type="expression" priority="813" stopIfTrue="1">
      <formula>$Q87="删除"</formula>
    </cfRule>
  </conditionalFormatting>
  <conditionalFormatting sqref="L87:N87 J87">
    <cfRule type="expression" priority="812" stopIfTrue="1">
      <formula>$Q87="删除"</formula>
    </cfRule>
  </conditionalFormatting>
  <conditionalFormatting sqref="J87 M87">
    <cfRule type="expression" priority="811" stopIfTrue="1">
      <formula>$Q87="删除"</formula>
    </cfRule>
  </conditionalFormatting>
  <conditionalFormatting sqref="L87">
    <cfRule type="expression" priority="808" stopIfTrue="1">
      <formula>$Q87="删除"</formula>
    </cfRule>
  </conditionalFormatting>
  <conditionalFormatting sqref="N87">
    <cfRule type="expression" priority="807" stopIfTrue="1">
      <formula>$Q87="删除"</formula>
    </cfRule>
  </conditionalFormatting>
  <conditionalFormatting sqref="L88">
    <cfRule type="expression" priority="792" stopIfTrue="1">
      <formula>$Q88="删除"</formula>
    </cfRule>
  </conditionalFormatting>
  <conditionalFormatting sqref="N88">
    <cfRule type="expression" priority="790" stopIfTrue="1">
      <formula>$Q88="删除"</formula>
    </cfRule>
  </conditionalFormatting>
  <conditionalFormatting sqref="N88">
    <cfRule type="expression" priority="789" stopIfTrue="1">
      <formula>$Q88="删除"</formula>
    </cfRule>
  </conditionalFormatting>
  <conditionalFormatting sqref="I89">
    <cfRule type="expression" priority="788" stopIfTrue="1">
      <formula>$Q89="删除"</formula>
    </cfRule>
  </conditionalFormatting>
  <conditionalFormatting sqref="L89:M89 J89">
    <cfRule type="expression" priority="787" stopIfTrue="1">
      <formula>$Q89="删除"</formula>
    </cfRule>
  </conditionalFormatting>
  <conditionalFormatting sqref="J89 M89">
    <cfRule type="expression" priority="786" stopIfTrue="1">
      <formula>$Q89="删除"</formula>
    </cfRule>
  </conditionalFormatting>
  <conditionalFormatting sqref="L89">
    <cfRule type="expression" priority="783" stopIfTrue="1">
      <formula>$Q89="删除"</formula>
    </cfRule>
  </conditionalFormatting>
  <conditionalFormatting sqref="N89">
    <cfRule type="expression" priority="782" stopIfTrue="1">
      <formula>$Q89="删除"</formula>
    </cfRule>
  </conditionalFormatting>
  <conditionalFormatting sqref="N89">
    <cfRule type="expression" priority="781" stopIfTrue="1">
      <formula>$Q89="删除"</formula>
    </cfRule>
  </conditionalFormatting>
  <conditionalFormatting sqref="I90">
    <cfRule type="expression" priority="780" stopIfTrue="1">
      <formula>$Q90="删除"</formula>
    </cfRule>
  </conditionalFormatting>
  <conditionalFormatting sqref="L90:M90 J90">
    <cfRule type="expression" priority="779" stopIfTrue="1">
      <formula>$Q90="删除"</formula>
    </cfRule>
  </conditionalFormatting>
  <conditionalFormatting sqref="J90 M90">
    <cfRule type="expression" priority="778" stopIfTrue="1">
      <formula>$Q90="删除"</formula>
    </cfRule>
  </conditionalFormatting>
  <conditionalFormatting sqref="L90">
    <cfRule type="expression" priority="775" stopIfTrue="1">
      <formula>$Q90="删除"</formula>
    </cfRule>
  </conditionalFormatting>
  <conditionalFormatting sqref="N90">
    <cfRule type="expression" priority="774" stopIfTrue="1">
      <formula>$Q90="删除"</formula>
    </cfRule>
  </conditionalFormatting>
  <conditionalFormatting sqref="N90">
    <cfRule type="expression" priority="773" stopIfTrue="1">
      <formula>$Q90="删除"</formula>
    </cfRule>
  </conditionalFormatting>
  <conditionalFormatting sqref="I93">
    <cfRule type="expression" priority="772" stopIfTrue="1">
      <formula>$Q93="删除"</formula>
    </cfRule>
  </conditionalFormatting>
  <conditionalFormatting sqref="L93:M93 J93">
    <cfRule type="expression" priority="771" stopIfTrue="1">
      <formula>$Q93="删除"</formula>
    </cfRule>
  </conditionalFormatting>
  <conditionalFormatting sqref="J93 M93">
    <cfRule type="expression" priority="770" stopIfTrue="1">
      <formula>$Q93="删除"</formula>
    </cfRule>
  </conditionalFormatting>
  <conditionalFormatting sqref="L93">
    <cfRule type="expression" priority="767" stopIfTrue="1">
      <formula>$Q93="删除"</formula>
    </cfRule>
  </conditionalFormatting>
  <conditionalFormatting sqref="N93">
    <cfRule type="expression" priority="766" stopIfTrue="1">
      <formula>$Q93="删除"</formula>
    </cfRule>
  </conditionalFormatting>
  <conditionalFormatting sqref="N93">
    <cfRule type="expression" priority="765" stopIfTrue="1">
      <formula>$Q93="删除"</formula>
    </cfRule>
  </conditionalFormatting>
  <conditionalFormatting sqref="I94">
    <cfRule type="expression" priority="764" stopIfTrue="1">
      <formula>$Q94="删除"</formula>
    </cfRule>
  </conditionalFormatting>
  <conditionalFormatting sqref="H94">
    <cfRule type="expression" priority="763" stopIfTrue="1">
      <formula>$Q94="删除"</formula>
    </cfRule>
  </conditionalFormatting>
  <conditionalFormatting sqref="H94">
    <cfRule type="expression" priority="762" stopIfTrue="1">
      <formula>$Q94="删除"</formula>
    </cfRule>
  </conditionalFormatting>
  <conditionalFormatting sqref="I81">
    <cfRule type="expression" priority="756" stopIfTrue="1">
      <formula>$Q81="删除"</formula>
    </cfRule>
  </conditionalFormatting>
  <conditionalFormatting sqref="J81">
    <cfRule type="expression" priority="755" stopIfTrue="1">
      <formula>$Q81="删除"</formula>
    </cfRule>
  </conditionalFormatting>
  <conditionalFormatting sqref="M115:M117">
    <cfRule type="expression" priority="750" stopIfTrue="1">
      <formula>$Q115="删除"</formula>
    </cfRule>
  </conditionalFormatting>
  <conditionalFormatting sqref="J115:J117">
    <cfRule type="expression" priority="748" stopIfTrue="1">
      <formula>$Q115="删除"</formula>
    </cfRule>
  </conditionalFormatting>
  <conditionalFormatting sqref="I115:I117 L115:L117">
    <cfRule type="expression" priority="749" stopIfTrue="1">
      <formula>$Q115="删除"</formula>
    </cfRule>
  </conditionalFormatting>
  <conditionalFormatting sqref="N115">
    <cfRule type="expression" priority="744" stopIfTrue="1">
      <formula>$Q115="删除"</formula>
    </cfRule>
  </conditionalFormatting>
  <conditionalFormatting sqref="M134 J134">
    <cfRule type="expression" priority="731" stopIfTrue="1">
      <formula>$Q134="删除"</formula>
    </cfRule>
  </conditionalFormatting>
  <conditionalFormatting sqref="N116">
    <cfRule type="expression" priority="743" stopIfTrue="1">
      <formula>$Q116="删除"</formula>
    </cfRule>
  </conditionalFormatting>
  <conditionalFormatting sqref="N117">
    <cfRule type="expression" priority="742" stopIfTrue="1">
      <formula>$Q117="删除"</formula>
    </cfRule>
  </conditionalFormatting>
  <conditionalFormatting sqref="I118">
    <cfRule type="expression" priority="741" stopIfTrue="1">
      <formula>$Q118="删除"</formula>
    </cfRule>
  </conditionalFormatting>
  <conditionalFormatting sqref="L118:M118 J118">
    <cfRule type="expression" priority="740" stopIfTrue="1">
      <formula>$Q118="删除"</formula>
    </cfRule>
  </conditionalFormatting>
  <conditionalFormatting sqref="J118 M118">
    <cfRule type="expression" priority="739" stopIfTrue="1">
      <formula>$Q118="删除"</formula>
    </cfRule>
  </conditionalFormatting>
  <conditionalFormatting sqref="L118">
    <cfRule type="expression" priority="736" stopIfTrue="1">
      <formula>$Q118="删除"</formula>
    </cfRule>
  </conditionalFormatting>
  <conditionalFormatting sqref="N118">
    <cfRule type="expression" priority="735" stopIfTrue="1">
      <formula>$Q118="删除"</formula>
    </cfRule>
  </conditionalFormatting>
  <conditionalFormatting sqref="N118">
    <cfRule type="expression" priority="734" stopIfTrue="1">
      <formula>$Q118="删除"</formula>
    </cfRule>
  </conditionalFormatting>
  <conditionalFormatting sqref="I134">
    <cfRule type="expression" priority="733" stopIfTrue="1">
      <formula>$Q134="删除"</formula>
    </cfRule>
  </conditionalFormatting>
  <conditionalFormatting sqref="J134 L134:M134">
    <cfRule type="expression" priority="732" stopIfTrue="1">
      <formula>$Q134="删除"</formula>
    </cfRule>
  </conditionalFormatting>
  <conditionalFormatting sqref="L134">
    <cfRule type="expression" priority="728" stopIfTrue="1">
      <formula>$Q134="删除"</formula>
    </cfRule>
  </conditionalFormatting>
  <conditionalFormatting sqref="N134">
    <cfRule type="expression" priority="727" stopIfTrue="1">
      <formula>$Q134="删除"</formula>
    </cfRule>
  </conditionalFormatting>
  <conditionalFormatting sqref="N134">
    <cfRule type="expression" priority="726" stopIfTrue="1">
      <formula>$Q134="删除"</formula>
    </cfRule>
  </conditionalFormatting>
  <conditionalFormatting sqref="I135">
    <cfRule type="expression" priority="723" stopIfTrue="1">
      <formula>$Q135="删除"</formula>
    </cfRule>
  </conditionalFormatting>
  <conditionalFormatting sqref="L135:M135 J135">
    <cfRule type="expression" priority="722" stopIfTrue="1">
      <formula>$Q135="删除"</formula>
    </cfRule>
  </conditionalFormatting>
  <conditionalFormatting sqref="J135 M135">
    <cfRule type="expression" priority="721" stopIfTrue="1">
      <formula>$Q135="删除"</formula>
    </cfRule>
  </conditionalFormatting>
  <conditionalFormatting sqref="N135">
    <cfRule type="expression" priority="716" stopIfTrue="1">
      <formula>$Q135="删除"</formula>
    </cfRule>
  </conditionalFormatting>
  <conditionalFormatting sqref="L135">
    <cfRule type="expression" priority="718" stopIfTrue="1">
      <formula>$Q135="删除"</formula>
    </cfRule>
  </conditionalFormatting>
  <conditionalFormatting sqref="N135">
    <cfRule type="expression" priority="717" stopIfTrue="1">
      <formula>$Q135="删除"</formula>
    </cfRule>
  </conditionalFormatting>
  <conditionalFormatting sqref="W136:W146 S136:S146 AA136:AA146">
    <cfRule type="cellIs" dxfId="133" priority="713" stopIfTrue="1" operator="equal">
      <formula>"NG"</formula>
    </cfRule>
    <cfRule type="cellIs" dxfId="132" priority="714" stopIfTrue="1" operator="equal">
      <formula>"SKIP"</formula>
    </cfRule>
  </conditionalFormatting>
  <conditionalFormatting sqref="O136:P146">
    <cfRule type="expression" priority="715" stopIfTrue="1">
      <formula>$Q136="删除"</formula>
    </cfRule>
  </conditionalFormatting>
  <conditionalFormatting sqref="I131:I132">
    <cfRule type="expression" priority="675" stopIfTrue="1">
      <formula>$Q131="删除"</formula>
    </cfRule>
  </conditionalFormatting>
  <conditionalFormatting sqref="J131:J132">
    <cfRule type="expression" priority="674" stopIfTrue="1">
      <formula>$Q131="删除"</formula>
    </cfRule>
  </conditionalFormatting>
  <conditionalFormatting sqref="H130:I130 H131:H132">
    <cfRule type="expression" priority="682" stopIfTrue="1">
      <formula>$Q130="删除"</formula>
    </cfRule>
  </conditionalFormatting>
  <conditionalFormatting sqref="J130">
    <cfRule type="expression" priority="681" stopIfTrue="1">
      <formula>$Q130="删除"</formula>
    </cfRule>
  </conditionalFormatting>
  <conditionalFormatting sqref="J128:J129">
    <cfRule type="expression" priority="687" stopIfTrue="1">
      <formula>$Q128="删除"</formula>
    </cfRule>
  </conditionalFormatting>
  <conditionalFormatting sqref="N130:N132">
    <cfRule type="expression" priority="677" stopIfTrue="1">
      <formula>$Q130="删除"</formula>
    </cfRule>
  </conditionalFormatting>
  <conditionalFormatting sqref="M127:M129">
    <cfRule type="expression" priority="696" stopIfTrue="1">
      <formula>$Q127="删除"</formula>
    </cfRule>
  </conditionalFormatting>
  <conditionalFormatting sqref="J127">
    <cfRule type="expression" priority="694" stopIfTrue="1">
      <formula>$Q127="删除"</formula>
    </cfRule>
  </conditionalFormatting>
  <conditionalFormatting sqref="H127:I127 L127:L129">
    <cfRule type="expression" priority="695" stopIfTrue="1">
      <formula>$Q127="删除"</formula>
    </cfRule>
  </conditionalFormatting>
  <conditionalFormatting sqref="N122 N126:N129">
    <cfRule type="expression" priority="690" stopIfTrue="1">
      <formula>$Q122="删除"</formula>
    </cfRule>
  </conditionalFormatting>
  <conditionalFormatting sqref="H128:I129">
    <cfRule type="expression" priority="688" stopIfTrue="1">
      <formula>$Q128="删除"</formula>
    </cfRule>
  </conditionalFormatting>
  <conditionalFormatting sqref="I153:J153 L153">
    <cfRule type="expression" priority="639" stopIfTrue="1">
      <formula>$Q153="删除"</formula>
    </cfRule>
  </conditionalFormatting>
  <conditionalFormatting sqref="L151:N151 I151:J151">
    <cfRule type="expression" priority="644" stopIfTrue="1">
      <formula>$Q151="删除"</formula>
    </cfRule>
  </conditionalFormatting>
  <conditionalFormatting sqref="I152:J152 L152">
    <cfRule type="expression" priority="642" stopIfTrue="1">
      <formula>$Q152="删除"</formula>
    </cfRule>
  </conditionalFormatting>
  <conditionalFormatting sqref="M153">
    <cfRule type="expression" priority="640" stopIfTrue="1">
      <formula>$Q153="删除"</formula>
    </cfRule>
  </conditionalFormatting>
  <conditionalFormatting sqref="H157:I157">
    <cfRule type="expression" priority="636" stopIfTrue="1">
      <formula>$Q157="删除"</formula>
    </cfRule>
  </conditionalFormatting>
  <conditionalFormatting sqref="I158">
    <cfRule type="expression" priority="633" stopIfTrue="1">
      <formula>$Q158="删除"</formula>
    </cfRule>
  </conditionalFormatting>
  <conditionalFormatting sqref="L155">
    <cfRule type="expression" priority="606" stopIfTrue="1">
      <formula>$Q155="删除"</formula>
    </cfRule>
  </conditionalFormatting>
  <conditionalFormatting sqref="H154:J154 L154">
    <cfRule type="expression" priority="609" stopIfTrue="1">
      <formula>$Q154="删除"</formula>
    </cfRule>
  </conditionalFormatting>
  <conditionalFormatting sqref="M154:N154">
    <cfRule type="expression" priority="610" stopIfTrue="1">
      <formula>$Q154="删除"</formula>
    </cfRule>
  </conditionalFormatting>
  <conditionalFormatting sqref="M155">
    <cfRule type="expression" priority="607" stopIfTrue="1">
      <formula>$Q155="删除"</formula>
    </cfRule>
  </conditionalFormatting>
  <conditionalFormatting sqref="N155">
    <cfRule type="expression" priority="602" stopIfTrue="1">
      <formula>$Q155="删除"</formula>
    </cfRule>
  </conditionalFormatting>
  <conditionalFormatting sqref="H155:I155">
    <cfRule type="expression" priority="605" stopIfTrue="1">
      <formula>$Q155="删除"</formula>
    </cfRule>
  </conditionalFormatting>
  <conditionalFormatting sqref="J155">
    <cfRule type="expression" priority="603" stopIfTrue="1">
      <formula>$Q155="删除"</formula>
    </cfRule>
  </conditionalFormatting>
  <conditionalFormatting sqref="H151:H153">
    <cfRule type="expression" priority="590" stopIfTrue="1">
      <formula>$Q151="删除"</formula>
    </cfRule>
  </conditionalFormatting>
  <conditionalFormatting sqref="N157:N158">
    <cfRule type="expression" priority="583" stopIfTrue="1">
      <formula>$Q157="删除"</formula>
    </cfRule>
  </conditionalFormatting>
  <conditionalFormatting sqref="N163">
    <cfRule type="expression" priority="553" stopIfTrue="1">
      <formula>$Q163="删除"</formula>
    </cfRule>
  </conditionalFormatting>
  <conditionalFormatting sqref="M160">
    <cfRule type="expression" priority="580" stopIfTrue="1">
      <formula>$Q160="删除"</formula>
    </cfRule>
  </conditionalFormatting>
  <conditionalFormatting sqref="H160:I160">
    <cfRule type="expression" priority="579" stopIfTrue="1">
      <formula>$Q160="删除"</formula>
    </cfRule>
  </conditionalFormatting>
  <conditionalFormatting sqref="J160">
    <cfRule type="expression" priority="577" stopIfTrue="1">
      <formula>$Q160="删除"</formula>
    </cfRule>
  </conditionalFormatting>
  <conditionalFormatting sqref="L160">
    <cfRule type="expression" priority="576" stopIfTrue="1">
      <formula>$Q160="删除"</formula>
    </cfRule>
  </conditionalFormatting>
  <conditionalFormatting sqref="N160">
    <cfRule type="expression" priority="574" stopIfTrue="1">
      <formula>$Q160="删除"</formula>
    </cfRule>
  </conditionalFormatting>
  <conditionalFormatting sqref="M161">
    <cfRule type="expression" priority="573" stopIfTrue="1">
      <formula>$Q161="删除"</formula>
    </cfRule>
  </conditionalFormatting>
  <conditionalFormatting sqref="I161">
    <cfRule type="expression" priority="572" stopIfTrue="1">
      <formula>$Q161="删除"</formula>
    </cfRule>
  </conditionalFormatting>
  <conditionalFormatting sqref="J161">
    <cfRule type="expression" priority="570" stopIfTrue="1">
      <formula>$Q161="删除"</formula>
    </cfRule>
  </conditionalFormatting>
  <conditionalFormatting sqref="L161">
    <cfRule type="expression" priority="569" stopIfTrue="1">
      <formula>$Q161="删除"</formula>
    </cfRule>
  </conditionalFormatting>
  <conditionalFormatting sqref="N161">
    <cfRule type="expression" priority="567" stopIfTrue="1">
      <formula>$Q161="删除"</formula>
    </cfRule>
  </conditionalFormatting>
  <conditionalFormatting sqref="M162">
    <cfRule type="expression" priority="566" stopIfTrue="1">
      <formula>$Q162="删除"</formula>
    </cfRule>
  </conditionalFormatting>
  <conditionalFormatting sqref="I162">
    <cfRule type="expression" priority="565" stopIfTrue="1">
      <formula>$Q162="删除"</formula>
    </cfRule>
  </conditionalFormatting>
  <conditionalFormatting sqref="J162">
    <cfRule type="expression" priority="563" stopIfTrue="1">
      <formula>$Q162="删除"</formula>
    </cfRule>
  </conditionalFormatting>
  <conditionalFormatting sqref="L162">
    <cfRule type="expression" priority="562" stopIfTrue="1">
      <formula>$Q162="删除"</formula>
    </cfRule>
  </conditionalFormatting>
  <conditionalFormatting sqref="N162">
    <cfRule type="expression" priority="560" stopIfTrue="1">
      <formula>$Q162="删除"</formula>
    </cfRule>
  </conditionalFormatting>
  <conditionalFormatting sqref="M163">
    <cfRule type="expression" priority="559" stopIfTrue="1">
      <formula>$Q163="删除"</formula>
    </cfRule>
  </conditionalFormatting>
  <conditionalFormatting sqref="I163">
    <cfRule type="expression" priority="558" stopIfTrue="1">
      <formula>$Q163="删除"</formula>
    </cfRule>
  </conditionalFormatting>
  <conditionalFormatting sqref="J163">
    <cfRule type="expression" priority="556" stopIfTrue="1">
      <formula>$Q163="删除"</formula>
    </cfRule>
  </conditionalFormatting>
  <conditionalFormatting sqref="L163">
    <cfRule type="expression" priority="555" stopIfTrue="1">
      <formula>$Q163="删除"</formula>
    </cfRule>
  </conditionalFormatting>
  <conditionalFormatting sqref="W172:W173 S172:S173 AA172:AA173">
    <cfRule type="cellIs" dxfId="131" priority="543" stopIfTrue="1" operator="equal">
      <formula>"NG"</formula>
    </cfRule>
    <cfRule type="cellIs" dxfId="130" priority="544" stopIfTrue="1" operator="equal">
      <formula>"SKIP"</formula>
    </cfRule>
  </conditionalFormatting>
  <conditionalFormatting sqref="O172:P173">
    <cfRule type="expression" priority="545" stopIfTrue="1">
      <formula>$Q172="删除"</formula>
    </cfRule>
  </conditionalFormatting>
  <conditionalFormatting sqref="J172 L172:N172">
    <cfRule type="expression" priority="542" stopIfTrue="1">
      <formula>$Q172="删除"</formula>
    </cfRule>
  </conditionalFormatting>
  <conditionalFormatting sqref="I172">
    <cfRule type="expression" priority="541" stopIfTrue="1">
      <formula>$Q172="删除"</formula>
    </cfRule>
  </conditionalFormatting>
  <conditionalFormatting sqref="I173">
    <cfRule type="expression" priority="538" stopIfTrue="1">
      <formula>$Q173="删除"</formula>
    </cfRule>
  </conditionalFormatting>
  <conditionalFormatting sqref="J173 L173:N173">
    <cfRule type="expression" priority="539" stopIfTrue="1">
      <formula>$Q173="删除"</formula>
    </cfRule>
  </conditionalFormatting>
  <conditionalFormatting sqref="I26">
    <cfRule type="expression" priority="528" stopIfTrue="1">
      <formula>$Q26="删除"</formula>
    </cfRule>
  </conditionalFormatting>
  <conditionalFormatting sqref="I30">
    <cfRule type="expression" priority="527" stopIfTrue="1">
      <formula>$Q30="删除"</formula>
    </cfRule>
  </conditionalFormatting>
  <conditionalFormatting sqref="I31">
    <cfRule type="expression" priority="526" stopIfTrue="1">
      <formula>$Q31="删除"</formula>
    </cfRule>
  </conditionalFormatting>
  <conditionalFormatting sqref="I61">
    <cfRule type="expression" priority="525" stopIfTrue="1">
      <formula>$Q61="删除"</formula>
    </cfRule>
  </conditionalFormatting>
  <conditionalFormatting sqref="I65">
    <cfRule type="expression" priority="524" stopIfTrue="1">
      <formula>$Q65="删除"</formula>
    </cfRule>
  </conditionalFormatting>
  <conditionalFormatting sqref="I66">
    <cfRule type="expression" priority="523" stopIfTrue="1">
      <formula>$Q66="删除"</formula>
    </cfRule>
  </conditionalFormatting>
  <conditionalFormatting sqref="H53:H54 H60:H61 H57:H58 H65">
    <cfRule type="expression" priority="522" stopIfTrue="1">
      <formula>$Q53="删除"</formula>
    </cfRule>
  </conditionalFormatting>
  <conditionalFormatting sqref="H66:H71 H79:H81">
    <cfRule type="expression" priority="521" stopIfTrue="1">
      <formula>$Q66="删除"</formula>
    </cfRule>
  </conditionalFormatting>
  <conditionalFormatting sqref="H89:H90 H93">
    <cfRule type="expression" priority="519" stopIfTrue="1">
      <formula>$Q89="删除"</formula>
    </cfRule>
  </conditionalFormatting>
  <conditionalFormatting sqref="H134:H135">
    <cfRule type="expression" priority="518" stopIfTrue="1">
      <formula>$Q134="删除"</formula>
    </cfRule>
  </conditionalFormatting>
  <conditionalFormatting sqref="K32">
    <cfRule type="expression" priority="515" stopIfTrue="1">
      <formula>$Q32="删除"</formula>
    </cfRule>
  </conditionalFormatting>
  <conditionalFormatting sqref="K84">
    <cfRule type="expression" priority="510" stopIfTrue="1">
      <formula>$Q84="删除"</formula>
    </cfRule>
  </conditionalFormatting>
  <conditionalFormatting sqref="K57:K58 K60:K66 K43:K53">
    <cfRule type="expression" priority="513" stopIfTrue="1">
      <formula>$Q43="删除"</formula>
    </cfRule>
  </conditionalFormatting>
  <conditionalFormatting sqref="K67:K76">
    <cfRule type="expression" priority="512" stopIfTrue="1">
      <formula>$Q67="删除"</formula>
    </cfRule>
  </conditionalFormatting>
  <conditionalFormatting sqref="K77:K83">
    <cfRule type="expression" priority="511" stopIfTrue="1">
      <formula>$Q77="删除"</formula>
    </cfRule>
  </conditionalFormatting>
  <conditionalFormatting sqref="L38">
    <cfRule type="expression" priority="484" stopIfTrue="1">
      <formula>$Q38="删除"</formula>
    </cfRule>
  </conditionalFormatting>
  <conditionalFormatting sqref="K85:K89">
    <cfRule type="expression" priority="509" stopIfTrue="1">
      <formula>$Q85="删除"</formula>
    </cfRule>
  </conditionalFormatting>
  <conditionalFormatting sqref="K90">
    <cfRule type="expression" priority="508" stopIfTrue="1">
      <formula>$Q90="删除"</formula>
    </cfRule>
  </conditionalFormatting>
  <conditionalFormatting sqref="K93">
    <cfRule type="expression" priority="507" stopIfTrue="1">
      <formula>$Q93="删除"</formula>
    </cfRule>
  </conditionalFormatting>
  <conditionalFormatting sqref="K94">
    <cfRule type="expression" priority="506" stopIfTrue="1">
      <formula>$Q94="删除"</formula>
    </cfRule>
  </conditionalFormatting>
  <conditionalFormatting sqref="K127:K132 K134:K137">
    <cfRule type="expression" priority="504" stopIfTrue="1">
      <formula>$Q127="删除"</formula>
    </cfRule>
  </conditionalFormatting>
  <conditionalFormatting sqref="K172:K173">
    <cfRule type="expression" priority="501" stopIfTrue="1">
      <formula>$Q172="删除"</formula>
    </cfRule>
  </conditionalFormatting>
  <conditionalFormatting sqref="M19:M20">
    <cfRule type="expression" priority="500" stopIfTrue="1">
      <formula>$Q19="删除"</formula>
    </cfRule>
  </conditionalFormatting>
  <conditionalFormatting sqref="D11:D14">
    <cfRule type="cellIs" dxfId="129" priority="386" stopIfTrue="1" operator="equal">
      <formula>"√"</formula>
    </cfRule>
  </conditionalFormatting>
  <conditionalFormatting sqref="I59">
    <cfRule type="expression" priority="494" stopIfTrue="1">
      <formula>$Q59="删除"</formula>
    </cfRule>
  </conditionalFormatting>
  <conditionalFormatting sqref="J59 L59">
    <cfRule type="expression" priority="495" stopIfTrue="1">
      <formula>$Q59="删除"</formula>
    </cfRule>
  </conditionalFormatting>
  <conditionalFormatting sqref="M38">
    <cfRule type="expression" priority="485" stopIfTrue="1">
      <formula>$Q38="删除"</formula>
    </cfRule>
  </conditionalFormatting>
  <conditionalFormatting sqref="H59">
    <cfRule type="expression" priority="493" stopIfTrue="1">
      <formula>$Q59="删除"</formula>
    </cfRule>
  </conditionalFormatting>
  <conditionalFormatting sqref="K59">
    <cfRule type="expression" priority="492" stopIfTrue="1">
      <formula>$Q59="删除"</formula>
    </cfRule>
  </conditionalFormatting>
  <conditionalFormatting sqref="M152">
    <cfRule type="expression" priority="491" stopIfTrue="1">
      <formula>$Q152="删除"</formula>
    </cfRule>
  </conditionalFormatting>
  <conditionalFormatting sqref="J39">
    <cfRule type="expression" priority="474" stopIfTrue="1">
      <formula>$Q39="删除"</formula>
    </cfRule>
  </conditionalFormatting>
  <conditionalFormatting sqref="M40">
    <cfRule type="expression" priority="473" stopIfTrue="1">
      <formula>$Q40="删除"</formula>
    </cfRule>
  </conditionalFormatting>
  <conditionalFormatting sqref="J40">
    <cfRule type="expression" priority="468" stopIfTrue="1">
      <formula>$Q40="删除"</formula>
    </cfRule>
  </conditionalFormatting>
  <conditionalFormatting sqref="N38">
    <cfRule type="expression" priority="483" stopIfTrue="1">
      <formula>$Q38="删除"</formula>
    </cfRule>
  </conditionalFormatting>
  <conditionalFormatting sqref="M39">
    <cfRule type="expression" priority="479" stopIfTrue="1">
      <formula>$Q39="删除"</formula>
    </cfRule>
  </conditionalFormatting>
  <conditionalFormatting sqref="N40">
    <cfRule type="expression" priority="471" stopIfTrue="1">
      <formula>$Q40="删除"</formula>
    </cfRule>
  </conditionalFormatting>
  <conditionalFormatting sqref="J38">
    <cfRule type="expression" priority="480" stopIfTrue="1">
      <formula>$Q38="删除"</formula>
    </cfRule>
  </conditionalFormatting>
  <conditionalFormatting sqref="N74">
    <cfRule type="expression" priority="452" stopIfTrue="1">
      <formula>$Q74="删除"</formula>
    </cfRule>
  </conditionalFormatting>
  <conditionalFormatting sqref="H38:I38">
    <cfRule type="expression" priority="482" stopIfTrue="1">
      <formula>$Q38="删除"</formula>
    </cfRule>
  </conditionalFormatting>
  <conditionalFormatting sqref="N39">
    <cfRule type="expression" priority="477" stopIfTrue="1">
      <formula>$Q39="删除"</formula>
    </cfRule>
  </conditionalFormatting>
  <conditionalFormatting sqref="L39">
    <cfRule type="expression" priority="478" stopIfTrue="1">
      <formula>$Q39="删除"</formula>
    </cfRule>
  </conditionalFormatting>
  <conditionalFormatting sqref="H39:I39">
    <cfRule type="expression" priority="476" stopIfTrue="1">
      <formula>$Q39="删除"</formula>
    </cfRule>
  </conditionalFormatting>
  <conditionalFormatting sqref="L40">
    <cfRule type="expression" priority="472" stopIfTrue="1">
      <formula>$Q40="删除"</formula>
    </cfRule>
  </conditionalFormatting>
  <conditionalFormatting sqref="H40:I40">
    <cfRule type="expression" priority="470" stopIfTrue="1">
      <formula>$Q40="删除"</formula>
    </cfRule>
  </conditionalFormatting>
  <conditionalFormatting sqref="D23">
    <cfRule type="cellIs" dxfId="128" priority="365" stopIfTrue="1" operator="equal">
      <formula>"√"</formula>
    </cfRule>
  </conditionalFormatting>
  <conditionalFormatting sqref="N72">
    <cfRule type="expression" priority="462" stopIfTrue="1">
      <formula>$Q72="删除"</formula>
    </cfRule>
  </conditionalFormatting>
  <conditionalFormatting sqref="M73">
    <cfRule type="expression" priority="459" stopIfTrue="1">
      <formula>$Q73="删除"</formula>
    </cfRule>
  </conditionalFormatting>
  <conditionalFormatting sqref="L165">
    <cfRule type="expression" priority="400" stopIfTrue="1">
      <formula>$Q165="删除"</formula>
    </cfRule>
  </conditionalFormatting>
  <conditionalFormatting sqref="M72">
    <cfRule type="expression" priority="464" stopIfTrue="1">
      <formula>$Q72="删除"</formula>
    </cfRule>
  </conditionalFormatting>
  <conditionalFormatting sqref="L72">
    <cfRule type="expression" priority="463" stopIfTrue="1">
      <formula>$Q72="删除"</formula>
    </cfRule>
  </conditionalFormatting>
  <conditionalFormatting sqref="H72:I72">
    <cfRule type="expression" priority="461" stopIfTrue="1">
      <formula>$Q72="删除"</formula>
    </cfRule>
  </conditionalFormatting>
  <conditionalFormatting sqref="J72">
    <cfRule type="expression" priority="460" stopIfTrue="1">
      <formula>$Q72="删除"</formula>
    </cfRule>
  </conditionalFormatting>
  <conditionalFormatting sqref="N73">
    <cfRule type="expression" priority="457" stopIfTrue="1">
      <formula>$Q73="删除"</formula>
    </cfRule>
  </conditionalFormatting>
  <conditionalFormatting sqref="L73">
    <cfRule type="expression" priority="458" stopIfTrue="1">
      <formula>$Q73="删除"</formula>
    </cfRule>
  </conditionalFormatting>
  <conditionalFormatting sqref="H73:I73">
    <cfRule type="expression" priority="456" stopIfTrue="1">
      <formula>$Q73="删除"</formula>
    </cfRule>
  </conditionalFormatting>
  <conditionalFormatting sqref="J73">
    <cfRule type="expression" priority="455" stopIfTrue="1">
      <formula>$Q73="删除"</formula>
    </cfRule>
  </conditionalFormatting>
  <conditionalFormatting sqref="M74">
    <cfRule type="expression" priority="454" stopIfTrue="1">
      <formula>$Q74="删除"</formula>
    </cfRule>
  </conditionalFormatting>
  <conditionalFormatting sqref="L74">
    <cfRule type="expression" priority="453" stopIfTrue="1">
      <formula>$Q74="删除"</formula>
    </cfRule>
  </conditionalFormatting>
  <conditionalFormatting sqref="H74:I74">
    <cfRule type="expression" priority="451" stopIfTrue="1">
      <formula>$Q74="删除"</formula>
    </cfRule>
  </conditionalFormatting>
  <conditionalFormatting sqref="J74">
    <cfRule type="expression" priority="450" stopIfTrue="1">
      <formula>$Q74="删除"</formula>
    </cfRule>
  </conditionalFormatting>
  <conditionalFormatting sqref="N165">
    <cfRule type="expression" priority="399" stopIfTrue="1">
      <formula>$Q165="删除"</formula>
    </cfRule>
  </conditionalFormatting>
  <conditionalFormatting sqref="M166">
    <cfRule type="expression" priority="396" stopIfTrue="1">
      <formula>$Q166="删除"</formula>
    </cfRule>
  </conditionalFormatting>
  <conditionalFormatting sqref="N167">
    <cfRule type="expression" priority="389" stopIfTrue="1">
      <formula>$Q167="删除"</formula>
    </cfRule>
  </conditionalFormatting>
  <conditionalFormatting sqref="M165">
    <cfRule type="expression" priority="401" stopIfTrue="1">
      <formula>$Q165="删除"</formula>
    </cfRule>
  </conditionalFormatting>
  <conditionalFormatting sqref="H165:I165">
    <cfRule type="expression" priority="398" stopIfTrue="1">
      <formula>$Q165="删除"</formula>
    </cfRule>
  </conditionalFormatting>
  <conditionalFormatting sqref="J165">
    <cfRule type="expression" priority="397" stopIfTrue="1">
      <formula>$Q165="删除"</formula>
    </cfRule>
  </conditionalFormatting>
  <conditionalFormatting sqref="N166">
    <cfRule type="expression" priority="394" stopIfTrue="1">
      <formula>$Q166="删除"</formula>
    </cfRule>
  </conditionalFormatting>
  <conditionalFormatting sqref="L166">
    <cfRule type="expression" priority="395" stopIfTrue="1">
      <formula>$Q166="删除"</formula>
    </cfRule>
  </conditionalFormatting>
  <conditionalFormatting sqref="H166:I166">
    <cfRule type="expression" priority="393" stopIfTrue="1">
      <formula>$Q166="删除"</formula>
    </cfRule>
  </conditionalFormatting>
  <conditionalFormatting sqref="J166">
    <cfRule type="expression" priority="392" stopIfTrue="1">
      <formula>$Q166="删除"</formula>
    </cfRule>
  </conditionalFormatting>
  <conditionalFormatting sqref="M167">
    <cfRule type="expression" priority="391" stopIfTrue="1">
      <formula>$Q167="删除"</formula>
    </cfRule>
  </conditionalFormatting>
  <conditionalFormatting sqref="L167">
    <cfRule type="expression" priority="390" stopIfTrue="1">
      <formula>$Q167="删除"</formula>
    </cfRule>
  </conditionalFormatting>
  <conditionalFormatting sqref="H167:I167">
    <cfRule type="expression" priority="388" stopIfTrue="1">
      <formula>$Q167="删除"</formula>
    </cfRule>
  </conditionalFormatting>
  <conditionalFormatting sqref="J167">
    <cfRule type="expression" priority="387" stopIfTrue="1">
      <formula>$Q167="删除"</formula>
    </cfRule>
  </conditionalFormatting>
  <conditionalFormatting sqref="H101:N103 H104:J110 L104:N110 K104:K112">
    <cfRule type="expression" priority="1823" stopIfTrue="1">
      <formula>#REF!="删除"</formula>
    </cfRule>
  </conditionalFormatting>
  <conditionalFormatting sqref="L13">
    <cfRule type="expression" priority="384" stopIfTrue="1">
      <formula>$Q13="删除"</formula>
    </cfRule>
  </conditionalFormatting>
  <conditionalFormatting sqref="H13:J13">
    <cfRule type="expression" priority="383" stopIfTrue="1">
      <formula>$Q13="删除"</formula>
    </cfRule>
  </conditionalFormatting>
  <conditionalFormatting sqref="M13:N13">
    <cfRule type="expression" priority="385" stopIfTrue="1">
      <formula>$Q13="删除"</formula>
    </cfRule>
  </conditionalFormatting>
  <conditionalFormatting sqref="K11:K14">
    <cfRule type="expression" priority="382" stopIfTrue="1">
      <formula>$Q11="删除"</formula>
    </cfRule>
  </conditionalFormatting>
  <conditionalFormatting sqref="L22">
    <cfRule type="expression" priority="367" stopIfTrue="1">
      <formula>$Q22="删除"</formula>
    </cfRule>
  </conditionalFormatting>
  <conditionalFormatting sqref="M23">
    <cfRule type="expression" priority="359" stopIfTrue="1">
      <formula>$Q23="删除"</formula>
    </cfRule>
  </conditionalFormatting>
  <conditionalFormatting sqref="G11:J11 M11 G12:G173">
    <cfRule type="expression" priority="381" stopIfTrue="1">
      <formula>$Q11="删除"</formula>
    </cfRule>
  </conditionalFormatting>
  <conditionalFormatting sqref="H12:J12 L12:N12">
    <cfRule type="expression" priority="379" stopIfTrue="1">
      <formula>$Q12="删除"</formula>
    </cfRule>
  </conditionalFormatting>
  <conditionalFormatting sqref="M21">
    <cfRule type="expression" priority="377" stopIfTrue="1">
      <formula>$Q21="删除"</formula>
    </cfRule>
  </conditionalFormatting>
  <conditionalFormatting sqref="H21:I21">
    <cfRule type="expression" priority="376" stopIfTrue="1">
      <formula>$Q21="删除"</formula>
    </cfRule>
  </conditionalFormatting>
  <conditionalFormatting sqref="J21">
    <cfRule type="expression" priority="374" stopIfTrue="1">
      <formula>$Q21="删除"</formula>
    </cfRule>
  </conditionalFormatting>
  <conditionalFormatting sqref="L21">
    <cfRule type="expression" priority="373" stopIfTrue="1">
      <formula>$Q21="删除"</formula>
    </cfRule>
  </conditionalFormatting>
  <conditionalFormatting sqref="N21">
    <cfRule type="expression" priority="372" stopIfTrue="1">
      <formula>$Q21="删除"</formula>
    </cfRule>
  </conditionalFormatting>
  <conditionalFormatting sqref="D22">
    <cfRule type="cellIs" dxfId="127" priority="371" stopIfTrue="1" operator="equal">
      <formula>"√"</formula>
    </cfRule>
  </conditionalFormatting>
  <conditionalFormatting sqref="M22">
    <cfRule type="expression" priority="370" stopIfTrue="1">
      <formula>$Q22="删除"</formula>
    </cfRule>
  </conditionalFormatting>
  <conditionalFormatting sqref="H22:I22">
    <cfRule type="expression" priority="369" stopIfTrue="1">
      <formula>$Q22="删除"</formula>
    </cfRule>
  </conditionalFormatting>
  <conditionalFormatting sqref="J22">
    <cfRule type="expression" priority="368" stopIfTrue="1">
      <formula>$Q22="删除"</formula>
    </cfRule>
  </conditionalFormatting>
  <conditionalFormatting sqref="N27:N29">
    <cfRule type="expression" priority="343" stopIfTrue="1">
      <formula>$Q27="删除"</formula>
    </cfRule>
  </conditionalFormatting>
  <conditionalFormatting sqref="N22">
    <cfRule type="expression" priority="366" stopIfTrue="1">
      <formula>$Q22="删除"</formula>
    </cfRule>
  </conditionalFormatting>
  <conditionalFormatting sqref="L23">
    <cfRule type="expression" priority="361" stopIfTrue="1">
      <formula>$Q23="删除"</formula>
    </cfRule>
  </conditionalFormatting>
  <conditionalFormatting sqref="J23">
    <cfRule type="expression" priority="362" stopIfTrue="1">
      <formula>$Q23="删除"</formula>
    </cfRule>
  </conditionalFormatting>
  <conditionalFormatting sqref="H23:I23">
    <cfRule type="expression" priority="363" stopIfTrue="1">
      <formula>$Q23="删除"</formula>
    </cfRule>
  </conditionalFormatting>
  <conditionalFormatting sqref="M28">
    <cfRule type="expression" priority="353" stopIfTrue="1">
      <formula>$Q28="删除"</formula>
    </cfRule>
  </conditionalFormatting>
  <conditionalFormatting sqref="N23">
    <cfRule type="expression" priority="360" stopIfTrue="1">
      <formula>$Q23="删除"</formula>
    </cfRule>
  </conditionalFormatting>
  <conditionalFormatting sqref="L42">
    <cfRule type="expression" priority="327" stopIfTrue="1">
      <formula>$Q42="删除"</formula>
    </cfRule>
  </conditionalFormatting>
  <conditionalFormatting sqref="M27">
    <cfRule type="expression" priority="358" stopIfTrue="1">
      <formula>$Q27="删除"</formula>
    </cfRule>
  </conditionalFormatting>
  <conditionalFormatting sqref="H28:I28">
    <cfRule type="expression" priority="351" stopIfTrue="1">
      <formula>$Q28="删除"</formula>
    </cfRule>
  </conditionalFormatting>
  <conditionalFormatting sqref="M41">
    <cfRule type="expression" priority="341" stopIfTrue="1">
      <formula>$Q41="删除"</formula>
    </cfRule>
  </conditionalFormatting>
  <conditionalFormatting sqref="H27:I27 L27:L29">
    <cfRule type="expression" priority="356" stopIfTrue="1">
      <formula>$Q27="删除"</formula>
    </cfRule>
  </conditionalFormatting>
  <conditionalFormatting sqref="J27:J29">
    <cfRule type="expression" priority="354" stopIfTrue="1">
      <formula>$Q27="删除"</formula>
    </cfRule>
  </conditionalFormatting>
  <conditionalFormatting sqref="K29">
    <cfRule type="expression" priority="348" stopIfTrue="1">
      <formula>$Q29="删除"</formula>
    </cfRule>
  </conditionalFormatting>
  <conditionalFormatting sqref="M64">
    <cfRule type="expression" priority="271" stopIfTrue="1">
      <formula>$Q64="删除"</formula>
    </cfRule>
  </conditionalFormatting>
  <conditionalFormatting sqref="J56">
    <cfRule type="expression" priority="297" stopIfTrue="1">
      <formula>$Q56="删除"</formula>
    </cfRule>
  </conditionalFormatting>
  <conditionalFormatting sqref="M29">
    <cfRule type="expression" priority="349" stopIfTrue="1">
      <formula>$Q29="删除"</formula>
    </cfRule>
  </conditionalFormatting>
  <conditionalFormatting sqref="J55">
    <cfRule type="expression" priority="298" stopIfTrue="1">
      <formula>$Q55="删除"</formula>
    </cfRule>
  </conditionalFormatting>
  <conditionalFormatting sqref="H29:I29">
    <cfRule type="expression" priority="347" stopIfTrue="1">
      <formula>$Q29="删除"</formula>
    </cfRule>
  </conditionalFormatting>
  <conditionalFormatting sqref="N27:N29">
    <cfRule type="expression" priority="344" stopIfTrue="1">
      <formula>#REF!="删除"</formula>
    </cfRule>
  </conditionalFormatting>
  <conditionalFormatting sqref="N27:N29">
    <cfRule type="expression" priority="345" stopIfTrue="1">
      <formula>#REF!="删除"</formula>
    </cfRule>
  </conditionalFormatting>
  <conditionalFormatting sqref="K33:K42">
    <cfRule type="expression" priority="342" stopIfTrue="1">
      <formula>$Q33="删除"</formula>
    </cfRule>
  </conditionalFormatting>
  <conditionalFormatting sqref="M42">
    <cfRule type="expression" priority="333" stopIfTrue="1">
      <formula>$Q42="删除"</formula>
    </cfRule>
  </conditionalFormatting>
  <conditionalFormatting sqref="N41">
    <cfRule type="expression" priority="339" stopIfTrue="1">
      <formula>$Q41="删除"</formula>
    </cfRule>
  </conditionalFormatting>
  <conditionalFormatting sqref="L41">
    <cfRule type="expression" priority="340" stopIfTrue="1">
      <formula>$Q41="删除"</formula>
    </cfRule>
  </conditionalFormatting>
  <conditionalFormatting sqref="J53">
    <cfRule type="expression" priority="322" stopIfTrue="1">
      <formula>$Q53="删除"</formula>
    </cfRule>
  </conditionalFormatting>
  <conditionalFormatting sqref="H41:I41">
    <cfRule type="expression" priority="337" stopIfTrue="1">
      <formula>$Q41="删除"</formula>
    </cfRule>
  </conditionalFormatting>
  <conditionalFormatting sqref="J41">
    <cfRule type="expression" priority="335" stopIfTrue="1">
      <formula>$Q41="删除"</formula>
    </cfRule>
  </conditionalFormatting>
  <conditionalFormatting sqref="N42">
    <cfRule type="expression" priority="332" stopIfTrue="1">
      <formula>$Q42="删除"</formula>
    </cfRule>
  </conditionalFormatting>
  <conditionalFormatting sqref="J42">
    <cfRule type="expression" priority="328" stopIfTrue="1">
      <formula>$Q42="删除"</formula>
    </cfRule>
  </conditionalFormatting>
  <conditionalFormatting sqref="M54">
    <cfRule type="expression" priority="320" stopIfTrue="1">
      <formula>$Q54="删除"</formula>
    </cfRule>
  </conditionalFormatting>
  <conditionalFormatting sqref="H42:I42">
    <cfRule type="expression" priority="330" stopIfTrue="1">
      <formula>$Q42="删除"</formula>
    </cfRule>
  </conditionalFormatting>
  <conditionalFormatting sqref="N62:N64">
    <cfRule type="expression" priority="265" stopIfTrue="1">
      <formula>$Q62="删除"</formula>
    </cfRule>
  </conditionalFormatting>
  <conditionalFormatting sqref="H43:J43 M43">
    <cfRule type="expression" priority="326" stopIfTrue="1">
      <formula>$Q43="删除"</formula>
    </cfRule>
  </conditionalFormatting>
  <conditionalFormatting sqref="H44:J44 L44:N44">
    <cfRule type="expression" priority="324" stopIfTrue="1">
      <formula>$Q44="删除"</formula>
    </cfRule>
  </conditionalFormatting>
  <conditionalFormatting sqref="K54">
    <cfRule type="expression" priority="319" stopIfTrue="1">
      <formula>$Q54="删除"</formula>
    </cfRule>
  </conditionalFormatting>
  <conditionalFormatting sqref="L53">
    <cfRule type="expression" priority="321" stopIfTrue="1">
      <formula>$Q53="删除"</formula>
    </cfRule>
  </conditionalFormatting>
  <conditionalFormatting sqref="N54">
    <cfRule type="expression" priority="315" stopIfTrue="1">
      <formula>$Q54="删除"</formula>
    </cfRule>
  </conditionalFormatting>
  <conditionalFormatting sqref="H76:I76">
    <cfRule type="expression" priority="252" stopIfTrue="1">
      <formula>$Q76="删除"</formula>
    </cfRule>
  </conditionalFormatting>
  <conditionalFormatting sqref="J54">
    <cfRule type="expression" priority="318" stopIfTrue="1">
      <formula>$Q54="删除"</formula>
    </cfRule>
  </conditionalFormatting>
  <conditionalFormatting sqref="L54">
    <cfRule type="expression" priority="317" stopIfTrue="1">
      <formula>$Q54="删除"</formula>
    </cfRule>
  </conditionalFormatting>
  <conditionalFormatting sqref="N53">
    <cfRule type="expression" priority="316" stopIfTrue="1">
      <formula>$Q53="删除"</formula>
    </cfRule>
  </conditionalFormatting>
  <conditionalFormatting sqref="J62:J64">
    <cfRule type="expression" priority="276" stopIfTrue="1">
      <formula>$Q62="删除"</formula>
    </cfRule>
  </conditionalFormatting>
  <conditionalFormatting sqref="N55">
    <cfRule type="expression" priority="314" stopIfTrue="1">
      <formula>$Q55="删除"</formula>
    </cfRule>
  </conditionalFormatting>
  <conditionalFormatting sqref="N56">
    <cfRule type="expression" priority="313" stopIfTrue="1">
      <formula>$Q56="删除"</formula>
    </cfRule>
  </conditionalFormatting>
  <conditionalFormatting sqref="D55">
    <cfRule type="cellIs" dxfId="126" priority="312" stopIfTrue="1" operator="equal">
      <formula>"√"</formula>
    </cfRule>
  </conditionalFormatting>
  <conditionalFormatting sqref="H55">
    <cfRule type="expression" priority="307" stopIfTrue="1">
      <formula>$Q55="删除"</formula>
    </cfRule>
  </conditionalFormatting>
  <conditionalFormatting sqref="I55">
    <cfRule type="expression" priority="310" stopIfTrue="1">
      <formula>$Q55="删除"</formula>
    </cfRule>
  </conditionalFormatting>
  <conditionalFormatting sqref="K55">
    <cfRule type="expression" priority="306" stopIfTrue="1">
      <formula>$Q55="删除"</formula>
    </cfRule>
  </conditionalFormatting>
  <conditionalFormatting sqref="L55:M55">
    <cfRule type="expression" priority="311" stopIfTrue="1">
      <formula>$Q55="删除"</formula>
    </cfRule>
  </conditionalFormatting>
  <conditionalFormatting sqref="M63">
    <cfRule type="expression" priority="275" stopIfTrue="1">
      <formula>$Q63="删除"</formula>
    </cfRule>
  </conditionalFormatting>
  <conditionalFormatting sqref="H62:I62 L62:L64">
    <cfRule type="expression" priority="278" stopIfTrue="1">
      <formula>$Q62="删除"</formula>
    </cfRule>
  </conditionalFormatting>
  <conditionalFormatting sqref="D56">
    <cfRule type="cellIs" dxfId="125" priority="305" stopIfTrue="1" operator="equal">
      <formula>"√"</formula>
    </cfRule>
  </conditionalFormatting>
  <conditionalFormatting sqref="K56">
    <cfRule type="expression" priority="299" stopIfTrue="1">
      <formula>$Q56="删除"</formula>
    </cfRule>
  </conditionalFormatting>
  <conditionalFormatting sqref="I56">
    <cfRule type="expression" priority="303" stopIfTrue="1">
      <formula>$Q56="删除"</formula>
    </cfRule>
  </conditionalFormatting>
  <conditionalFormatting sqref="H64:I64">
    <cfRule type="expression" priority="269" stopIfTrue="1">
      <formula>$Q64="删除"</formula>
    </cfRule>
  </conditionalFormatting>
  <conditionalFormatting sqref="L56:M56">
    <cfRule type="expression" priority="304" stopIfTrue="1">
      <formula>$Q56="删除"</formula>
    </cfRule>
  </conditionalFormatting>
  <conditionalFormatting sqref="H56">
    <cfRule type="expression" priority="300" stopIfTrue="1">
      <formula>$Q56="删除"</formula>
    </cfRule>
  </conditionalFormatting>
  <conditionalFormatting sqref="L76">
    <cfRule type="expression" priority="249" stopIfTrue="1">
      <formula>$Q76="删除"</formula>
    </cfRule>
  </conditionalFormatting>
  <conditionalFormatting sqref="M62">
    <cfRule type="expression" priority="280" stopIfTrue="1">
      <formula>$Q62="删除"</formula>
    </cfRule>
  </conditionalFormatting>
  <conditionalFormatting sqref="H63:I63">
    <cfRule type="expression" priority="273" stopIfTrue="1">
      <formula>$Q63="删除"</formula>
    </cfRule>
  </conditionalFormatting>
  <conditionalFormatting sqref="M75">
    <cfRule type="expression" priority="263" stopIfTrue="1">
      <formula>$Q75="删除"</formula>
    </cfRule>
  </conditionalFormatting>
  <conditionalFormatting sqref="J78">
    <cfRule type="expression" priority="242" stopIfTrue="1">
      <formula>$Q78="删除"</formula>
    </cfRule>
  </conditionalFormatting>
  <conditionalFormatting sqref="H75:I75">
    <cfRule type="expression" priority="259" stopIfTrue="1">
      <formula>$Q75="删除"</formula>
    </cfRule>
  </conditionalFormatting>
  <conditionalFormatting sqref="N100:N110">
    <cfRule type="expression" priority="213" stopIfTrue="1">
      <formula>$Q100="删除"</formula>
    </cfRule>
  </conditionalFormatting>
  <conditionalFormatting sqref="K92">
    <cfRule type="expression" priority="222" stopIfTrue="1">
      <formula>$Q92="删除"</formula>
    </cfRule>
  </conditionalFormatting>
  <conditionalFormatting sqref="N91">
    <cfRule type="expression" priority="235" stopIfTrue="1">
      <formula>$Q91="删除"</formula>
    </cfRule>
  </conditionalFormatting>
  <conditionalFormatting sqref="N76">
    <cfRule type="expression" priority="254" stopIfTrue="1">
      <formula>$Q76="删除"</formula>
    </cfRule>
  </conditionalFormatting>
  <conditionalFormatting sqref="J91 M91">
    <cfRule type="expression" priority="237" stopIfTrue="1">
      <formula>$Q91="删除"</formula>
    </cfRule>
  </conditionalFormatting>
  <conditionalFormatting sqref="N62:N64">
    <cfRule type="expression" priority="266" stopIfTrue="1">
      <formula>#REF!="删除"</formula>
    </cfRule>
  </conditionalFormatting>
  <conditionalFormatting sqref="N62:N64">
    <cfRule type="expression" priority="267" stopIfTrue="1">
      <formula>#REF!="删除"</formula>
    </cfRule>
  </conditionalFormatting>
  <conditionalFormatting sqref="J75">
    <cfRule type="expression" priority="257" stopIfTrue="1">
      <formula>$Q75="删除"</formula>
    </cfRule>
  </conditionalFormatting>
  <conditionalFormatting sqref="H77:J77 M78:N78 M77">
    <cfRule type="expression" priority="247" stopIfTrue="1">
      <formula>$Q77="删除"</formula>
    </cfRule>
  </conditionalFormatting>
  <conditionalFormatting sqref="M76">
    <cfRule type="expression" priority="255" stopIfTrue="1">
      <formula>$Q76="删除"</formula>
    </cfRule>
  </conditionalFormatting>
  <conditionalFormatting sqref="L75">
    <cfRule type="expression" priority="262" stopIfTrue="1">
      <formula>$Q75="删除"</formula>
    </cfRule>
  </conditionalFormatting>
  <conditionalFormatting sqref="H78:I78">
    <cfRule type="expression" priority="244" stopIfTrue="1">
      <formula>$Q78="删除"</formula>
    </cfRule>
  </conditionalFormatting>
  <conditionalFormatting sqref="I91">
    <cfRule type="expression" priority="239" stopIfTrue="1">
      <formula>$Q91="删除"</formula>
    </cfRule>
  </conditionalFormatting>
  <conditionalFormatting sqref="K91">
    <cfRule type="expression" priority="232" stopIfTrue="1">
      <formula>$Q91="删除"</formula>
    </cfRule>
  </conditionalFormatting>
  <conditionalFormatting sqref="H96:J96 M96">
    <cfRule type="expression" priority="219" stopIfTrue="1">
      <formula>$Q96="删除"</formula>
    </cfRule>
  </conditionalFormatting>
  <conditionalFormatting sqref="H97:J97 L97:N97">
    <cfRule type="expression" priority="215" stopIfTrue="1">
      <formula>$Q97="删除"</formula>
    </cfRule>
  </conditionalFormatting>
  <conditionalFormatting sqref="L91">
    <cfRule type="expression" priority="236" stopIfTrue="1">
      <formula>$Q91="删除"</formula>
    </cfRule>
  </conditionalFormatting>
  <conditionalFormatting sqref="N91">
    <cfRule type="expression" priority="234" stopIfTrue="1">
      <formula>$Q91="删除"</formula>
    </cfRule>
  </conditionalFormatting>
  <conditionalFormatting sqref="N75">
    <cfRule type="expression" priority="261" stopIfTrue="1">
      <formula>$Q75="删除"</formula>
    </cfRule>
  </conditionalFormatting>
  <conditionalFormatting sqref="I92">
    <cfRule type="expression" priority="229" stopIfTrue="1">
      <formula>$Q92="删除"</formula>
    </cfRule>
  </conditionalFormatting>
  <conditionalFormatting sqref="H92">
    <cfRule type="expression" priority="223" stopIfTrue="1">
      <formula>$Q92="删除"</formula>
    </cfRule>
  </conditionalFormatting>
  <conditionalFormatting sqref="J76">
    <cfRule type="expression" priority="250" stopIfTrue="1">
      <formula>$Q76="删除"</formula>
    </cfRule>
  </conditionalFormatting>
  <conditionalFormatting sqref="L92:M92 J92">
    <cfRule type="expression" priority="228" stopIfTrue="1">
      <formula>$Q92="删除"</formula>
    </cfRule>
  </conditionalFormatting>
  <conditionalFormatting sqref="H98:J98 L98:N98">
    <cfRule type="expression" priority="217" stopIfTrue="1">
      <formula>$Q98="删除"</formula>
    </cfRule>
  </conditionalFormatting>
  <conditionalFormatting sqref="N92">
    <cfRule type="expression" priority="220" stopIfTrue="1">
      <formula>$Q92="删除"</formula>
    </cfRule>
  </conditionalFormatting>
  <conditionalFormatting sqref="L91:M91 J91">
    <cfRule type="expression" priority="238" stopIfTrue="1">
      <formula>$Q91="删除"</formula>
    </cfRule>
  </conditionalFormatting>
  <conditionalFormatting sqref="J112">
    <cfRule type="expression" priority="198" stopIfTrue="1">
      <formula>$Q112="删除"</formula>
    </cfRule>
  </conditionalFormatting>
  <conditionalFormatting sqref="H91">
    <cfRule type="expression" priority="233" stopIfTrue="1">
      <formula>$Q91="删除"</formula>
    </cfRule>
  </conditionalFormatting>
  <conditionalFormatting sqref="J111">
    <cfRule type="expression" priority="205" stopIfTrue="1">
      <formula>$Q111="删除"</formula>
    </cfRule>
  </conditionalFormatting>
  <conditionalFormatting sqref="D91">
    <cfRule type="cellIs" dxfId="124" priority="240" stopIfTrue="1" operator="equal">
      <formula>"√"</formula>
    </cfRule>
  </conditionalFormatting>
  <conditionalFormatting sqref="H133">
    <cfRule type="expression" priority="184" stopIfTrue="1">
      <formula>$Q133="删除"</formula>
    </cfRule>
  </conditionalFormatting>
  <conditionalFormatting sqref="J92">
    <cfRule type="expression" priority="227" stopIfTrue="1">
      <formula>$Q92="删除"</formula>
    </cfRule>
  </conditionalFormatting>
  <conditionalFormatting sqref="L92">
    <cfRule type="expression" priority="226" stopIfTrue="1">
      <formula>$Q92="删除"</formula>
    </cfRule>
  </conditionalFormatting>
  <conditionalFormatting sqref="D92">
    <cfRule type="cellIs" dxfId="123" priority="230" stopIfTrue="1" operator="equal">
      <formula>"√"</formula>
    </cfRule>
  </conditionalFormatting>
  <conditionalFormatting sqref="M111">
    <cfRule type="expression" priority="211" stopIfTrue="1">
      <formula>$Q111="删除"</formula>
    </cfRule>
  </conditionalFormatting>
  <conditionalFormatting sqref="N92">
    <cfRule type="expression" priority="221" stopIfTrue="1">
      <formula>$Q92="删除"</formula>
    </cfRule>
  </conditionalFormatting>
  <conditionalFormatting sqref="M133 J133">
    <cfRule type="expression" priority="188" stopIfTrue="1">
      <formula>$Q133="删除"</formula>
    </cfRule>
  </conditionalFormatting>
  <conditionalFormatting sqref="J157">
    <cfRule type="expression" priority="176" stopIfTrue="1">
      <formula>$Q157="删除"</formula>
    </cfRule>
  </conditionalFormatting>
  <conditionalFormatting sqref="N133">
    <cfRule type="expression" priority="186" stopIfTrue="1">
      <formula>$Q133="删除"</formula>
    </cfRule>
  </conditionalFormatting>
  <conditionalFormatting sqref="N111">
    <cfRule type="expression" priority="209" stopIfTrue="1">
      <formula>$Q111="删除"</formula>
    </cfRule>
  </conditionalFormatting>
  <conditionalFormatting sqref="L111">
    <cfRule type="expression" priority="210" stopIfTrue="1">
      <formula>$Q111="删除"</formula>
    </cfRule>
  </conditionalFormatting>
  <conditionalFormatting sqref="L112">
    <cfRule type="expression" priority="197" stopIfTrue="1">
      <formula>$Q112="删除"</formula>
    </cfRule>
  </conditionalFormatting>
  <conditionalFormatting sqref="H111:I111">
    <cfRule type="expression" priority="207" stopIfTrue="1">
      <formula>$Q111="删除"</formula>
    </cfRule>
  </conditionalFormatting>
  <conditionalFormatting sqref="H114:J114 L114:N114">
    <cfRule type="expression" priority="194" stopIfTrue="1">
      <formula>$Q114="删除"</formula>
    </cfRule>
  </conditionalFormatting>
  <conditionalFormatting sqref="M112">
    <cfRule type="expression" priority="203" stopIfTrue="1">
      <formula>$Q112="删除"</formula>
    </cfRule>
  </conditionalFormatting>
  <conditionalFormatting sqref="N112">
    <cfRule type="expression" priority="202" stopIfTrue="1">
      <formula>$Q112="删除"</formula>
    </cfRule>
  </conditionalFormatting>
  <conditionalFormatting sqref="L133">
    <cfRule type="expression" priority="187" stopIfTrue="1">
      <formula>$Q133="删除"</formula>
    </cfRule>
  </conditionalFormatting>
  <conditionalFormatting sqref="I133">
    <cfRule type="expression" priority="190" stopIfTrue="1">
      <formula>$Q133="删除"</formula>
    </cfRule>
  </conditionalFormatting>
  <conditionalFormatting sqref="H112:I112">
    <cfRule type="expression" priority="200" stopIfTrue="1">
      <formula>$Q112="删除"</formula>
    </cfRule>
  </conditionalFormatting>
  <conditionalFormatting sqref="H101:N110">
    <cfRule type="expression" priority="2805" stopIfTrue="1">
      <formula>#REF!="删除"</formula>
    </cfRule>
  </conditionalFormatting>
  <conditionalFormatting sqref="K111:K112">
    <cfRule type="expression" priority="2810" stopIfTrue="1">
      <formula>$Q127="删除"</formula>
    </cfRule>
  </conditionalFormatting>
  <conditionalFormatting sqref="D159">
    <cfRule type="cellIs" dxfId="122" priority="165" stopIfTrue="1" operator="equal">
      <formula>"√"</formula>
    </cfRule>
  </conditionalFormatting>
  <conditionalFormatting sqref="H113:J113 M113">
    <cfRule type="expression" priority="196" stopIfTrue="1">
      <formula>$Q113="删除"</formula>
    </cfRule>
  </conditionalFormatting>
  <conditionalFormatting sqref="D133">
    <cfRule type="cellIs" dxfId="121" priority="191" stopIfTrue="1" operator="equal">
      <formula>"√"</formula>
    </cfRule>
  </conditionalFormatting>
  <conditionalFormatting sqref="K133">
    <cfRule type="expression" priority="183" stopIfTrue="1">
      <formula>$Q133="删除"</formula>
    </cfRule>
  </conditionalFormatting>
  <conditionalFormatting sqref="L169:L171">
    <cfRule type="expression" priority="145" stopIfTrue="1">
      <formula>$Q169="删除"</formula>
    </cfRule>
  </conditionalFormatting>
  <conditionalFormatting sqref="D156">
    <cfRule type="cellIs" dxfId="120" priority="174" stopIfTrue="1" operator="equal">
      <formula>"√"</formula>
    </cfRule>
  </conditionalFormatting>
  <conditionalFormatting sqref="J133 L133:M133">
    <cfRule type="expression" priority="189" stopIfTrue="1">
      <formula>$Q133="删除"</formula>
    </cfRule>
  </conditionalFormatting>
  <conditionalFormatting sqref="N133">
    <cfRule type="expression" priority="185" stopIfTrue="1">
      <formula>$Q133="删除"</formula>
    </cfRule>
  </conditionalFormatting>
  <conditionalFormatting sqref="H149:J149 L149:N149">
    <cfRule type="expression" priority="178" stopIfTrue="1">
      <formula>$Q149="删除"</formula>
    </cfRule>
  </conditionalFormatting>
  <conditionalFormatting sqref="J158">
    <cfRule type="expression" priority="167" stopIfTrue="1">
      <formula>$Q158="删除"</formula>
    </cfRule>
  </conditionalFormatting>
  <conditionalFormatting sqref="K156">
    <cfRule type="expression" priority="175" stopIfTrue="1">
      <formula>$Q156="删除"</formula>
    </cfRule>
  </conditionalFormatting>
  <conditionalFormatting sqref="H148:J148 M148">
    <cfRule type="expression" priority="182" stopIfTrue="1">
      <formula>$Q148="删除"</formula>
    </cfRule>
  </conditionalFormatting>
  <conditionalFormatting sqref="M156:M159">
    <cfRule type="expression" priority="168" stopIfTrue="1">
      <formula>$Q156="删除"</formula>
    </cfRule>
  </conditionalFormatting>
  <conditionalFormatting sqref="I156">
    <cfRule type="expression" priority="171" stopIfTrue="1">
      <formula>$Q156="删除"</formula>
    </cfRule>
  </conditionalFormatting>
  <conditionalFormatting sqref="H150:J150 L150:N150">
    <cfRule type="expression" priority="180" stopIfTrue="1">
      <formula>$Q150="删除"</formula>
    </cfRule>
  </conditionalFormatting>
  <conditionalFormatting sqref="J168">
    <cfRule type="expression" priority="153" stopIfTrue="1">
      <formula>$Q168="删除"</formula>
    </cfRule>
  </conditionalFormatting>
  <conditionalFormatting sqref="D99">
    <cfRule type="cellIs" dxfId="119" priority="127" stopIfTrue="1" operator="equal">
      <formula>"√"</formula>
    </cfRule>
  </conditionalFormatting>
  <conditionalFormatting sqref="H168:I168">
    <cfRule type="expression" priority="155" stopIfTrue="1">
      <formula>$Q168="删除"</formula>
    </cfRule>
  </conditionalFormatting>
  <conditionalFormatting sqref="H156">
    <cfRule type="expression" priority="173" stopIfTrue="1">
      <formula>$Q156="删除"</formula>
    </cfRule>
  </conditionalFormatting>
  <conditionalFormatting sqref="N156">
    <cfRule type="expression" priority="172" stopIfTrue="1">
      <formula>$Q156="删除"</formula>
    </cfRule>
  </conditionalFormatting>
  <conditionalFormatting sqref="J169:J170">
    <cfRule type="expression" priority="146" stopIfTrue="1">
      <formula>$Q169="删除"</formula>
    </cfRule>
  </conditionalFormatting>
  <conditionalFormatting sqref="J156">
    <cfRule type="expression" priority="170" stopIfTrue="1">
      <formula>$Q156="删除"</formula>
    </cfRule>
  </conditionalFormatting>
  <conditionalFormatting sqref="L156:L159">
    <cfRule type="expression" priority="169" stopIfTrue="1">
      <formula>$Q156="删除"</formula>
    </cfRule>
  </conditionalFormatting>
  <conditionalFormatting sqref="K159 H159">
    <cfRule type="expression" priority="166" stopIfTrue="1">
      <formula>$Q159="删除"</formula>
    </cfRule>
  </conditionalFormatting>
  <conditionalFormatting sqref="I159">
    <cfRule type="expression" priority="164" stopIfTrue="1">
      <formula>$Q159="删除"</formula>
    </cfRule>
  </conditionalFormatting>
  <conditionalFormatting sqref="N159">
    <cfRule type="expression" priority="163" stopIfTrue="1">
      <formula>$Q159="删除"</formula>
    </cfRule>
  </conditionalFormatting>
  <conditionalFormatting sqref="H14:J14 L14">
    <cfRule type="expression" priority="135" stopIfTrue="1">
      <formula>$Q14="删除"</formula>
    </cfRule>
  </conditionalFormatting>
  <conditionalFormatting sqref="J159">
    <cfRule type="expression" priority="161" stopIfTrue="1">
      <formula>$Q159="删除"</formula>
    </cfRule>
  </conditionalFormatting>
  <conditionalFormatting sqref="L168">
    <cfRule type="expression" priority="158" stopIfTrue="1">
      <formula>$Q168="删除"</formula>
    </cfRule>
  </conditionalFormatting>
  <conditionalFormatting sqref="M168">
    <cfRule type="expression" priority="159" stopIfTrue="1">
      <formula>$Q168="删除"</formula>
    </cfRule>
  </conditionalFormatting>
  <conditionalFormatting sqref="N168">
    <cfRule type="expression" priority="157" stopIfTrue="1">
      <formula>$Q168="删除"</formula>
    </cfRule>
  </conditionalFormatting>
  <conditionalFormatting sqref="I171">
    <cfRule type="expression" priority="142" stopIfTrue="1">
      <formula>$Q171="删除"</formula>
    </cfRule>
  </conditionalFormatting>
  <conditionalFormatting sqref="N169:N171">
    <cfRule type="expression" priority="150" stopIfTrue="1">
      <formula>$Q169="删除"</formula>
    </cfRule>
  </conditionalFormatting>
  <conditionalFormatting sqref="M169:M171">
    <cfRule type="expression" priority="151" stopIfTrue="1">
      <formula>$Q169="删除"</formula>
    </cfRule>
  </conditionalFormatting>
  <conditionalFormatting sqref="H170">
    <cfRule type="expression" priority="144" stopIfTrue="1">
      <formula>$Q170="删除"</formula>
    </cfRule>
  </conditionalFormatting>
  <conditionalFormatting sqref="H169:I169 I170">
    <cfRule type="expression" priority="148" stopIfTrue="1">
      <formula>$Q169="删除"</formula>
    </cfRule>
  </conditionalFormatting>
  <conditionalFormatting sqref="D170">
    <cfRule type="cellIs" dxfId="118" priority="143" stopIfTrue="1" operator="equal">
      <formula>"√"</formula>
    </cfRule>
  </conditionalFormatting>
  <conditionalFormatting sqref="H171">
    <cfRule type="expression" priority="140" stopIfTrue="1">
      <formula>$Q171="删除"</formula>
    </cfRule>
  </conditionalFormatting>
  <conditionalFormatting sqref="J171">
    <cfRule type="expression" priority="141" stopIfTrue="1">
      <formula>$Q171="删除"</formula>
    </cfRule>
  </conditionalFormatting>
  <conditionalFormatting sqref="L121">
    <cfRule type="expression" priority="122" stopIfTrue="1">
      <formula>$Q121="删除"</formula>
    </cfRule>
  </conditionalFormatting>
  <conditionalFormatting sqref="D171">
    <cfRule type="cellIs" dxfId="117" priority="139" stopIfTrue="1" operator="equal">
      <formula>"√"</formula>
    </cfRule>
  </conditionalFormatting>
  <conditionalFormatting sqref="N119">
    <cfRule type="expression" priority="115" stopIfTrue="1">
      <formula>$Q119="删除"</formula>
    </cfRule>
  </conditionalFormatting>
  <conditionalFormatting sqref="M14:N14">
    <cfRule type="expression" priority="136" stopIfTrue="1">
      <formula>$Q14="删除"</formula>
    </cfRule>
  </conditionalFormatting>
  <conditionalFormatting sqref="H119 K119">
    <cfRule type="expression" priority="121" stopIfTrue="1">
      <formula>$Q119="删除"</formula>
    </cfRule>
  </conditionalFormatting>
  <conditionalFormatting sqref="D46">
    <cfRule type="cellIs" dxfId="116" priority="133" stopIfTrue="1" operator="equal">
      <formula>"√"</formula>
    </cfRule>
  </conditionalFormatting>
  <conditionalFormatting sqref="H46:J46 L46">
    <cfRule type="expression" priority="129" stopIfTrue="1">
      <formula>$Q46="删除"</formula>
    </cfRule>
  </conditionalFormatting>
  <conditionalFormatting sqref="M46:N46">
    <cfRule type="expression" priority="130" stopIfTrue="1">
      <formula>$Q46="删除"</formula>
    </cfRule>
  </conditionalFormatting>
  <conditionalFormatting sqref="H99:J99 L99">
    <cfRule type="expression" priority="124" stopIfTrue="1">
      <formula>$Q99="删除"</formula>
    </cfRule>
  </conditionalFormatting>
  <conditionalFormatting sqref="M99:N99">
    <cfRule type="expression" priority="125" stopIfTrue="1">
      <formula>$Q99="删除"</formula>
    </cfRule>
  </conditionalFormatting>
  <conditionalFormatting sqref="M120:N120 H120:K120">
    <cfRule type="expression" priority="112" stopIfTrue="1">
      <formula>$Q120="删除"</formula>
    </cfRule>
  </conditionalFormatting>
  <conditionalFormatting sqref="H20:N20">
    <cfRule type="expression" priority="2974" stopIfTrue="1">
      <formula>#REF!="删除"</formula>
    </cfRule>
  </conditionalFormatting>
  <conditionalFormatting sqref="L121">
    <cfRule type="expression" priority="123" stopIfTrue="1">
      <formula>$Q121="删除"</formula>
    </cfRule>
  </conditionalFormatting>
  <conditionalFormatting sqref="D119">
    <cfRule type="cellIs" dxfId="115" priority="120" stopIfTrue="1" operator="equal">
      <formula>"√"</formula>
    </cfRule>
  </conditionalFormatting>
  <conditionalFormatting sqref="L119:M119 J119">
    <cfRule type="expression" priority="118" stopIfTrue="1">
      <formula>$Q119="删除"</formula>
    </cfRule>
  </conditionalFormatting>
  <conditionalFormatting sqref="I119">
    <cfRule type="expression" priority="119" stopIfTrue="1">
      <formula>$Q119="删除"</formula>
    </cfRule>
  </conditionalFormatting>
  <conditionalFormatting sqref="H122:J122 J123">
    <cfRule type="expression" priority="107" stopIfTrue="1">
      <formula>$Q122="删除"</formula>
    </cfRule>
  </conditionalFormatting>
  <conditionalFormatting sqref="J119 M119">
    <cfRule type="expression" priority="117" stopIfTrue="1">
      <formula>$Q119="删除"</formula>
    </cfRule>
  </conditionalFormatting>
  <conditionalFormatting sqref="L119">
    <cfRule type="expression" priority="116" stopIfTrue="1">
      <formula>$Q119="删除"</formula>
    </cfRule>
  </conditionalFormatting>
  <conditionalFormatting sqref="N119">
    <cfRule type="expression" priority="114" stopIfTrue="1">
      <formula>$Q119="删除"</formula>
    </cfRule>
  </conditionalFormatting>
  <conditionalFormatting sqref="D120">
    <cfRule type="cellIs" dxfId="114" priority="111" stopIfTrue="1" operator="equal">
      <formula>"√"</formula>
    </cfRule>
  </conditionalFormatting>
  <conditionalFormatting sqref="L122:L123">
    <cfRule type="expression" priority="101" stopIfTrue="1">
      <formula>$Q122="删除"</formula>
    </cfRule>
  </conditionalFormatting>
  <conditionalFormatting sqref="H137">
    <cfRule type="expression" priority="82" stopIfTrue="1">
      <formula>$Q137="删除"</formula>
    </cfRule>
  </conditionalFormatting>
  <conditionalFormatting sqref="L120">
    <cfRule type="expression" priority="109" stopIfTrue="1">
      <formula>$Q120="删除"</formula>
    </cfRule>
  </conditionalFormatting>
  <conditionalFormatting sqref="L120">
    <cfRule type="expression" priority="108" stopIfTrue="1">
      <formula>$Q120="删除"</formula>
    </cfRule>
  </conditionalFormatting>
  <conditionalFormatting sqref="D122">
    <cfRule type="cellIs" dxfId="113" priority="106" stopIfTrue="1" operator="equal">
      <formula>"√"</formula>
    </cfRule>
  </conditionalFormatting>
  <conditionalFormatting sqref="L131">
    <cfRule type="expression" priority="96" stopIfTrue="1">
      <formula>$Q131="删除"</formula>
    </cfRule>
  </conditionalFormatting>
  <conditionalFormatting sqref="H126:J126">
    <cfRule type="expression" priority="104" stopIfTrue="1">
      <formula>$Q126="删除"</formula>
    </cfRule>
  </conditionalFormatting>
  <conditionalFormatting sqref="D126">
    <cfRule type="cellIs" dxfId="112" priority="103" stopIfTrue="1" operator="equal">
      <formula>"√"</formula>
    </cfRule>
  </conditionalFormatting>
  <conditionalFormatting sqref="N137">
    <cfRule type="expression" priority="76" stopIfTrue="1">
      <formula>$Q137="删除"</formula>
    </cfRule>
  </conditionalFormatting>
  <conditionalFormatting sqref="L126">
    <cfRule type="expression" priority="100" stopIfTrue="1">
      <formula>$Q126="删除"</formula>
    </cfRule>
  </conditionalFormatting>
  <conditionalFormatting sqref="M130">
    <cfRule type="expression" priority="99" stopIfTrue="1">
      <formula>$Q130="删除"</formula>
    </cfRule>
  </conditionalFormatting>
  <conditionalFormatting sqref="L130">
    <cfRule type="expression" priority="98" stopIfTrue="1">
      <formula>$Q130="删除"</formula>
    </cfRule>
  </conditionalFormatting>
  <conditionalFormatting sqref="M131">
    <cfRule type="expression" priority="97" stopIfTrue="1">
      <formula>$Q131="删除"</formula>
    </cfRule>
  </conditionalFormatting>
  <conditionalFormatting sqref="M132">
    <cfRule type="expression" priority="95" stopIfTrue="1">
      <formula>$Q132="删除"</formula>
    </cfRule>
  </conditionalFormatting>
  <conditionalFormatting sqref="L132">
    <cfRule type="expression" priority="94" stopIfTrue="1">
      <formula>$Q132="删除"</formula>
    </cfRule>
  </conditionalFormatting>
  <conditionalFormatting sqref="D136 D139">
    <cfRule type="cellIs" dxfId="111" priority="92" stopIfTrue="1" operator="equal">
      <formula>"√"</formula>
    </cfRule>
  </conditionalFormatting>
  <conditionalFormatting sqref="H136 H139:K139 M139:N139">
    <cfRule type="expression" priority="93" stopIfTrue="1">
      <formula>$Q136="删除"</formula>
    </cfRule>
  </conditionalFormatting>
  <conditionalFormatting sqref="I136">
    <cfRule type="expression" priority="91" stopIfTrue="1">
      <formula>$Q136="删除"</formula>
    </cfRule>
  </conditionalFormatting>
  <conditionalFormatting sqref="L136:M136 J136">
    <cfRule type="expression" priority="90" stopIfTrue="1">
      <formula>$Q136="删除"</formula>
    </cfRule>
  </conditionalFormatting>
  <conditionalFormatting sqref="J136 M136">
    <cfRule type="expression" priority="89" stopIfTrue="1">
      <formula>$Q136="删除"</formula>
    </cfRule>
  </conditionalFormatting>
  <conditionalFormatting sqref="L136">
    <cfRule type="expression" priority="88" stopIfTrue="1">
      <formula>$Q136="删除"</formula>
    </cfRule>
  </conditionalFormatting>
  <conditionalFormatting sqref="N136">
    <cfRule type="expression" priority="87" stopIfTrue="1">
      <formula>$Q136="删除"</formula>
    </cfRule>
  </conditionalFormatting>
  <conditionalFormatting sqref="N136">
    <cfRule type="expression" priority="86" stopIfTrue="1">
      <formula>$Q136="删除"</formula>
    </cfRule>
  </conditionalFormatting>
  <conditionalFormatting sqref="J143:J144">
    <cfRule type="expression" priority="51" stopIfTrue="1">
      <formula>$Q143="删除"</formula>
    </cfRule>
  </conditionalFormatting>
  <conditionalFormatting sqref="K142:K147">
    <cfRule type="expression" priority="45" stopIfTrue="1">
      <formula>$Q142="删除"</formula>
    </cfRule>
  </conditionalFormatting>
  <conditionalFormatting sqref="M138:N138 H138:K138">
    <cfRule type="expression" priority="73" stopIfTrue="1">
      <formula>$Q138="删除"</formula>
    </cfRule>
  </conditionalFormatting>
  <conditionalFormatting sqref="L139">
    <cfRule type="expression" priority="84" stopIfTrue="1">
      <formula>$Q139="删除"</formula>
    </cfRule>
  </conditionalFormatting>
  <conditionalFormatting sqref="L139">
    <cfRule type="expression" priority="83" stopIfTrue="1">
      <formula>$Q139="删除"</formula>
    </cfRule>
  </conditionalFormatting>
  <conditionalFormatting sqref="D137">
    <cfRule type="cellIs" dxfId="110" priority="81" stopIfTrue="1" operator="equal">
      <formula>"√"</formula>
    </cfRule>
  </conditionalFormatting>
  <conditionalFormatting sqref="L137:M137 J137">
    <cfRule type="expression" priority="79" stopIfTrue="1">
      <formula>$Q137="删除"</formula>
    </cfRule>
  </conditionalFormatting>
  <conditionalFormatting sqref="I137">
    <cfRule type="expression" priority="80" stopIfTrue="1">
      <formula>$Q137="删除"</formula>
    </cfRule>
  </conditionalFormatting>
  <conditionalFormatting sqref="J137 M137">
    <cfRule type="expression" priority="78" stopIfTrue="1">
      <formula>$Q137="删除"</formula>
    </cfRule>
  </conditionalFormatting>
  <conditionalFormatting sqref="L137">
    <cfRule type="expression" priority="77" stopIfTrue="1">
      <formula>$Q137="删除"</formula>
    </cfRule>
  </conditionalFormatting>
  <conditionalFormatting sqref="L140">
    <cfRule type="expression" priority="60" stopIfTrue="1">
      <formula>$Q140="删除"</formula>
    </cfRule>
  </conditionalFormatting>
  <conditionalFormatting sqref="N137">
    <cfRule type="expression" priority="75" stopIfTrue="1">
      <formula>$Q137="删除"</formula>
    </cfRule>
  </conditionalFormatting>
  <conditionalFormatting sqref="D138">
    <cfRule type="cellIs" dxfId="109" priority="72" stopIfTrue="1" operator="equal">
      <formula>"√"</formula>
    </cfRule>
  </conditionalFormatting>
  <conditionalFormatting sqref="L138">
    <cfRule type="expression" priority="70" stopIfTrue="1">
      <formula>$Q138="删除"</formula>
    </cfRule>
  </conditionalFormatting>
  <conditionalFormatting sqref="L138">
    <cfRule type="expression" priority="69" stopIfTrue="1">
      <formula>$Q138="删除"</formula>
    </cfRule>
  </conditionalFormatting>
  <conditionalFormatting sqref="M140:M141">
    <cfRule type="expression" priority="68" stopIfTrue="1">
      <formula>$Q140="删除"</formula>
    </cfRule>
  </conditionalFormatting>
  <conditionalFormatting sqref="N140:N141">
    <cfRule type="expression" priority="67" stopIfTrue="1">
      <formula>$Q140="删除"</formula>
    </cfRule>
  </conditionalFormatting>
  <conditionalFormatting sqref="H140:J140">
    <cfRule type="expression" priority="66" stopIfTrue="1">
      <formula>$Q140="删除"</formula>
    </cfRule>
  </conditionalFormatting>
  <conditionalFormatting sqref="L146">
    <cfRule type="expression" priority="40" stopIfTrue="1">
      <formula>$Q146="删除"</formula>
    </cfRule>
  </conditionalFormatting>
  <conditionalFormatting sqref="D140">
    <cfRule type="cellIs" dxfId="108" priority="65" stopIfTrue="1" operator="equal">
      <formula>"√"</formula>
    </cfRule>
  </conditionalFormatting>
  <conditionalFormatting sqref="H141:J141">
    <cfRule type="expression" priority="63" stopIfTrue="1">
      <formula>$Q141="删除"</formula>
    </cfRule>
  </conditionalFormatting>
  <conditionalFormatting sqref="D141">
    <cfRule type="cellIs" dxfId="107" priority="62" stopIfTrue="1" operator="equal">
      <formula>"√"</formula>
    </cfRule>
  </conditionalFormatting>
  <conditionalFormatting sqref="L141">
    <cfRule type="expression" priority="59" stopIfTrue="1">
      <formula>$Q141="删除"</formula>
    </cfRule>
  </conditionalFormatting>
  <conditionalFormatting sqref="K140:K141">
    <cfRule type="expression" priority="58" stopIfTrue="1">
      <formula>$Q140="删除"</formula>
    </cfRule>
  </conditionalFormatting>
  <conditionalFormatting sqref="D142:D147">
    <cfRule type="cellIs" dxfId="106" priority="57" stopIfTrue="1" operator="equal">
      <formula>"√"</formula>
    </cfRule>
  </conditionalFormatting>
  <conditionalFormatting sqref="I146:I147">
    <cfRule type="expression" priority="47" stopIfTrue="1">
      <formula>$Q146="删除"</formula>
    </cfRule>
  </conditionalFormatting>
  <conditionalFormatting sqref="J146:J147">
    <cfRule type="expression" priority="46" stopIfTrue="1">
      <formula>$Q146="删除"</formula>
    </cfRule>
  </conditionalFormatting>
  <conditionalFormatting sqref="H145:I145 H146:H147">
    <cfRule type="expression" priority="50" stopIfTrue="1">
      <formula>$Q145="删除"</formula>
    </cfRule>
  </conditionalFormatting>
  <conditionalFormatting sqref="J145">
    <cfRule type="expression" priority="49" stopIfTrue="1">
      <formula>$Q145="删除"</formula>
    </cfRule>
  </conditionalFormatting>
  <conditionalFormatting sqref="M142:M144">
    <cfRule type="expression" priority="56" stopIfTrue="1">
      <formula>$Q142="删除"</formula>
    </cfRule>
  </conditionalFormatting>
  <conditionalFormatting sqref="J142">
    <cfRule type="expression" priority="54" stopIfTrue="1">
      <formula>$Q142="删除"</formula>
    </cfRule>
  </conditionalFormatting>
  <conditionalFormatting sqref="H142:I142 L142:L144">
    <cfRule type="expression" priority="55" stopIfTrue="1">
      <formula>$Q142="删除"</formula>
    </cfRule>
  </conditionalFormatting>
  <conditionalFormatting sqref="N142:N144">
    <cfRule type="expression" priority="53" stopIfTrue="1">
      <formula>$Q142="删除"</formula>
    </cfRule>
  </conditionalFormatting>
  <conditionalFormatting sqref="H143:I144">
    <cfRule type="expression" priority="52" stopIfTrue="1">
      <formula>$Q143="删除"</formula>
    </cfRule>
  </conditionalFormatting>
  <conditionalFormatting sqref="N145:N147">
    <cfRule type="expression" priority="48" stopIfTrue="1">
      <formula>$Q145="删除"</formula>
    </cfRule>
  </conditionalFormatting>
  <conditionalFormatting sqref="M145">
    <cfRule type="expression" priority="43" stopIfTrue="1">
      <formula>$Q145="删除"</formula>
    </cfRule>
  </conditionalFormatting>
  <conditionalFormatting sqref="L145">
    <cfRule type="expression" priority="42" stopIfTrue="1">
      <formula>$Q145="删除"</formula>
    </cfRule>
  </conditionalFormatting>
  <conditionalFormatting sqref="M146">
    <cfRule type="expression" priority="41" stopIfTrue="1">
      <formula>$Q146="删除"</formula>
    </cfRule>
  </conditionalFormatting>
  <conditionalFormatting sqref="M147">
    <cfRule type="expression" priority="39" stopIfTrue="1">
      <formula>$Q147="删除"</formula>
    </cfRule>
  </conditionalFormatting>
  <conditionalFormatting sqref="L147">
    <cfRule type="expression" priority="38" stopIfTrue="1">
      <formula>$Q147="删除"</formula>
    </cfRule>
  </conditionalFormatting>
  <conditionalFormatting sqref="D95">
    <cfRule type="cellIs" dxfId="105" priority="27" stopIfTrue="1" operator="equal">
      <formula>"√"</formula>
    </cfRule>
  </conditionalFormatting>
  <conditionalFormatting sqref="I95">
    <cfRule type="expression" priority="26" stopIfTrue="1">
      <formula>$Q95="删除"</formula>
    </cfRule>
  </conditionalFormatting>
  <conditionalFormatting sqref="J95">
    <cfRule type="expression" priority="25" stopIfTrue="1">
      <formula>$Q95="删除"</formula>
    </cfRule>
  </conditionalFormatting>
  <conditionalFormatting sqref="J95">
    <cfRule type="expression" priority="24" stopIfTrue="1">
      <formula>$Q95="删除"</formula>
    </cfRule>
  </conditionalFormatting>
  <conditionalFormatting sqref="H95">
    <cfRule type="expression" priority="23" stopIfTrue="1">
      <formula>$Q95="删除"</formula>
    </cfRule>
  </conditionalFormatting>
  <conditionalFormatting sqref="K95">
    <cfRule type="expression" priority="22" stopIfTrue="1">
      <formula>$Q95="删除"</formula>
    </cfRule>
  </conditionalFormatting>
  <conditionalFormatting sqref="H123:I123">
    <cfRule type="expression" priority="20" stopIfTrue="1">
      <formula>$Q123="删除"</formula>
    </cfRule>
  </conditionalFormatting>
  <conditionalFormatting sqref="D123">
    <cfRule type="cellIs" dxfId="104" priority="19" stopIfTrue="1" operator="equal">
      <formula>"√"</formula>
    </cfRule>
  </conditionalFormatting>
  <conditionalFormatting sqref="N123">
    <cfRule type="expression" priority="17" stopIfTrue="1">
      <formula>$Q123="删除"</formula>
    </cfRule>
  </conditionalFormatting>
  <conditionalFormatting sqref="K124 M124">
    <cfRule type="expression" priority="16" stopIfTrue="1">
      <formula>$Q124="删除"</formula>
    </cfRule>
  </conditionalFormatting>
  <conditionalFormatting sqref="J124">
    <cfRule type="expression" priority="15" stopIfTrue="1">
      <formula>$Q124="删除"</formula>
    </cfRule>
  </conditionalFormatting>
  <conditionalFormatting sqref="L124">
    <cfRule type="expression" priority="14" stopIfTrue="1">
      <formula>$Q124="删除"</formula>
    </cfRule>
  </conditionalFormatting>
  <conditionalFormatting sqref="H124:I124">
    <cfRule type="expression" priority="13" stopIfTrue="1">
      <formula>$Q124="删除"</formula>
    </cfRule>
  </conditionalFormatting>
  <conditionalFormatting sqref="D124">
    <cfRule type="cellIs" dxfId="103" priority="12" stopIfTrue="1" operator="equal">
      <formula>"√"</formula>
    </cfRule>
  </conditionalFormatting>
  <conditionalFormatting sqref="N124">
    <cfRule type="expression" priority="9" stopIfTrue="1">
      <formula>$Q124="删除"</formula>
    </cfRule>
  </conditionalFormatting>
  <conditionalFormatting sqref="K125 M125">
    <cfRule type="expression" priority="8" stopIfTrue="1">
      <formula>$Q125="删除"</formula>
    </cfRule>
  </conditionalFormatting>
  <conditionalFormatting sqref="J125">
    <cfRule type="expression" priority="7" stopIfTrue="1">
      <formula>$Q125="删除"</formula>
    </cfRule>
  </conditionalFormatting>
  <conditionalFormatting sqref="L125">
    <cfRule type="expression" priority="6" stopIfTrue="1">
      <formula>$Q125="删除"</formula>
    </cfRule>
  </conditionalFormatting>
  <conditionalFormatting sqref="H125:I125">
    <cfRule type="expression" priority="5" stopIfTrue="1">
      <formula>$Q125="删除"</formula>
    </cfRule>
  </conditionalFormatting>
  <conditionalFormatting sqref="D125">
    <cfRule type="cellIs" dxfId="102" priority="4" stopIfTrue="1" operator="equal">
      <formula>"√"</formula>
    </cfRule>
  </conditionalFormatting>
  <conditionalFormatting sqref="N125">
    <cfRule type="expression" priority="1" stopIfTrue="1">
      <formula>$Q125="删除"</formula>
    </cfRule>
  </conditionalFormatting>
  <dataValidations count="6">
    <dataValidation type="list" allowBlank="1" showInputMessage="1" showErrorMessage="1" promptTitle="§温馨提示§" prompt="修订状态为“删除”时，请将“纳入测试”设置为“否”。" sqref="Q429:Q441 Q463:Q653 Q660:Q672 Q704:Q709 Q11:Q422">
      <formula1>"新增,修改,删除"</formula1>
    </dataValidation>
    <dataValidation type="list" allowBlank="1" showInputMessage="1" showErrorMessage="1" sqref="S88 S152:S153 W152:W153 AA152:AA153 S180 W180 AA180 S187:S193 W187:W193 AA187:AA193 S198:S200 W198:W200 AA198:AA200 S205:S218 W205:W218 AA205:AA218 S221 W221 AA221 S224:S225 W224:W225 AA224:AA225 S231 W231 AA231 S258 W258 AA258 S284 W284 AA284 S295 W295 AA295 S300:S302 W300:W302 AA300:AA302 S307:S309 W307:W309 AA307:AA309 S319:S321 W319:W321 AA319:AA321 S326:S328 W326:W328 AA326:AA328 S335 W335 AA335 S338:S341 W338:W341 AA338:AA341 S344:S345 W344:W345 AA344:AA345 S348:S349 W348:W349 AA348:AA349 S354:S372 W354:W372 AA354:AA372 S375:S422 W375:W422 AA375:AA422 S435:S437 W435:W437 AA435:AA437 S489 W489 AA489 S515 W515 AA515 S526 W526 AA526 S531:S533 W531:W533 AA531:AA533 S538:S540 W538:W540 AA538:AA540 S550:S552 W550:W552 AA550:AA552 S557 W557 AA557 AA68:AA78 W68:W78 S68:S78 AA88 W88 AA137:AA146 W137:W146 S137:S146 S172:S175 AA172:AA175 W172:W175 AA32:AA53 W32:W53 S32:S53 S94:S114 W94:W114 AA94:AA114 S121:S134 AA121:AA134 W121:W134 AA11:AA30 W11:W30 S11:S30">
      <formula1>"OK,NG,POK,NT,SKIP"</formula1>
    </dataValidation>
    <dataValidation type="list" allowBlank="1" showInputMessage="1" showErrorMessage="1" sqref="D704:D709 D178:D693">
      <formula1>ModuleName</formula1>
    </dataValidation>
    <dataValidation type="list" allowBlank="1" showInputMessage="1" showErrorMessage="1" sqref="I11:I1453">
      <formula1>"正常系,异常系"</formula1>
    </dataValidation>
    <dataValidation type="list" allowBlank="1" showInputMessage="1" showErrorMessage="1" sqref="H11:H1453">
      <formula1>"高,中,低"</formula1>
    </dataValidation>
    <dataValidation type="list" allowBlank="1" showInputMessage="1" showErrorMessage="1" sqref="R11:R1453">
      <formula1>"是,否"</formula1>
    </dataValidation>
  </dataValidations>
  <pageMargins left="0.69861111111111107" right="0.69861111111111107" top="0.75" bottom="0.75" header="0.3" footer="0.3"/>
  <pageSetup paperSize="9" orientation="portrait" horizontalDpi="200" verticalDpi="200" r:id="rId1"/>
  <headerFooter alignWithMargins="0"/>
  <legacyDrawing r:id="rId2"/>
</worksheet>
</file>

<file path=xl/worksheets/sheet6.xml><?xml version="1.0" encoding="utf-8"?>
<worksheet xmlns="http://schemas.openxmlformats.org/spreadsheetml/2006/main" xmlns:r="http://schemas.openxmlformats.org/officeDocument/2006/relationships">
  <dimension ref="A1:AF1386"/>
  <sheetViews>
    <sheetView topLeftCell="A4" zoomScale="85" zoomScaleNormal="100" workbookViewId="0">
      <pane ySplit="7" topLeftCell="A11" activePane="bottomLeft" state="frozen"/>
      <selection activeCell="A4" sqref="A4"/>
      <selection pane="bottomLeft" activeCell="G15" sqref="G15"/>
    </sheetView>
  </sheetViews>
  <sheetFormatPr defaultColWidth="9" defaultRowHeight="12" outlineLevelRow="1" outlineLevelCol="1"/>
  <cols>
    <col min="1" max="1" width="1.125" style="55" customWidth="1"/>
    <col min="2" max="2" width="4.25" style="58" customWidth="1"/>
    <col min="3" max="3" width="7.125" style="58" customWidth="1" outlineLevel="1"/>
    <col min="4" max="4" width="11.5" style="58" customWidth="1" outlineLevel="1"/>
    <col min="5" max="5" width="9.5" style="59" customWidth="1" outlineLevel="1"/>
    <col min="6" max="6" width="10.25" style="58" customWidth="1" outlineLevel="1"/>
    <col min="7" max="7" width="12" style="58" customWidth="1"/>
    <col min="8" max="9" width="7" style="58" customWidth="1"/>
    <col min="10" max="11" width="23.75" style="59" customWidth="1"/>
    <col min="12" max="13" width="26.875" style="59" customWidth="1" outlineLevel="1"/>
    <col min="14" max="14" width="21.125" style="59" customWidth="1" outlineLevel="1"/>
    <col min="15" max="15" width="8" style="59" customWidth="1" outlineLevel="1"/>
    <col min="16" max="16" width="8" style="55" customWidth="1" outlineLevel="1"/>
    <col min="17" max="17" width="8.75" style="55" customWidth="1" outlineLevel="1"/>
    <col min="18" max="18" width="8.5" style="55" customWidth="1" outlineLevel="1"/>
    <col min="19" max="19" width="10" style="55" customWidth="1"/>
    <col min="20" max="22" width="9" style="55" customWidth="1" outlineLevel="1"/>
    <col min="23" max="23" width="10" style="55" customWidth="1"/>
    <col min="24" max="26" width="9" style="55" outlineLevel="1"/>
    <col min="27" max="27" width="10" style="55" customWidth="1"/>
    <col min="28" max="30" width="9" style="55" outlineLevel="1"/>
    <col min="31" max="16384" width="9" style="55"/>
  </cols>
  <sheetData>
    <row r="1" spans="1:31" ht="4.5" customHeight="1"/>
    <row r="2" spans="1:31" s="5" customFormat="1" ht="21.75" customHeight="1">
      <c r="B2" s="260" t="s">
        <v>0</v>
      </c>
      <c r="C2" s="260"/>
      <c r="D2" s="260"/>
      <c r="E2" s="260"/>
      <c r="F2" s="260"/>
      <c r="G2" s="260"/>
      <c r="H2" s="260"/>
      <c r="I2" s="260"/>
      <c r="J2" s="261"/>
      <c r="K2" s="260"/>
      <c r="L2" s="261"/>
      <c r="M2" s="261"/>
      <c r="N2" s="260"/>
      <c r="O2" s="260"/>
      <c r="P2" s="260"/>
      <c r="Q2" s="11"/>
      <c r="R2" s="11"/>
    </row>
    <row r="3" spans="1:31" s="5" customFormat="1" ht="6" customHeight="1">
      <c r="B3" s="12"/>
      <c r="C3" s="12"/>
      <c r="D3" s="12"/>
      <c r="E3" s="12"/>
      <c r="F3" s="12"/>
      <c r="G3" s="12"/>
      <c r="H3" s="12"/>
      <c r="I3" s="12"/>
      <c r="J3" s="94"/>
      <c r="K3" s="12"/>
      <c r="L3" s="94"/>
      <c r="M3" s="94"/>
      <c r="N3" s="12"/>
      <c r="O3" s="12"/>
      <c r="P3" s="12"/>
      <c r="Q3" s="12"/>
      <c r="R3" s="12"/>
    </row>
    <row r="4" spans="1:31" s="5" customFormat="1" ht="18" customHeight="1">
      <c r="A4" s="60"/>
      <c r="B4" s="61"/>
      <c r="C4" s="61"/>
      <c r="D4" s="61"/>
      <c r="E4" s="61"/>
      <c r="F4" s="61"/>
      <c r="G4" s="61"/>
      <c r="H4" s="61"/>
      <c r="I4" s="61"/>
      <c r="J4" s="95"/>
      <c r="K4" s="61"/>
      <c r="L4" s="95"/>
      <c r="M4" s="95"/>
      <c r="N4" s="61"/>
      <c r="O4" s="61"/>
      <c r="P4" s="61"/>
      <c r="Q4" s="61"/>
      <c r="R4" s="61"/>
      <c r="S4" s="263" t="s">
        <v>26</v>
      </c>
      <c r="T4" s="263"/>
      <c r="U4" s="263"/>
      <c r="V4" s="263"/>
      <c r="W4" s="263" t="s">
        <v>27</v>
      </c>
      <c r="X4" s="263"/>
      <c r="Y4" s="263"/>
      <c r="Z4" s="263"/>
      <c r="AA4" s="263" t="s">
        <v>28</v>
      </c>
      <c r="AB4" s="263"/>
      <c r="AC4" s="263"/>
      <c r="AD4" s="263"/>
      <c r="AE4" s="60"/>
    </row>
    <row r="5" spans="1:31" s="5" customFormat="1" ht="18" hidden="1" customHeight="1" outlineLevel="1">
      <c r="A5" s="60"/>
      <c r="B5" s="61"/>
      <c r="C5" s="61"/>
      <c r="D5" s="61"/>
      <c r="E5" s="61"/>
      <c r="F5" s="61"/>
      <c r="G5" s="61"/>
      <c r="H5" s="61"/>
      <c r="I5" s="61"/>
      <c r="J5" s="95"/>
      <c r="K5" s="61"/>
      <c r="L5" s="95"/>
      <c r="M5" s="95"/>
      <c r="N5" s="61"/>
      <c r="O5" s="61"/>
      <c r="P5" s="61"/>
      <c r="Q5" s="61"/>
      <c r="R5" s="61"/>
      <c r="S5" s="28" t="s">
        <v>29</v>
      </c>
      <c r="T5" s="28" t="e">
        <f>SUMPRODUCT(($G$11:$G$1808&lt;&gt;"")*($Q$11:$Q$1807&lt;&gt;"删除"))</f>
        <v>#N/A</v>
      </c>
      <c r="U5" s="28" t="s">
        <v>30</v>
      </c>
      <c r="V5" s="28">
        <f>SUMPRODUCT(($R$11:$R$1604="是")*(S$11:S$1604=U$5))</f>
        <v>0</v>
      </c>
      <c r="W5" s="28" t="s">
        <v>29</v>
      </c>
      <c r="X5" s="28" t="e">
        <f t="array" ref="X5">SUMPRODUCT(($G$11:$G$1808&lt;&gt;"")*($Q$11:$Q$1807&lt;&gt;"删除"))</f>
        <v>#N/A</v>
      </c>
      <c r="Y5" s="28" t="s">
        <v>30</v>
      </c>
      <c r="Z5" s="28">
        <f>SUMPRODUCT(($R$11:$R$1604="是")*(W$11:W$1604=Y$5))</f>
        <v>0</v>
      </c>
      <c r="AA5" s="28" t="s">
        <v>29</v>
      </c>
      <c r="AB5" s="28" t="e">
        <f t="array" ref="AB5">SUMPRODUCT(($G$11:$G$1808&lt;&gt;"")*($Q$11:$Q$1807&lt;&gt;"删除"))</f>
        <v>#N/A</v>
      </c>
      <c r="AC5" s="28" t="s">
        <v>30</v>
      </c>
      <c r="AD5" s="28">
        <f>SUMPRODUCT(($R$11:$R$1604="是")*(AA$11:AA$1604=AC$5))</f>
        <v>0</v>
      </c>
      <c r="AE5" s="60"/>
    </row>
    <row r="6" spans="1:31" s="5" customFormat="1" ht="18" hidden="1" customHeight="1" outlineLevel="1">
      <c r="A6" s="60"/>
      <c r="B6" s="61"/>
      <c r="C6" s="61"/>
      <c r="D6" s="61"/>
      <c r="E6" s="61"/>
      <c r="F6" s="61"/>
      <c r="G6" s="61"/>
      <c r="H6" s="61"/>
      <c r="I6" s="61"/>
      <c r="J6" s="95"/>
      <c r="K6" s="61"/>
      <c r="L6" s="95"/>
      <c r="M6" s="95"/>
      <c r="N6" s="61"/>
      <c r="O6" s="61"/>
      <c r="P6" s="61"/>
      <c r="Q6" s="61"/>
      <c r="R6" s="61"/>
      <c r="S6" s="28" t="s">
        <v>31</v>
      </c>
      <c r="T6" s="28">
        <f t="array" ref="T6">COUNTIF($R$10:$R$1604,"是")</f>
        <v>3</v>
      </c>
      <c r="U6" s="29" t="s">
        <v>32</v>
      </c>
      <c r="V6" s="28">
        <f>SUMPRODUCT(($R$11:$R$1604="是")*(S$11:S$1604=U$6))</f>
        <v>0</v>
      </c>
      <c r="W6" s="28" t="s">
        <v>31</v>
      </c>
      <c r="X6" s="28">
        <f t="array" ref="X6">COUNTIF($R$10:$R$1604,"是")</f>
        <v>3</v>
      </c>
      <c r="Y6" s="29" t="s">
        <v>32</v>
      </c>
      <c r="Z6" s="28">
        <f>SUMPRODUCT(($R$11:$R$1604="是")*(W$11:W$1604=Y$6))</f>
        <v>0</v>
      </c>
      <c r="AA6" s="28" t="s">
        <v>31</v>
      </c>
      <c r="AB6" s="28">
        <f t="array" ref="AB6">COUNTIF($R$10:$R$1604,"是")</f>
        <v>3</v>
      </c>
      <c r="AC6" s="29" t="s">
        <v>32</v>
      </c>
      <c r="AD6" s="28">
        <f>SUMPRODUCT(($R$11:$R$1604="是")*(AA$11:AA$1604=AC$6))</f>
        <v>0</v>
      </c>
      <c r="AE6" s="60"/>
    </row>
    <row r="7" spans="1:31" s="5" customFormat="1" ht="18" hidden="1" customHeight="1" outlineLevel="1">
      <c r="A7" s="60"/>
      <c r="B7" s="61"/>
      <c r="C7" s="61"/>
      <c r="D7" s="61"/>
      <c r="E7" s="61"/>
      <c r="F7" s="61"/>
      <c r="G7" s="61"/>
      <c r="H7" s="61"/>
      <c r="I7" s="61"/>
      <c r="J7" s="95"/>
      <c r="K7" s="61"/>
      <c r="L7" s="95"/>
      <c r="M7" s="95"/>
      <c r="N7" s="61"/>
      <c r="O7" s="61"/>
      <c r="P7" s="61"/>
      <c r="Q7" s="61"/>
      <c r="R7" s="61"/>
      <c r="S7" s="28" t="s">
        <v>33</v>
      </c>
      <c r="T7" s="31">
        <f>IF(V5+V6+V7=0,0%,(V5+V6+V7)/(T6))</f>
        <v>0</v>
      </c>
      <c r="U7" s="29" t="s">
        <v>34</v>
      </c>
      <c r="V7" s="28">
        <f>SUMPRODUCT(($R$11:$R$1604="是")*(S$11:S$1604=U$7))</f>
        <v>0</v>
      </c>
      <c r="W7" s="28" t="s">
        <v>33</v>
      </c>
      <c r="X7" s="31">
        <f>IF(Z5+Z6+Z7=0,0%,(Z5+Z6+Z7)/(X6))</f>
        <v>0</v>
      </c>
      <c r="Y7" s="29" t="s">
        <v>34</v>
      </c>
      <c r="Z7" s="28">
        <f>SUMPRODUCT(($R$11:$R$1604="是")*(W$11:W$1604=Y$7))</f>
        <v>0</v>
      </c>
      <c r="AA7" s="28" t="s">
        <v>33</v>
      </c>
      <c r="AB7" s="31">
        <f>IF(AD5+AD6+AD7=0,0%,(AD5+AD6+AD7)/(AB6))</f>
        <v>0</v>
      </c>
      <c r="AC7" s="29" t="s">
        <v>34</v>
      </c>
      <c r="AD7" s="28">
        <f>SUMPRODUCT(($R$11:$R$1604="是")*(AA$11:AA$1604=AC$7))</f>
        <v>0</v>
      </c>
      <c r="AE7" s="60"/>
    </row>
    <row r="8" spans="1:31" s="5" customFormat="1" ht="57" hidden="1" customHeight="1" outlineLevel="1">
      <c r="A8" s="60"/>
      <c r="B8" s="61"/>
      <c r="C8" s="61"/>
      <c r="D8" s="210" t="s">
        <v>967</v>
      </c>
      <c r="E8" s="196" t="s">
        <v>35</v>
      </c>
      <c r="F8" s="196" t="s">
        <v>36</v>
      </c>
      <c r="G8" s="196" t="s">
        <v>37</v>
      </c>
      <c r="H8" s="61"/>
      <c r="I8" s="61"/>
      <c r="J8" s="95"/>
      <c r="K8" s="61"/>
      <c r="L8" s="95"/>
      <c r="M8" s="95"/>
      <c r="N8" s="61"/>
      <c r="O8" s="61"/>
      <c r="P8" s="61"/>
      <c r="Q8" s="61"/>
      <c r="R8" s="61"/>
      <c r="S8" s="28" t="s">
        <v>38</v>
      </c>
      <c r="T8" s="31">
        <f t="array" ref="T8">IF(V5=0,0%,V5/(V5+V6+V7))</f>
        <v>0</v>
      </c>
      <c r="U8" s="29" t="s">
        <v>39</v>
      </c>
      <c r="V8" s="28">
        <f>SUMPRODUCT(($R$11:$R$1604="是")*(S$11:S$1604=U$8))</f>
        <v>0</v>
      </c>
      <c r="W8" s="28" t="s">
        <v>38</v>
      </c>
      <c r="X8" s="31">
        <f t="array" ref="X8">IF(Z5=0,0%,Z5/(Z5+Z6+Z7))</f>
        <v>0</v>
      </c>
      <c r="Y8" s="29" t="s">
        <v>39</v>
      </c>
      <c r="Z8" s="28">
        <f>SUMPRODUCT(($R$11:$R$1604="是")*(W$11:W$1604=Y$8))</f>
        <v>0</v>
      </c>
      <c r="AA8" s="28" t="s">
        <v>38</v>
      </c>
      <c r="AB8" s="31">
        <f t="array" ref="AB8">IF(AD5=0,0%,AD5/(AD5+AD6+AD7))</f>
        <v>0</v>
      </c>
      <c r="AC8" s="29" t="s">
        <v>39</v>
      </c>
      <c r="AD8" s="28">
        <f>SUMPRODUCT(($R$11:$R$1604="是")*(AA$11:AA$1604=AC$8))</f>
        <v>0</v>
      </c>
      <c r="AE8" s="60"/>
    </row>
    <row r="9" spans="1:31" s="5" customFormat="1" ht="48" hidden="1" customHeight="1" outlineLevel="1">
      <c r="A9" s="60"/>
      <c r="B9" s="61"/>
      <c r="C9" s="61"/>
      <c r="D9" s="206" t="s">
        <v>968</v>
      </c>
      <c r="E9" s="195" t="s">
        <v>965</v>
      </c>
      <c r="F9" s="195"/>
      <c r="G9" s="195" t="s">
        <v>964</v>
      </c>
      <c r="H9" s="61"/>
      <c r="I9" s="61"/>
      <c r="J9" s="95"/>
      <c r="K9" s="61"/>
      <c r="L9" s="95"/>
      <c r="M9" s="95"/>
      <c r="N9" s="61"/>
      <c r="O9" s="61"/>
      <c r="P9" s="61"/>
      <c r="Q9" s="61"/>
      <c r="R9" s="61"/>
      <c r="S9" s="28" t="s">
        <v>40</v>
      </c>
      <c r="T9" s="28">
        <f t="array" ref="T9">SUMPRODUCT(($R$11:$R$1604="是")*(S$11:S$1604=S9))</f>
        <v>0</v>
      </c>
      <c r="U9" s="29" t="s">
        <v>41</v>
      </c>
      <c r="V9" s="28">
        <f t="array" ref="V9">(T6-V8-V7-V6-V5-T9)</f>
        <v>3</v>
      </c>
      <c r="W9" s="28" t="s">
        <v>40</v>
      </c>
      <c r="X9" s="28">
        <f t="array" ref="X9">SUMPRODUCT(($R$11:$R$1604="是")*(W$11:W$1604=W9))</f>
        <v>0</v>
      </c>
      <c r="Y9" s="29" t="s">
        <v>41</v>
      </c>
      <c r="Z9" s="28">
        <f t="array" ref="Z9">(X6-Z8-Z7-Z6-Z5-X9)</f>
        <v>3</v>
      </c>
      <c r="AA9" s="28" t="s">
        <v>40</v>
      </c>
      <c r="AB9" s="28">
        <f t="array" ref="AB9">SUMPRODUCT(($R$11:$R$1604="是")*(AA$11:AA$1604=AA9))</f>
        <v>0</v>
      </c>
      <c r="AC9" s="29" t="s">
        <v>41</v>
      </c>
      <c r="AD9" s="28">
        <f t="array" ref="AD9">(AB6-AD8-AD7-AD6-AD5-AB9)</f>
        <v>3</v>
      </c>
      <c r="AE9" s="60"/>
    </row>
    <row r="10" spans="1:31" s="54" customFormat="1" ht="17.25" customHeight="1" collapsed="1">
      <c r="A10" s="62"/>
      <c r="B10" s="63" t="s">
        <v>42</v>
      </c>
      <c r="C10" s="63" t="s">
        <v>16</v>
      </c>
      <c r="D10" s="63" t="s">
        <v>43</v>
      </c>
      <c r="E10" s="63" t="s">
        <v>44</v>
      </c>
      <c r="F10" s="63" t="s">
        <v>45</v>
      </c>
      <c r="G10" s="63" t="s">
        <v>46</v>
      </c>
      <c r="H10" s="63" t="s">
        <v>47</v>
      </c>
      <c r="I10" s="63" t="s">
        <v>48</v>
      </c>
      <c r="J10" s="96" t="s">
        <v>49</v>
      </c>
      <c r="K10" s="63" t="s">
        <v>50</v>
      </c>
      <c r="L10" s="97" t="s">
        <v>51</v>
      </c>
      <c r="M10" s="97" t="s">
        <v>52</v>
      </c>
      <c r="N10" s="69" t="s">
        <v>53</v>
      </c>
      <c r="O10" s="69" t="s">
        <v>54</v>
      </c>
      <c r="P10" s="63" t="s">
        <v>55</v>
      </c>
      <c r="Q10" s="63" t="s">
        <v>56</v>
      </c>
      <c r="R10" s="63" t="s">
        <v>31</v>
      </c>
      <c r="S10" s="68" t="s">
        <v>57</v>
      </c>
      <c r="T10" s="63" t="s">
        <v>58</v>
      </c>
      <c r="U10" s="69" t="s">
        <v>59</v>
      </c>
      <c r="V10" s="63" t="s">
        <v>60</v>
      </c>
      <c r="W10" s="68" t="s">
        <v>57</v>
      </c>
      <c r="X10" s="63" t="s">
        <v>58</v>
      </c>
      <c r="Y10" s="69" t="s">
        <v>59</v>
      </c>
      <c r="Z10" s="63" t="s">
        <v>60</v>
      </c>
      <c r="AA10" s="68" t="s">
        <v>57</v>
      </c>
      <c r="AB10" s="63" t="s">
        <v>58</v>
      </c>
      <c r="AC10" s="69" t="s">
        <v>59</v>
      </c>
      <c r="AD10" s="63" t="s">
        <v>60</v>
      </c>
      <c r="AE10" s="62" t="s">
        <v>61</v>
      </c>
    </row>
    <row r="11" spans="1:31" ht="36">
      <c r="A11" s="23"/>
      <c r="B11" s="215">
        <f>SUBTOTAL(103,$C11:C$11)</f>
        <v>1</v>
      </c>
      <c r="C11" s="197">
        <f>测试大纲!$A$24</f>
        <v>5</v>
      </c>
      <c r="D11" s="200" t="s">
        <v>316</v>
      </c>
      <c r="E11" s="204" t="s">
        <v>317</v>
      </c>
      <c r="F11" s="198"/>
      <c r="G11" s="218" t="str">
        <f>报备管理!$D$9 &amp; "-"&amp;测试大纲!I$24&amp;"-"&amp;TEXT(SUBTOTAL(103,$C11:C$11),"000")</f>
        <v>Web-TXCZ-001</v>
      </c>
      <c r="H11" s="17" t="s">
        <v>337</v>
      </c>
      <c r="I11" s="17" t="s">
        <v>62</v>
      </c>
      <c r="J11" s="199" t="s">
        <v>319</v>
      </c>
      <c r="K11" s="202" t="s">
        <v>349</v>
      </c>
      <c r="L11" s="203" t="s">
        <v>320</v>
      </c>
      <c r="M11" s="201"/>
      <c r="N11" s="199" t="s">
        <v>321</v>
      </c>
      <c r="O11" s="40"/>
      <c r="P11" s="23"/>
      <c r="Q11" s="23"/>
      <c r="R11" s="72"/>
      <c r="S11" s="72"/>
      <c r="T11" s="23"/>
      <c r="U11" s="40"/>
      <c r="V11" s="23"/>
      <c r="W11" s="72"/>
      <c r="X11" s="23"/>
      <c r="Y11" s="40"/>
      <c r="Z11" s="23"/>
      <c r="AA11" s="72"/>
      <c r="AB11" s="23"/>
      <c r="AC11" s="40"/>
      <c r="AD11" s="23"/>
      <c r="AE11" s="23"/>
    </row>
    <row r="12" spans="1:31" ht="48">
      <c r="A12" s="23"/>
      <c r="B12" s="215">
        <f>SUBTOTAL(103,$C$11:C12)</f>
        <v>2</v>
      </c>
      <c r="C12" s="197">
        <f>测试大纲!$A$24</f>
        <v>5</v>
      </c>
      <c r="D12" s="200" t="s">
        <v>316</v>
      </c>
      <c r="E12" s="204" t="s">
        <v>317</v>
      </c>
      <c r="F12" s="198"/>
      <c r="G12" s="218" t="str">
        <f>报备管理!$D$9 &amp; "-"&amp;测试大纲!I$24&amp;"-"&amp;TEXT(SUBTOTAL(103,$C$11:C12),"000")</f>
        <v>Web-TXCZ-002</v>
      </c>
      <c r="H12" s="17" t="s">
        <v>337</v>
      </c>
      <c r="I12" s="17" t="s">
        <v>165</v>
      </c>
      <c r="J12" s="199" t="s">
        <v>322</v>
      </c>
      <c r="K12" s="202" t="s">
        <v>349</v>
      </c>
      <c r="L12" s="203" t="s">
        <v>324</v>
      </c>
      <c r="M12" s="203" t="s">
        <v>323</v>
      </c>
      <c r="N12" s="203" t="s">
        <v>325</v>
      </c>
      <c r="O12" s="40"/>
      <c r="P12" s="23"/>
      <c r="Q12" s="23"/>
      <c r="R12" s="72"/>
      <c r="S12" s="72"/>
      <c r="T12" s="23"/>
      <c r="U12" s="40"/>
      <c r="V12" s="23"/>
      <c r="W12" s="72"/>
      <c r="X12" s="23"/>
      <c r="Y12" s="40"/>
      <c r="Z12" s="23"/>
      <c r="AA12" s="72"/>
      <c r="AB12" s="23"/>
      <c r="AC12" s="40"/>
      <c r="AD12" s="23"/>
      <c r="AE12" s="23"/>
    </row>
    <row r="13" spans="1:31" ht="48">
      <c r="A13" s="23"/>
      <c r="B13" s="215">
        <f>SUBTOTAL(103,$C$11:C13)</f>
        <v>3</v>
      </c>
      <c r="C13" s="197">
        <f>测试大纲!$A$24</f>
        <v>5</v>
      </c>
      <c r="D13" s="200" t="s">
        <v>316</v>
      </c>
      <c r="E13" s="204" t="s">
        <v>317</v>
      </c>
      <c r="F13" s="198"/>
      <c r="G13" s="218" t="str">
        <f>报备管理!$D$9 &amp; "-"&amp;测试大纲!I$24&amp;"-"&amp;TEXT(SUBTOTAL(103,$C$11:C13),"000")</f>
        <v>Web-TXCZ-003</v>
      </c>
      <c r="H13" s="17" t="s">
        <v>337</v>
      </c>
      <c r="I13" s="17" t="s">
        <v>62</v>
      </c>
      <c r="J13" s="199" t="s">
        <v>326</v>
      </c>
      <c r="K13" s="202" t="s">
        <v>350</v>
      </c>
      <c r="L13" s="203" t="s">
        <v>327</v>
      </c>
      <c r="M13" s="201"/>
      <c r="N13" s="199" t="s">
        <v>328</v>
      </c>
      <c r="O13" s="40"/>
      <c r="P13" s="23"/>
      <c r="Q13" s="23"/>
      <c r="R13" s="72"/>
      <c r="S13" s="72"/>
      <c r="T13" s="23"/>
      <c r="U13" s="40"/>
      <c r="V13" s="23"/>
      <c r="W13" s="72"/>
      <c r="X13" s="23"/>
      <c r="Y13" s="40"/>
      <c r="Z13" s="23"/>
      <c r="AA13" s="72"/>
      <c r="AB13" s="23"/>
      <c r="AC13" s="40"/>
      <c r="AD13" s="23"/>
      <c r="AE13" s="23"/>
    </row>
    <row r="14" spans="1:31" ht="48">
      <c r="A14" s="23"/>
      <c r="B14" s="215">
        <f>SUBTOTAL(103,$C$11:C14)</f>
        <v>4</v>
      </c>
      <c r="C14" s="197">
        <f>测试大纲!$A$24</f>
        <v>5</v>
      </c>
      <c r="D14" s="200" t="s">
        <v>316</v>
      </c>
      <c r="E14" s="204" t="s">
        <v>317</v>
      </c>
      <c r="F14" s="198"/>
      <c r="G14" s="218" t="str">
        <f>报备管理!$D$9 &amp; "-"&amp;测试大纲!I$24&amp;"-"&amp;TEXT(SUBTOTAL(103,$C$11:C14),"000")</f>
        <v>Web-TXCZ-004</v>
      </c>
      <c r="H14" s="17" t="s">
        <v>337</v>
      </c>
      <c r="I14" s="17" t="s">
        <v>62</v>
      </c>
      <c r="J14" s="199" t="s">
        <v>947</v>
      </c>
      <c r="K14" s="197" t="s">
        <v>948</v>
      </c>
      <c r="L14" s="203" t="s">
        <v>327</v>
      </c>
      <c r="M14" s="201"/>
      <c r="N14" s="199" t="s">
        <v>949</v>
      </c>
      <c r="O14" s="40"/>
      <c r="P14" s="23"/>
      <c r="Q14" s="23"/>
      <c r="R14" s="72"/>
      <c r="S14" s="72"/>
      <c r="T14" s="23"/>
      <c r="U14" s="40"/>
      <c r="V14" s="23"/>
      <c r="W14" s="72"/>
      <c r="X14" s="23"/>
      <c r="Y14" s="40"/>
      <c r="Z14" s="23"/>
      <c r="AA14" s="72"/>
      <c r="AB14" s="23"/>
      <c r="AC14" s="40"/>
      <c r="AD14" s="23"/>
      <c r="AE14" s="23"/>
    </row>
    <row r="15" spans="1:31" ht="36">
      <c r="A15" s="23"/>
      <c r="B15" s="215">
        <f>SUBTOTAL(103,$C$11:C15)</f>
        <v>5</v>
      </c>
      <c r="C15" s="197">
        <f>测试大纲!$A$24</f>
        <v>5</v>
      </c>
      <c r="D15" s="216" t="s">
        <v>159</v>
      </c>
      <c r="E15" s="215" t="s">
        <v>733</v>
      </c>
      <c r="F15" s="215"/>
      <c r="G15" s="218" t="str">
        <f>报备管理!$D$9 &amp; "-"&amp;测试大纲!I$25&amp;"-"&amp;TEXT(SUBTOTAL(103,$C$15:C15),"000")</f>
        <v>Web-ZNXJ-001</v>
      </c>
      <c r="H15" s="219" t="s">
        <v>337</v>
      </c>
      <c r="I15" s="219" t="s">
        <v>62</v>
      </c>
      <c r="J15" s="220" t="s">
        <v>707</v>
      </c>
      <c r="K15" s="215" t="s">
        <v>709</v>
      </c>
      <c r="L15" s="215" t="s">
        <v>710</v>
      </c>
      <c r="M15" s="215" t="s">
        <v>708</v>
      </c>
      <c r="N15" s="235" t="s">
        <v>711</v>
      </c>
      <c r="O15" s="40"/>
      <c r="P15" s="23"/>
      <c r="Q15" s="23"/>
      <c r="R15" s="72"/>
      <c r="S15" s="72"/>
      <c r="T15" s="23"/>
      <c r="U15" s="40"/>
      <c r="V15" s="23"/>
      <c r="W15" s="72"/>
      <c r="X15" s="23"/>
      <c r="Y15" s="40"/>
      <c r="Z15" s="23"/>
      <c r="AA15" s="72"/>
      <c r="AB15" s="23"/>
      <c r="AC15" s="40"/>
      <c r="AD15" s="23"/>
      <c r="AE15" s="23"/>
    </row>
    <row r="16" spans="1:31" ht="36">
      <c r="A16" s="23"/>
      <c r="B16" s="215">
        <f>SUBTOTAL(103,$C$11:C16)</f>
        <v>6</v>
      </c>
      <c r="C16" s="197">
        <f>测试大纲!$A$24</f>
        <v>5</v>
      </c>
      <c r="D16" s="216" t="s">
        <v>159</v>
      </c>
      <c r="E16" s="215" t="s">
        <v>733</v>
      </c>
      <c r="F16" s="215"/>
      <c r="G16" s="218" t="str">
        <f>报备管理!$D$9 &amp; "-"&amp;测试大纲!I$25&amp;"-"&amp;TEXT(SUBTOTAL(103,$C$15:C16),"000")</f>
        <v>Web-ZNXJ-002</v>
      </c>
      <c r="H16" s="219" t="s">
        <v>337</v>
      </c>
      <c r="I16" s="219" t="s">
        <v>62</v>
      </c>
      <c r="J16" s="220" t="s">
        <v>712</v>
      </c>
      <c r="K16" s="215" t="s">
        <v>732</v>
      </c>
      <c r="L16" s="215" t="s">
        <v>713</v>
      </c>
      <c r="M16" s="229"/>
      <c r="N16" s="221" t="s">
        <v>714</v>
      </c>
      <c r="O16" s="40"/>
      <c r="P16" s="23"/>
      <c r="Q16" s="23"/>
      <c r="R16" s="72"/>
      <c r="S16" s="72"/>
      <c r="T16" s="23"/>
      <c r="U16" s="40"/>
      <c r="V16" s="23"/>
      <c r="W16" s="72"/>
      <c r="X16" s="23"/>
      <c r="Y16" s="40"/>
      <c r="Z16" s="23"/>
      <c r="AA16" s="72"/>
      <c r="AB16" s="23"/>
      <c r="AC16" s="40"/>
      <c r="AD16" s="23"/>
      <c r="AE16" s="23"/>
    </row>
    <row r="17" spans="1:31" ht="48">
      <c r="A17" s="23"/>
      <c r="B17" s="215">
        <f>SUBTOTAL(103,$C$11:C17)</f>
        <v>7</v>
      </c>
      <c r="C17" s="197">
        <f>测试大纲!$A$24</f>
        <v>5</v>
      </c>
      <c r="D17" s="216" t="s">
        <v>159</v>
      </c>
      <c r="E17" s="215" t="s">
        <v>733</v>
      </c>
      <c r="F17" s="215"/>
      <c r="G17" s="218" t="str">
        <f>报备管理!$D$9 &amp; "-"&amp;测试大纲!I$25&amp;"-"&amp;TEXT(SUBTOTAL(103,$C$15:C17),"000")</f>
        <v>Web-ZNXJ-003</v>
      </c>
      <c r="H17" s="219" t="s">
        <v>337</v>
      </c>
      <c r="I17" s="219" t="s">
        <v>62</v>
      </c>
      <c r="J17" s="220" t="s">
        <v>875</v>
      </c>
      <c r="K17" s="215" t="s">
        <v>874</v>
      </c>
      <c r="L17" s="215"/>
      <c r="M17" s="229"/>
      <c r="N17" s="221" t="s">
        <v>877</v>
      </c>
      <c r="O17" s="40"/>
      <c r="P17" s="23"/>
      <c r="Q17" s="23"/>
      <c r="R17" s="72"/>
      <c r="S17" s="72"/>
      <c r="T17" s="23"/>
      <c r="U17" s="40"/>
      <c r="V17" s="23"/>
      <c r="W17" s="72"/>
      <c r="X17" s="23"/>
      <c r="Y17" s="40"/>
      <c r="Z17" s="23"/>
      <c r="AA17" s="72"/>
      <c r="AB17" s="23"/>
      <c r="AC17" s="40"/>
      <c r="AD17" s="23"/>
      <c r="AE17" s="23"/>
    </row>
    <row r="18" spans="1:31" ht="48">
      <c r="A18" s="23"/>
      <c r="B18" s="215">
        <f>SUBTOTAL(103,$C$11:C18)</f>
        <v>8</v>
      </c>
      <c r="C18" s="197">
        <f>测试大纲!$A$24</f>
        <v>5</v>
      </c>
      <c r="D18" s="216" t="s">
        <v>159</v>
      </c>
      <c r="E18" s="215" t="s">
        <v>733</v>
      </c>
      <c r="F18" s="215"/>
      <c r="G18" s="218" t="str">
        <f>报备管理!$D$9 &amp; "-"&amp;测试大纲!I$25&amp;"-"&amp;TEXT(SUBTOTAL(103,$C$15:C18),"000")</f>
        <v>Web-ZNXJ-004</v>
      </c>
      <c r="H18" s="219" t="s">
        <v>337</v>
      </c>
      <c r="I18" s="219" t="s">
        <v>62</v>
      </c>
      <c r="J18" s="220" t="s">
        <v>876</v>
      </c>
      <c r="K18" s="215" t="s">
        <v>880</v>
      </c>
      <c r="L18" s="215" t="s">
        <v>879</v>
      </c>
      <c r="M18" s="229"/>
      <c r="N18" s="221" t="s">
        <v>878</v>
      </c>
      <c r="O18" s="40"/>
      <c r="P18" s="23"/>
      <c r="Q18" s="23"/>
      <c r="R18" s="72"/>
      <c r="S18" s="72"/>
      <c r="T18" s="23"/>
      <c r="U18" s="40"/>
      <c r="V18" s="23"/>
      <c r="W18" s="72"/>
      <c r="X18" s="23"/>
      <c r="Y18" s="40"/>
      <c r="Z18" s="23"/>
      <c r="AA18" s="72"/>
      <c r="AB18" s="23"/>
      <c r="AC18" s="40"/>
      <c r="AD18" s="23"/>
      <c r="AE18" s="23"/>
    </row>
    <row r="19" spans="1:31">
      <c r="A19" s="23"/>
      <c r="B19" s="166"/>
      <c r="C19" s="70"/>
      <c r="D19" s="170"/>
      <c r="E19" s="178"/>
      <c r="F19" s="167"/>
      <c r="G19" s="176"/>
      <c r="H19" s="67"/>
      <c r="I19" s="67"/>
      <c r="J19" s="177"/>
      <c r="K19" s="176"/>
      <c r="L19" s="176"/>
      <c r="M19" s="176"/>
      <c r="N19" s="177"/>
      <c r="O19" s="40"/>
      <c r="P19" s="23"/>
      <c r="Q19" s="23"/>
      <c r="R19" s="72"/>
      <c r="S19" s="72"/>
      <c r="T19" s="23"/>
      <c r="U19" s="40"/>
      <c r="V19" s="23"/>
      <c r="W19" s="72"/>
      <c r="X19" s="23"/>
      <c r="Y19" s="40"/>
      <c r="Z19" s="23"/>
      <c r="AA19" s="72"/>
      <c r="AB19" s="23"/>
      <c r="AC19" s="40"/>
      <c r="AD19" s="23"/>
      <c r="AE19" s="23"/>
    </row>
    <row r="20" spans="1:31">
      <c r="A20" s="23"/>
      <c r="B20" s="166"/>
      <c r="C20" s="70"/>
      <c r="D20" s="170"/>
      <c r="E20" s="178"/>
      <c r="F20" s="167"/>
      <c r="G20" s="176"/>
      <c r="H20" s="67"/>
      <c r="I20" s="71"/>
      <c r="J20" s="177"/>
      <c r="K20" s="176"/>
      <c r="L20" s="173"/>
      <c r="M20" s="173"/>
      <c r="N20" s="177"/>
      <c r="O20" s="40"/>
      <c r="P20" s="23"/>
      <c r="Q20" s="23"/>
      <c r="R20" s="72"/>
      <c r="S20" s="72"/>
      <c r="T20" s="23"/>
      <c r="U20" s="40"/>
      <c r="V20" s="23"/>
      <c r="W20" s="72"/>
      <c r="X20" s="23"/>
      <c r="Y20" s="40"/>
      <c r="Z20" s="23"/>
      <c r="AA20" s="72"/>
      <c r="AB20" s="23"/>
      <c r="AC20" s="40"/>
      <c r="AD20" s="23"/>
      <c r="AE20" s="23"/>
    </row>
    <row r="21" spans="1:31">
      <c r="A21" s="23"/>
      <c r="B21" s="166"/>
      <c r="C21" s="70"/>
      <c r="D21" s="170"/>
      <c r="E21" s="178"/>
      <c r="F21" s="167"/>
      <c r="G21" s="176"/>
      <c r="H21" s="67"/>
      <c r="I21" s="71"/>
      <c r="J21" s="177"/>
      <c r="K21" s="176"/>
      <c r="L21" s="174"/>
      <c r="M21" s="174"/>
      <c r="N21" s="174"/>
      <c r="O21" s="40"/>
      <c r="P21" s="23"/>
      <c r="Q21" s="23"/>
      <c r="R21" s="72"/>
      <c r="S21" s="72"/>
      <c r="T21" s="23"/>
      <c r="U21" s="40"/>
      <c r="V21" s="23"/>
      <c r="W21" s="72"/>
      <c r="X21" s="23"/>
      <c r="Y21" s="40"/>
      <c r="Z21" s="23"/>
      <c r="AA21" s="72"/>
      <c r="AB21" s="23"/>
      <c r="AC21" s="40"/>
      <c r="AD21" s="23"/>
      <c r="AE21" s="23"/>
    </row>
    <row r="22" spans="1:31">
      <c r="A22" s="23"/>
      <c r="B22" s="166"/>
      <c r="C22" s="70"/>
      <c r="D22" s="170"/>
      <c r="E22" s="178"/>
      <c r="F22" s="167"/>
      <c r="G22" s="176"/>
      <c r="H22" s="67"/>
      <c r="I22" s="71"/>
      <c r="J22" s="177"/>
      <c r="K22" s="176"/>
      <c r="L22" s="174"/>
      <c r="M22" s="174"/>
      <c r="N22" s="174"/>
      <c r="O22" s="40"/>
      <c r="P22" s="23"/>
      <c r="Q22" s="23"/>
      <c r="R22" s="72"/>
      <c r="S22" s="72"/>
      <c r="T22" s="23"/>
      <c r="U22" s="40"/>
      <c r="V22" s="23"/>
      <c r="W22" s="72"/>
      <c r="X22" s="23"/>
      <c r="Y22" s="40"/>
      <c r="Z22" s="23"/>
      <c r="AA22" s="72"/>
      <c r="AB22" s="23"/>
      <c r="AC22" s="40"/>
      <c r="AD22" s="23"/>
      <c r="AE22" s="23"/>
    </row>
    <row r="23" spans="1:31">
      <c r="A23" s="23"/>
      <c r="B23" s="166"/>
      <c r="C23" s="70"/>
      <c r="D23" s="170"/>
      <c r="E23" s="178"/>
      <c r="F23" s="167"/>
      <c r="G23" s="176"/>
      <c r="H23" s="67"/>
      <c r="I23" s="71"/>
      <c r="J23" s="177"/>
      <c r="K23" s="183"/>
      <c r="L23" s="183"/>
      <c r="M23" s="174"/>
      <c r="N23" s="183"/>
      <c r="O23" s="40"/>
      <c r="P23" s="23"/>
      <c r="Q23" s="23"/>
      <c r="R23" s="72"/>
      <c r="S23" s="72"/>
      <c r="T23" s="23"/>
      <c r="U23" s="40"/>
      <c r="V23" s="23"/>
      <c r="W23" s="72"/>
      <c r="X23" s="23"/>
      <c r="Y23" s="40"/>
      <c r="Z23" s="23"/>
      <c r="AA23" s="72"/>
      <c r="AB23" s="23"/>
      <c r="AC23" s="40"/>
      <c r="AD23" s="23"/>
      <c r="AE23" s="23"/>
    </row>
    <row r="24" spans="1:31">
      <c r="A24" s="23"/>
      <c r="B24" s="166"/>
      <c r="C24" s="70"/>
      <c r="D24" s="187"/>
      <c r="E24" s="178"/>
      <c r="F24" s="167"/>
      <c r="G24" s="176"/>
      <c r="H24" s="67"/>
      <c r="I24" s="67"/>
      <c r="J24" s="177"/>
      <c r="K24" s="176"/>
      <c r="L24" s="176"/>
      <c r="M24" s="70"/>
      <c r="N24" s="189"/>
      <c r="O24" s="40"/>
      <c r="P24" s="23"/>
      <c r="Q24" s="23"/>
      <c r="R24" s="72"/>
      <c r="S24" s="72"/>
      <c r="T24" s="23"/>
      <c r="U24" s="40"/>
      <c r="V24" s="23"/>
      <c r="W24" s="72"/>
      <c r="X24" s="23"/>
      <c r="Y24" s="40"/>
      <c r="Z24" s="23"/>
      <c r="AA24" s="72"/>
      <c r="AB24" s="23"/>
      <c r="AC24" s="40"/>
      <c r="AD24" s="23"/>
      <c r="AE24" s="23"/>
    </row>
    <row r="25" spans="1:31">
      <c r="A25" s="23"/>
      <c r="B25" s="166"/>
      <c r="C25" s="70"/>
      <c r="D25" s="170"/>
      <c r="E25" s="178"/>
      <c r="F25" s="167"/>
      <c r="G25" s="176"/>
      <c r="H25" s="67"/>
      <c r="I25" s="67"/>
      <c r="J25" s="177"/>
      <c r="K25" s="176"/>
      <c r="L25" s="176"/>
      <c r="M25" s="70"/>
      <c r="N25" s="189"/>
      <c r="O25" s="40"/>
      <c r="P25" s="23"/>
      <c r="Q25" s="23"/>
      <c r="R25" s="72"/>
      <c r="S25" s="72"/>
      <c r="T25" s="23"/>
      <c r="U25" s="40"/>
      <c r="V25" s="23"/>
      <c r="W25" s="72"/>
      <c r="X25" s="23"/>
      <c r="Y25" s="40"/>
      <c r="Z25" s="23"/>
      <c r="AA25" s="72"/>
      <c r="AB25" s="23"/>
      <c r="AC25" s="40"/>
      <c r="AD25" s="23"/>
      <c r="AE25" s="23"/>
    </row>
    <row r="26" spans="1:31">
      <c r="A26" s="23"/>
      <c r="B26" s="166"/>
      <c r="C26" s="70"/>
      <c r="D26" s="170"/>
      <c r="E26" s="178"/>
      <c r="F26" s="167"/>
      <c r="G26" s="176"/>
      <c r="H26" s="67"/>
      <c r="I26" s="67"/>
      <c r="J26" s="177"/>
      <c r="K26" s="176"/>
      <c r="L26" s="176"/>
      <c r="M26" s="70"/>
      <c r="N26" s="189"/>
      <c r="O26" s="40"/>
      <c r="P26" s="23"/>
      <c r="Q26" s="23"/>
      <c r="R26" s="72"/>
      <c r="S26" s="72"/>
      <c r="T26" s="23"/>
      <c r="U26" s="40"/>
      <c r="V26" s="23"/>
      <c r="W26" s="72"/>
      <c r="X26" s="23"/>
      <c r="Y26" s="40"/>
      <c r="Z26" s="23"/>
      <c r="AA26" s="72"/>
      <c r="AB26" s="23"/>
      <c r="AC26" s="40"/>
      <c r="AD26" s="23"/>
      <c r="AE26" s="23"/>
    </row>
    <row r="27" spans="1:31">
      <c r="A27" s="23"/>
      <c r="B27" s="166"/>
      <c r="C27" s="70"/>
      <c r="D27" s="170"/>
      <c r="E27" s="178"/>
      <c r="F27" s="167"/>
      <c r="G27" s="176"/>
      <c r="H27" s="67"/>
      <c r="I27" s="67"/>
      <c r="J27" s="177"/>
      <c r="K27" s="176"/>
      <c r="L27" s="172"/>
      <c r="M27" s="171"/>
      <c r="N27" s="177"/>
      <c r="O27" s="40"/>
      <c r="P27" s="23"/>
      <c r="Q27" s="23"/>
      <c r="R27" s="72"/>
      <c r="S27" s="72"/>
      <c r="T27" s="23"/>
      <c r="U27" s="40"/>
      <c r="V27" s="23"/>
      <c r="W27" s="72"/>
      <c r="X27" s="23"/>
      <c r="Y27" s="40"/>
      <c r="Z27" s="23"/>
      <c r="AA27" s="72"/>
      <c r="AB27" s="23"/>
      <c r="AC27" s="40"/>
      <c r="AD27" s="23"/>
      <c r="AE27" s="23"/>
    </row>
    <row r="28" spans="1:31">
      <c r="A28" s="23"/>
      <c r="B28" s="166"/>
      <c r="C28" s="70"/>
      <c r="D28" s="170"/>
      <c r="E28" s="178"/>
      <c r="F28" s="167"/>
      <c r="G28" s="176"/>
      <c r="H28" s="67"/>
      <c r="I28" s="67"/>
      <c r="J28" s="177"/>
      <c r="K28" s="176"/>
      <c r="L28" s="172"/>
      <c r="M28" s="172"/>
      <c r="N28" s="177"/>
      <c r="O28" s="40"/>
      <c r="P28" s="23"/>
      <c r="Q28" s="23"/>
      <c r="R28" s="72"/>
      <c r="S28" s="72"/>
      <c r="T28" s="23"/>
      <c r="U28" s="40"/>
      <c r="V28" s="23"/>
      <c r="W28" s="72"/>
      <c r="X28" s="23"/>
      <c r="Y28" s="40"/>
      <c r="Z28" s="23"/>
      <c r="AA28" s="72"/>
      <c r="AB28" s="23"/>
      <c r="AC28" s="40"/>
      <c r="AD28" s="23"/>
      <c r="AE28" s="23"/>
    </row>
    <row r="29" spans="1:31">
      <c r="A29" s="23"/>
      <c r="B29" s="166"/>
      <c r="C29" s="70"/>
      <c r="D29" s="170"/>
      <c r="E29" s="178"/>
      <c r="F29" s="167"/>
      <c r="G29" s="176"/>
      <c r="H29" s="67"/>
      <c r="I29" s="67"/>
      <c r="J29" s="177"/>
      <c r="K29" s="176"/>
      <c r="L29" s="172"/>
      <c r="M29" s="172"/>
      <c r="N29" s="177"/>
      <c r="O29" s="40"/>
      <c r="P29" s="23"/>
      <c r="Q29" s="23"/>
      <c r="R29" s="72"/>
      <c r="S29" s="72"/>
      <c r="T29" s="23"/>
      <c r="U29" s="40"/>
      <c r="V29" s="23"/>
      <c r="W29" s="72"/>
      <c r="X29" s="23"/>
      <c r="Y29" s="40"/>
      <c r="Z29" s="23"/>
      <c r="AA29" s="72"/>
      <c r="AB29" s="23"/>
      <c r="AC29" s="40"/>
      <c r="AD29" s="23"/>
      <c r="AE29" s="23"/>
    </row>
    <row r="30" spans="1:31">
      <c r="A30" s="23"/>
      <c r="B30" s="166"/>
      <c r="C30" s="70"/>
      <c r="D30" s="170"/>
      <c r="E30" s="178"/>
      <c r="F30" s="167"/>
      <c r="G30" s="176"/>
      <c r="H30" s="67"/>
      <c r="I30" s="67"/>
      <c r="J30" s="177"/>
      <c r="K30" s="176"/>
      <c r="L30" s="172"/>
      <c r="M30" s="172"/>
      <c r="N30" s="177"/>
      <c r="O30" s="40"/>
      <c r="P30" s="23"/>
      <c r="Q30" s="23"/>
      <c r="R30" s="72"/>
      <c r="S30" s="72"/>
      <c r="T30" s="23"/>
      <c r="U30" s="40"/>
      <c r="V30" s="23"/>
      <c r="W30" s="72"/>
      <c r="X30" s="23"/>
      <c r="Y30" s="40"/>
      <c r="Z30" s="23"/>
      <c r="AA30" s="72"/>
      <c r="AB30" s="23"/>
      <c r="AC30" s="40"/>
      <c r="AD30" s="23"/>
      <c r="AE30" s="23"/>
    </row>
    <row r="31" spans="1:31">
      <c r="A31" s="23"/>
      <c r="B31" s="166"/>
      <c r="C31" s="70"/>
      <c r="D31" s="170"/>
      <c r="E31" s="178"/>
      <c r="F31" s="167"/>
      <c r="G31" s="176"/>
      <c r="H31" s="67"/>
      <c r="I31" s="67"/>
      <c r="J31" s="177"/>
      <c r="K31" s="176"/>
      <c r="L31" s="172"/>
      <c r="M31" s="174"/>
      <c r="N31" s="177"/>
      <c r="O31" s="40"/>
      <c r="P31" s="23"/>
      <c r="Q31" s="23"/>
      <c r="R31" s="72"/>
      <c r="S31" s="72"/>
      <c r="T31" s="23"/>
      <c r="U31" s="40"/>
      <c r="V31" s="23"/>
      <c r="W31" s="72"/>
      <c r="X31" s="23"/>
      <c r="Y31" s="40"/>
      <c r="Z31" s="23"/>
      <c r="AA31" s="72"/>
      <c r="AB31" s="23"/>
      <c r="AC31" s="40"/>
      <c r="AD31" s="23"/>
      <c r="AE31" s="23"/>
    </row>
    <row r="32" spans="1:31">
      <c r="A32" s="23"/>
      <c r="B32" s="166"/>
      <c r="C32" s="70"/>
      <c r="D32" s="170"/>
      <c r="E32" s="178"/>
      <c r="F32" s="167"/>
      <c r="G32" s="176"/>
      <c r="H32" s="67"/>
      <c r="I32" s="67"/>
      <c r="J32" s="177"/>
      <c r="K32" s="176"/>
      <c r="L32" s="176"/>
      <c r="M32" s="176"/>
      <c r="N32" s="177"/>
      <c r="O32" s="40"/>
      <c r="P32" s="23"/>
      <c r="Q32" s="23"/>
      <c r="R32" s="72"/>
      <c r="S32" s="72"/>
      <c r="T32" s="23"/>
      <c r="U32" s="40"/>
      <c r="V32" s="23"/>
      <c r="W32" s="72"/>
      <c r="X32" s="23"/>
      <c r="Y32" s="40"/>
      <c r="Z32" s="23"/>
      <c r="AA32" s="72"/>
      <c r="AB32" s="23"/>
      <c r="AC32" s="40"/>
      <c r="AD32" s="23"/>
      <c r="AE32" s="23"/>
    </row>
    <row r="33" spans="1:31">
      <c r="A33" s="23"/>
      <c r="B33" s="166"/>
      <c r="C33" s="70"/>
      <c r="D33" s="170"/>
      <c r="E33" s="178"/>
      <c r="F33" s="167"/>
      <c r="G33" s="176"/>
      <c r="H33" s="67"/>
      <c r="I33" s="67"/>
      <c r="J33" s="177"/>
      <c r="K33" s="176"/>
      <c r="L33" s="172"/>
      <c r="M33" s="176"/>
      <c r="N33" s="177"/>
      <c r="O33" s="40"/>
      <c r="P33" s="23"/>
      <c r="Q33" s="23"/>
      <c r="R33" s="72"/>
      <c r="S33" s="72"/>
      <c r="T33" s="23"/>
      <c r="U33" s="40"/>
      <c r="V33" s="23"/>
      <c r="W33" s="72"/>
      <c r="X33" s="23"/>
      <c r="Y33" s="40"/>
      <c r="Z33" s="23"/>
      <c r="AA33" s="72"/>
      <c r="AB33" s="23"/>
      <c r="AC33" s="40"/>
      <c r="AD33" s="23"/>
      <c r="AE33" s="23"/>
    </row>
    <row r="34" spans="1:31">
      <c r="A34" s="23"/>
      <c r="B34" s="166"/>
      <c r="C34" s="70"/>
      <c r="D34" s="170"/>
      <c r="E34" s="178"/>
      <c r="F34" s="167"/>
      <c r="G34" s="176"/>
      <c r="H34" s="67"/>
      <c r="I34" s="67"/>
      <c r="J34" s="177"/>
      <c r="K34" s="176"/>
      <c r="L34" s="176"/>
      <c r="M34" s="176"/>
      <c r="N34" s="177"/>
      <c r="O34" s="40"/>
      <c r="P34" s="23"/>
      <c r="Q34" s="23"/>
      <c r="R34" s="72"/>
      <c r="S34" s="72"/>
      <c r="T34" s="23"/>
      <c r="U34" s="40"/>
      <c r="V34" s="23"/>
      <c r="W34" s="72"/>
      <c r="X34" s="23"/>
      <c r="Y34" s="40"/>
      <c r="Z34" s="23"/>
      <c r="AA34" s="72"/>
      <c r="AB34" s="23"/>
      <c r="AC34" s="40"/>
      <c r="AD34" s="23"/>
      <c r="AE34" s="23"/>
    </row>
    <row r="35" spans="1:31">
      <c r="A35" s="23"/>
      <c r="B35" s="166"/>
      <c r="C35" s="70"/>
      <c r="D35" s="170"/>
      <c r="E35" s="178"/>
      <c r="F35" s="167"/>
      <c r="G35" s="176"/>
      <c r="H35" s="67"/>
      <c r="I35" s="67"/>
      <c r="J35" s="177"/>
      <c r="K35" s="176"/>
      <c r="L35" s="176"/>
      <c r="M35" s="176"/>
      <c r="N35" s="177"/>
      <c r="O35" s="40"/>
      <c r="P35" s="23"/>
      <c r="Q35" s="23"/>
      <c r="R35" s="72"/>
      <c r="S35" s="72"/>
      <c r="T35" s="23"/>
      <c r="U35" s="40"/>
      <c r="V35" s="23"/>
      <c r="W35" s="72"/>
      <c r="X35" s="23"/>
      <c r="Y35" s="40"/>
      <c r="Z35" s="23"/>
      <c r="AA35" s="72"/>
      <c r="AB35" s="23"/>
      <c r="AC35" s="40"/>
      <c r="AD35" s="23"/>
      <c r="AE35" s="23"/>
    </row>
    <row r="36" spans="1:31">
      <c r="A36" s="23"/>
      <c r="B36" s="166"/>
      <c r="C36" s="70"/>
      <c r="D36" s="170"/>
      <c r="E36" s="178"/>
      <c r="F36" s="167"/>
      <c r="G36" s="176"/>
      <c r="H36" s="67"/>
      <c r="I36" s="67"/>
      <c r="J36" s="177"/>
      <c r="K36" s="176"/>
      <c r="L36" s="176"/>
      <c r="M36" s="176"/>
      <c r="N36" s="177"/>
      <c r="O36" s="40"/>
      <c r="P36" s="23"/>
      <c r="Q36" s="23"/>
      <c r="R36" s="72"/>
      <c r="S36" s="72"/>
      <c r="T36" s="23"/>
      <c r="U36" s="40"/>
      <c r="V36" s="23"/>
      <c r="W36" s="72"/>
      <c r="X36" s="23"/>
      <c r="Y36" s="40"/>
      <c r="Z36" s="23"/>
      <c r="AA36" s="72"/>
      <c r="AB36" s="23"/>
      <c r="AC36" s="40"/>
      <c r="AD36" s="23"/>
      <c r="AE36" s="23"/>
    </row>
    <row r="37" spans="1:31">
      <c r="A37" s="23"/>
      <c r="B37" s="166"/>
      <c r="C37" s="70"/>
      <c r="D37" s="170"/>
      <c r="E37" s="178"/>
      <c r="F37" s="167"/>
      <c r="G37" s="176"/>
      <c r="H37" s="67"/>
      <c r="I37" s="67"/>
      <c r="J37" s="177"/>
      <c r="K37" s="176"/>
      <c r="L37" s="176"/>
      <c r="M37" s="176"/>
      <c r="N37" s="177"/>
      <c r="O37" s="40"/>
      <c r="P37" s="23"/>
      <c r="Q37" s="23"/>
      <c r="R37" s="72"/>
      <c r="S37" s="72"/>
      <c r="T37" s="23"/>
      <c r="U37" s="40"/>
      <c r="V37" s="23"/>
      <c r="W37" s="72"/>
      <c r="X37" s="23"/>
      <c r="Y37" s="40"/>
      <c r="Z37" s="23"/>
      <c r="AA37" s="72"/>
      <c r="AB37" s="23"/>
      <c r="AC37" s="40"/>
      <c r="AD37" s="23"/>
      <c r="AE37" s="23"/>
    </row>
    <row r="38" spans="1:31">
      <c r="A38" s="23"/>
      <c r="B38" s="166"/>
      <c r="C38" s="70"/>
      <c r="D38" s="170"/>
      <c r="E38" s="178"/>
      <c r="F38" s="167"/>
      <c r="G38" s="176"/>
      <c r="H38" s="67"/>
      <c r="I38" s="67"/>
      <c r="J38" s="177"/>
      <c r="K38" s="176"/>
      <c r="L38" s="176"/>
      <c r="M38" s="176"/>
      <c r="N38" s="189"/>
      <c r="O38" s="40"/>
      <c r="P38" s="23"/>
      <c r="Q38" s="23"/>
      <c r="R38" s="72"/>
      <c r="S38" s="72"/>
      <c r="T38" s="23"/>
      <c r="U38" s="40"/>
      <c r="V38" s="23"/>
      <c r="W38" s="72"/>
      <c r="X38" s="23"/>
      <c r="Y38" s="40"/>
      <c r="Z38" s="23"/>
      <c r="AA38" s="72"/>
      <c r="AB38" s="23"/>
      <c r="AC38" s="40"/>
      <c r="AD38" s="23"/>
      <c r="AE38" s="23"/>
    </row>
    <row r="39" spans="1:31">
      <c r="A39" s="23"/>
      <c r="B39" s="166"/>
      <c r="C39" s="70"/>
      <c r="D39" s="170"/>
      <c r="E39" s="178"/>
      <c r="F39" s="167"/>
      <c r="G39" s="176"/>
      <c r="H39" s="67"/>
      <c r="I39" s="67"/>
      <c r="J39" s="177"/>
      <c r="K39" s="176"/>
      <c r="L39" s="176"/>
      <c r="M39" s="176"/>
      <c r="N39" s="177"/>
      <c r="O39" s="40"/>
      <c r="P39" s="23"/>
      <c r="Q39" s="23"/>
      <c r="R39" s="72"/>
      <c r="S39" s="72"/>
      <c r="T39" s="23"/>
      <c r="U39" s="40"/>
      <c r="V39" s="23"/>
      <c r="W39" s="72"/>
      <c r="X39" s="23"/>
      <c r="Y39" s="40"/>
      <c r="Z39" s="23"/>
      <c r="AA39" s="72"/>
      <c r="AB39" s="23"/>
      <c r="AC39" s="40"/>
      <c r="AD39" s="23"/>
      <c r="AE39" s="23"/>
    </row>
    <row r="40" spans="1:31">
      <c r="A40" s="23"/>
      <c r="B40" s="166"/>
      <c r="C40" s="70"/>
      <c r="D40" s="170"/>
      <c r="E40" s="178"/>
      <c r="F40" s="167"/>
      <c r="G40" s="176"/>
      <c r="H40" s="67"/>
      <c r="I40" s="67"/>
      <c r="J40" s="177"/>
      <c r="K40" s="176"/>
      <c r="L40" s="176"/>
      <c r="M40" s="176"/>
      <c r="N40" s="177"/>
      <c r="O40" s="40"/>
      <c r="P40" s="23"/>
      <c r="Q40" s="23"/>
      <c r="R40" s="72"/>
      <c r="S40" s="72"/>
      <c r="T40" s="23"/>
      <c r="U40" s="40"/>
      <c r="V40" s="23"/>
      <c r="W40" s="72"/>
      <c r="X40" s="23"/>
      <c r="Y40" s="40"/>
      <c r="Z40" s="23"/>
      <c r="AA40" s="72"/>
      <c r="AB40" s="23"/>
      <c r="AC40" s="40"/>
      <c r="AD40" s="23"/>
      <c r="AE40" s="23"/>
    </row>
    <row r="41" spans="1:31">
      <c r="A41" s="23"/>
      <c r="B41" s="166"/>
      <c r="C41" s="70"/>
      <c r="D41" s="170"/>
      <c r="E41" s="178"/>
      <c r="F41" s="167"/>
      <c r="G41" s="176"/>
      <c r="H41" s="67"/>
      <c r="I41" s="67"/>
      <c r="J41" s="177"/>
      <c r="K41" s="176"/>
      <c r="L41" s="176"/>
      <c r="M41" s="176"/>
      <c r="N41" s="177"/>
      <c r="O41" s="40"/>
      <c r="P41" s="23"/>
      <c r="Q41" s="23"/>
      <c r="R41" s="72"/>
      <c r="S41" s="72"/>
      <c r="T41" s="23"/>
      <c r="U41" s="40"/>
      <c r="V41" s="23"/>
      <c r="W41" s="72"/>
      <c r="X41" s="23"/>
      <c r="Y41" s="40"/>
      <c r="Z41" s="23"/>
      <c r="AA41" s="72"/>
      <c r="AB41" s="23"/>
      <c r="AC41" s="40"/>
      <c r="AD41" s="23"/>
      <c r="AE41" s="23"/>
    </row>
    <row r="42" spans="1:31">
      <c r="A42" s="23"/>
      <c r="B42" s="166"/>
      <c r="C42" s="70"/>
      <c r="D42" s="170"/>
      <c r="E42" s="178"/>
      <c r="F42" s="167"/>
      <c r="G42" s="176"/>
      <c r="H42" s="67"/>
      <c r="I42" s="67"/>
      <c r="J42" s="177"/>
      <c r="K42" s="176"/>
      <c r="L42" s="176"/>
      <c r="M42" s="173"/>
      <c r="N42" s="177"/>
      <c r="O42" s="40"/>
      <c r="P42" s="23"/>
      <c r="Q42" s="23"/>
      <c r="R42" s="72"/>
      <c r="S42" s="72"/>
      <c r="T42" s="23"/>
      <c r="U42" s="40"/>
      <c r="V42" s="23"/>
      <c r="W42" s="72"/>
      <c r="X42" s="23"/>
      <c r="Y42" s="40"/>
      <c r="Z42" s="23"/>
      <c r="AA42" s="72"/>
      <c r="AB42" s="23"/>
      <c r="AC42" s="40"/>
      <c r="AD42" s="23"/>
      <c r="AE42" s="23"/>
    </row>
    <row r="43" spans="1:31">
      <c r="A43" s="23"/>
      <c r="B43" s="166"/>
      <c r="C43" s="70"/>
      <c r="D43" s="170"/>
      <c r="E43" s="178"/>
      <c r="F43" s="167"/>
      <c r="G43" s="176"/>
      <c r="H43" s="67"/>
      <c r="I43" s="67"/>
      <c r="J43" s="177"/>
      <c r="K43" s="176"/>
      <c r="L43" s="176"/>
      <c r="M43" s="176"/>
      <c r="N43" s="177"/>
      <c r="O43" s="40"/>
      <c r="P43" s="23"/>
      <c r="Q43" s="23"/>
      <c r="R43" s="72"/>
      <c r="S43" s="72"/>
      <c r="T43" s="23"/>
      <c r="U43" s="40"/>
      <c r="V43" s="23"/>
      <c r="W43" s="72"/>
      <c r="X43" s="23"/>
      <c r="Y43" s="40"/>
      <c r="Z43" s="23"/>
      <c r="AA43" s="72"/>
      <c r="AB43" s="23"/>
      <c r="AC43" s="40"/>
      <c r="AD43" s="23"/>
      <c r="AE43" s="23"/>
    </row>
    <row r="44" spans="1:31">
      <c r="A44" s="23"/>
      <c r="B44" s="166"/>
      <c r="C44" s="70"/>
      <c r="D44" s="170"/>
      <c r="E44" s="178"/>
      <c r="F44" s="167"/>
      <c r="G44" s="176"/>
      <c r="H44" s="67"/>
      <c r="I44" s="71"/>
      <c r="J44" s="177"/>
      <c r="K44" s="176"/>
      <c r="L44" s="173"/>
      <c r="M44" s="173"/>
      <c r="N44" s="177"/>
      <c r="O44" s="40"/>
      <c r="P44" s="23"/>
      <c r="Q44" s="23"/>
      <c r="R44" s="72"/>
      <c r="S44" s="72"/>
      <c r="T44" s="23"/>
      <c r="U44" s="40"/>
      <c r="V44" s="23"/>
      <c r="W44" s="72"/>
      <c r="X44" s="23"/>
      <c r="Y44" s="40"/>
      <c r="Z44" s="23"/>
      <c r="AA44" s="72"/>
      <c r="AB44" s="23"/>
      <c r="AC44" s="40"/>
      <c r="AD44" s="23"/>
      <c r="AE44" s="23"/>
    </row>
    <row r="45" spans="1:31">
      <c r="A45" s="23"/>
      <c r="B45" s="166"/>
      <c r="C45" s="70"/>
      <c r="D45" s="170"/>
      <c r="E45" s="178"/>
      <c r="F45" s="167"/>
      <c r="G45" s="176"/>
      <c r="H45" s="67"/>
      <c r="I45" s="71"/>
      <c r="J45" s="177"/>
      <c r="K45" s="176"/>
      <c r="L45" s="174"/>
      <c r="M45" s="174"/>
      <c r="N45" s="174"/>
      <c r="O45" s="40"/>
      <c r="P45" s="23"/>
      <c r="Q45" s="23"/>
      <c r="R45" s="72"/>
      <c r="S45" s="72"/>
      <c r="T45" s="23"/>
      <c r="U45" s="40"/>
      <c r="V45" s="23"/>
      <c r="W45" s="72"/>
      <c r="X45" s="23"/>
      <c r="Y45" s="40"/>
      <c r="Z45" s="23"/>
      <c r="AA45" s="72"/>
      <c r="AB45" s="23"/>
      <c r="AC45" s="40"/>
      <c r="AD45" s="23"/>
      <c r="AE45" s="23"/>
    </row>
    <row r="46" spans="1:31">
      <c r="A46" s="23"/>
      <c r="B46" s="166"/>
      <c r="C46" s="70"/>
      <c r="D46" s="170"/>
      <c r="E46" s="178"/>
      <c r="F46" s="167"/>
      <c r="G46" s="176"/>
      <c r="H46" s="67"/>
      <c r="I46" s="71"/>
      <c r="J46" s="177"/>
      <c r="K46" s="176"/>
      <c r="L46" s="174"/>
      <c r="M46" s="174"/>
      <c r="N46" s="176"/>
      <c r="O46" s="40"/>
      <c r="P46" s="23"/>
      <c r="Q46" s="23"/>
      <c r="R46" s="72"/>
      <c r="S46" s="72"/>
      <c r="T46" s="23"/>
      <c r="U46" s="40"/>
      <c r="V46" s="23"/>
      <c r="W46" s="72"/>
      <c r="X46" s="23"/>
      <c r="Y46" s="40"/>
      <c r="Z46" s="23"/>
      <c r="AA46" s="72"/>
      <c r="AB46" s="23"/>
      <c r="AC46" s="40"/>
      <c r="AD46" s="23"/>
      <c r="AE46" s="23"/>
    </row>
    <row r="47" spans="1:31">
      <c r="A47" s="23"/>
      <c r="B47" s="166"/>
      <c r="C47" s="70"/>
      <c r="D47" s="170"/>
      <c r="E47" s="178"/>
      <c r="F47" s="167"/>
      <c r="G47" s="176"/>
      <c r="H47" s="67"/>
      <c r="I47" s="71"/>
      <c r="J47" s="177"/>
      <c r="K47" s="176"/>
      <c r="L47" s="174"/>
      <c r="M47" s="174"/>
      <c r="N47" s="176"/>
      <c r="O47" s="40"/>
      <c r="P47" s="23"/>
      <c r="Q47" s="23"/>
      <c r="R47" s="72"/>
      <c r="S47" s="72"/>
      <c r="T47" s="23"/>
      <c r="U47" s="40"/>
      <c r="V47" s="23"/>
      <c r="W47" s="72"/>
      <c r="X47" s="23"/>
      <c r="Y47" s="40"/>
      <c r="Z47" s="23"/>
      <c r="AA47" s="72"/>
      <c r="AB47" s="23"/>
      <c r="AC47" s="40"/>
      <c r="AD47" s="23"/>
      <c r="AE47" s="23"/>
    </row>
    <row r="48" spans="1:31">
      <c r="A48" s="23"/>
      <c r="B48" s="166"/>
      <c r="C48" s="70"/>
      <c r="D48" s="170"/>
      <c r="E48" s="178"/>
      <c r="F48" s="167"/>
      <c r="G48" s="176"/>
      <c r="H48" s="67"/>
      <c r="I48" s="67"/>
      <c r="J48" s="177"/>
      <c r="K48" s="176"/>
      <c r="L48" s="172"/>
      <c r="M48" s="171"/>
      <c r="N48" s="177"/>
      <c r="O48" s="40"/>
      <c r="P48" s="23"/>
      <c r="Q48" s="23"/>
      <c r="R48" s="72"/>
      <c r="S48" s="72"/>
      <c r="T48" s="23"/>
      <c r="U48" s="40"/>
      <c r="V48" s="23"/>
      <c r="W48" s="72"/>
      <c r="X48" s="23"/>
      <c r="Y48" s="40"/>
      <c r="Z48" s="23"/>
      <c r="AA48" s="72"/>
      <c r="AB48" s="23"/>
      <c r="AC48" s="40"/>
      <c r="AD48" s="23"/>
      <c r="AE48" s="23"/>
    </row>
    <row r="49" spans="1:31">
      <c r="A49" s="23"/>
      <c r="B49" s="166"/>
      <c r="C49" s="70"/>
      <c r="D49" s="170"/>
      <c r="E49" s="178"/>
      <c r="F49" s="167"/>
      <c r="G49" s="176"/>
      <c r="H49" s="67"/>
      <c r="I49" s="67"/>
      <c r="J49" s="177"/>
      <c r="K49" s="176"/>
      <c r="L49" s="172"/>
      <c r="M49" s="172"/>
      <c r="N49" s="177"/>
      <c r="O49" s="40"/>
      <c r="P49" s="23"/>
      <c r="Q49" s="23"/>
      <c r="R49" s="72"/>
      <c r="S49" s="72"/>
      <c r="T49" s="23"/>
      <c r="U49" s="40"/>
      <c r="V49" s="23"/>
      <c r="W49" s="72"/>
      <c r="X49" s="23"/>
      <c r="Y49" s="40"/>
      <c r="Z49" s="23"/>
      <c r="AA49" s="72"/>
      <c r="AB49" s="23"/>
      <c r="AC49" s="40"/>
      <c r="AD49" s="23"/>
      <c r="AE49" s="23"/>
    </row>
    <row r="50" spans="1:31">
      <c r="A50" s="23"/>
      <c r="B50" s="166"/>
      <c r="C50" s="70"/>
      <c r="D50" s="170"/>
      <c r="E50" s="178"/>
      <c r="F50" s="167"/>
      <c r="G50" s="176"/>
      <c r="H50" s="67"/>
      <c r="I50" s="67"/>
      <c r="J50" s="177"/>
      <c r="K50" s="176"/>
      <c r="L50" s="172"/>
      <c r="M50" s="172"/>
      <c r="N50" s="177"/>
      <c r="O50" s="40"/>
      <c r="P50" s="23"/>
      <c r="Q50" s="23"/>
      <c r="R50" s="72"/>
      <c r="S50" s="72"/>
      <c r="T50" s="23"/>
      <c r="U50" s="40"/>
      <c r="V50" s="23"/>
      <c r="W50" s="72"/>
      <c r="X50" s="23"/>
      <c r="Y50" s="40"/>
      <c r="Z50" s="23"/>
      <c r="AA50" s="72"/>
      <c r="AB50" s="23"/>
      <c r="AC50" s="40"/>
      <c r="AD50" s="23"/>
      <c r="AE50" s="23"/>
    </row>
    <row r="51" spans="1:31">
      <c r="A51" s="23"/>
      <c r="B51" s="166"/>
      <c r="C51" s="70"/>
      <c r="D51" s="170"/>
      <c r="E51" s="178"/>
      <c r="F51" s="167"/>
      <c r="G51" s="176"/>
      <c r="H51" s="67"/>
      <c r="I51" s="67"/>
      <c r="J51" s="177"/>
      <c r="K51" s="176"/>
      <c r="L51" s="172"/>
      <c r="M51" s="172"/>
      <c r="N51" s="177"/>
      <c r="O51" s="40"/>
      <c r="P51" s="23"/>
      <c r="Q51" s="23"/>
      <c r="R51" s="72"/>
      <c r="S51" s="72"/>
      <c r="T51" s="23"/>
      <c r="U51" s="40"/>
      <c r="V51" s="23"/>
      <c r="W51" s="72"/>
      <c r="X51" s="23"/>
      <c r="Y51" s="40"/>
      <c r="Z51" s="23"/>
      <c r="AA51" s="72"/>
      <c r="AB51" s="23"/>
      <c r="AC51" s="40"/>
      <c r="AD51" s="23"/>
      <c r="AE51" s="23"/>
    </row>
    <row r="52" spans="1:31">
      <c r="A52" s="23"/>
      <c r="B52" s="166"/>
      <c r="C52" s="70"/>
      <c r="D52" s="170"/>
      <c r="E52" s="178"/>
      <c r="F52" s="167"/>
      <c r="G52" s="176"/>
      <c r="H52" s="67"/>
      <c r="I52" s="67"/>
      <c r="J52" s="177"/>
      <c r="K52" s="176"/>
      <c r="L52" s="172"/>
      <c r="M52" s="174"/>
      <c r="N52" s="177"/>
      <c r="O52" s="40"/>
      <c r="P52" s="23"/>
      <c r="Q52" s="23"/>
      <c r="R52" s="72"/>
      <c r="S52" s="72"/>
      <c r="T52" s="23"/>
      <c r="U52" s="40"/>
      <c r="V52" s="23"/>
      <c r="W52" s="72"/>
      <c r="X52" s="23"/>
      <c r="Y52" s="40"/>
      <c r="Z52" s="23"/>
      <c r="AA52" s="72"/>
      <c r="AB52" s="23"/>
      <c r="AC52" s="40"/>
      <c r="AD52" s="23"/>
      <c r="AE52" s="23"/>
    </row>
    <row r="53" spans="1:31">
      <c r="A53" s="23"/>
      <c r="B53" s="166"/>
      <c r="C53" s="70"/>
      <c r="D53" s="170"/>
      <c r="E53" s="178"/>
      <c r="F53" s="167"/>
      <c r="G53" s="176"/>
      <c r="H53" s="67"/>
      <c r="I53" s="67"/>
      <c r="J53" s="177"/>
      <c r="K53" s="176"/>
      <c r="L53" s="176"/>
      <c r="M53" s="70"/>
      <c r="N53" s="177"/>
      <c r="O53" s="40"/>
      <c r="P53" s="23"/>
      <c r="Q53" s="23"/>
      <c r="R53" s="72"/>
      <c r="S53" s="72"/>
      <c r="T53" s="23"/>
      <c r="U53" s="40"/>
      <c r="V53" s="23"/>
      <c r="W53" s="72"/>
      <c r="X53" s="23"/>
      <c r="Y53" s="40"/>
      <c r="Z53" s="23"/>
      <c r="AA53" s="72"/>
      <c r="AB53" s="23"/>
      <c r="AC53" s="40"/>
      <c r="AD53" s="23"/>
      <c r="AE53" s="23"/>
    </row>
    <row r="54" spans="1:31">
      <c r="A54" s="23"/>
      <c r="B54" s="166"/>
      <c r="C54" s="70"/>
      <c r="D54" s="170"/>
      <c r="E54" s="178"/>
      <c r="F54" s="167"/>
      <c r="G54" s="176"/>
      <c r="H54" s="67"/>
      <c r="I54" s="67"/>
      <c r="J54" s="177"/>
      <c r="K54" s="183"/>
      <c r="L54" s="176"/>
      <c r="M54" s="70"/>
      <c r="N54" s="177"/>
      <c r="O54" s="40"/>
      <c r="P54" s="23"/>
      <c r="Q54" s="23"/>
      <c r="R54" s="72"/>
      <c r="S54" s="72"/>
      <c r="T54" s="23"/>
      <c r="U54" s="40"/>
      <c r="V54" s="23"/>
      <c r="W54" s="72"/>
      <c r="X54" s="23"/>
      <c r="Y54" s="40"/>
      <c r="Z54" s="23"/>
      <c r="AA54" s="72"/>
      <c r="AB54" s="23"/>
      <c r="AC54" s="40"/>
      <c r="AD54" s="23"/>
      <c r="AE54" s="23"/>
    </row>
    <row r="55" spans="1:31">
      <c r="A55" s="23"/>
      <c r="B55" s="166"/>
      <c r="C55" s="70"/>
      <c r="D55" s="170"/>
      <c r="E55" s="178"/>
      <c r="F55" s="167"/>
      <c r="G55" s="176"/>
      <c r="H55" s="67"/>
      <c r="I55" s="67"/>
      <c r="J55" s="182"/>
      <c r="K55" s="183"/>
      <c r="L55" s="176"/>
      <c r="M55" s="70"/>
      <c r="N55" s="182"/>
      <c r="O55" s="40"/>
      <c r="P55" s="23"/>
      <c r="Q55" s="23"/>
      <c r="R55" s="72"/>
      <c r="S55" s="72"/>
      <c r="T55" s="23"/>
      <c r="U55" s="40"/>
      <c r="V55" s="23"/>
      <c r="W55" s="72"/>
      <c r="X55" s="23"/>
      <c r="Y55" s="40"/>
      <c r="Z55" s="23"/>
      <c r="AA55" s="72"/>
      <c r="AB55" s="23"/>
      <c r="AC55" s="40"/>
      <c r="AD55" s="23"/>
      <c r="AE55" s="23"/>
    </row>
    <row r="56" spans="1:31">
      <c r="A56" s="23"/>
      <c r="B56" s="166"/>
      <c r="C56" s="70"/>
      <c r="D56" s="170"/>
      <c r="E56" s="178"/>
      <c r="F56" s="167"/>
      <c r="G56" s="176"/>
      <c r="H56" s="67"/>
      <c r="I56" s="67"/>
      <c r="J56" s="177"/>
      <c r="K56" s="183"/>
      <c r="L56" s="172"/>
      <c r="M56" s="70"/>
      <c r="N56" s="177"/>
      <c r="O56" s="40"/>
      <c r="P56" s="23"/>
      <c r="Q56" s="23"/>
      <c r="R56" s="72"/>
      <c r="S56" s="72"/>
      <c r="T56" s="23"/>
      <c r="U56" s="40"/>
      <c r="V56" s="23"/>
      <c r="W56" s="72"/>
      <c r="X56" s="23"/>
      <c r="Y56" s="40"/>
      <c r="Z56" s="23"/>
      <c r="AA56" s="72"/>
      <c r="AB56" s="23"/>
      <c r="AC56" s="40"/>
      <c r="AD56" s="23"/>
      <c r="AE56" s="23"/>
    </row>
    <row r="57" spans="1:31">
      <c r="A57" s="23"/>
      <c r="B57" s="166"/>
      <c r="C57" s="70"/>
      <c r="D57" s="170"/>
      <c r="E57" s="178"/>
      <c r="F57" s="167"/>
      <c r="G57" s="176"/>
      <c r="H57" s="67"/>
      <c r="I57" s="67"/>
      <c r="J57" s="177"/>
      <c r="K57" s="183"/>
      <c r="L57" s="176"/>
      <c r="M57" s="70"/>
      <c r="N57" s="177"/>
      <c r="O57" s="40"/>
      <c r="P57" s="23"/>
      <c r="Q57" s="23"/>
      <c r="R57" s="72"/>
      <c r="S57" s="72"/>
      <c r="T57" s="23"/>
      <c r="U57" s="40"/>
      <c r="V57" s="23"/>
      <c r="W57" s="72"/>
      <c r="X57" s="23"/>
      <c r="Y57" s="40"/>
      <c r="Z57" s="23"/>
      <c r="AA57" s="72"/>
      <c r="AB57" s="23"/>
      <c r="AC57" s="40"/>
      <c r="AD57" s="23"/>
      <c r="AE57" s="23"/>
    </row>
    <row r="58" spans="1:31">
      <c r="A58" s="23"/>
      <c r="B58" s="166"/>
      <c r="C58" s="70"/>
      <c r="D58" s="170"/>
      <c r="E58" s="178"/>
      <c r="F58" s="167"/>
      <c r="G58" s="176"/>
      <c r="H58" s="67"/>
      <c r="I58" s="67"/>
      <c r="J58" s="177"/>
      <c r="K58" s="183"/>
      <c r="L58" s="176"/>
      <c r="M58" s="70"/>
      <c r="N58" s="177"/>
      <c r="O58" s="40"/>
      <c r="P58" s="23"/>
      <c r="Q58" s="23"/>
      <c r="R58" s="72"/>
      <c r="S58" s="72"/>
      <c r="T58" s="23"/>
      <c r="U58" s="40"/>
      <c r="V58" s="23"/>
      <c r="W58" s="72"/>
      <c r="X58" s="23"/>
      <c r="Y58" s="40"/>
      <c r="Z58" s="23"/>
      <c r="AA58" s="72"/>
      <c r="AB58" s="23"/>
      <c r="AC58" s="40"/>
      <c r="AD58" s="23"/>
      <c r="AE58" s="23"/>
    </row>
    <row r="59" spans="1:31">
      <c r="A59" s="23"/>
      <c r="B59" s="166"/>
      <c r="C59" s="70"/>
      <c r="D59" s="170"/>
      <c r="E59" s="178"/>
      <c r="F59" s="167"/>
      <c r="G59" s="176"/>
      <c r="H59" s="67"/>
      <c r="I59" s="67"/>
      <c r="J59" s="177"/>
      <c r="K59" s="183"/>
      <c r="L59" s="176"/>
      <c r="M59" s="70"/>
      <c r="N59" s="177"/>
      <c r="O59" s="40"/>
      <c r="P59" s="23"/>
      <c r="Q59" s="23"/>
      <c r="R59" s="72"/>
      <c r="S59" s="72"/>
      <c r="T59" s="23"/>
      <c r="U59" s="40"/>
      <c r="V59" s="23"/>
      <c r="W59" s="72"/>
      <c r="X59" s="23"/>
      <c r="Y59" s="40"/>
      <c r="Z59" s="23"/>
      <c r="AA59" s="72"/>
      <c r="AB59" s="23"/>
      <c r="AC59" s="40"/>
      <c r="AD59" s="23"/>
      <c r="AE59" s="23"/>
    </row>
    <row r="60" spans="1:31">
      <c r="A60" s="23"/>
      <c r="B60" s="166"/>
      <c r="C60" s="70"/>
      <c r="D60" s="170"/>
      <c r="E60" s="178"/>
      <c r="F60" s="167"/>
      <c r="G60" s="176"/>
      <c r="H60" s="67"/>
      <c r="I60" s="67"/>
      <c r="J60" s="177"/>
      <c r="K60" s="183"/>
      <c r="L60" s="176"/>
      <c r="M60" s="70"/>
      <c r="N60" s="177"/>
      <c r="O60" s="40"/>
      <c r="P60" s="23"/>
      <c r="Q60" s="23"/>
      <c r="R60" s="72"/>
      <c r="S60" s="72"/>
      <c r="T60" s="23"/>
      <c r="U60" s="40"/>
      <c r="V60" s="23"/>
      <c r="W60" s="72"/>
      <c r="X60" s="23"/>
      <c r="Y60" s="40"/>
      <c r="Z60" s="23"/>
      <c r="AA60" s="72"/>
      <c r="AB60" s="23"/>
      <c r="AC60" s="40"/>
      <c r="AD60" s="23"/>
      <c r="AE60" s="23"/>
    </row>
    <row r="61" spans="1:31">
      <c r="A61" s="23"/>
      <c r="B61" s="166"/>
      <c r="C61" s="70"/>
      <c r="D61" s="170"/>
      <c r="E61" s="178"/>
      <c r="F61" s="167"/>
      <c r="G61" s="176"/>
      <c r="H61" s="67"/>
      <c r="I61" s="67"/>
      <c r="J61" s="177"/>
      <c r="K61" s="183"/>
      <c r="L61" s="176"/>
      <c r="M61" s="70"/>
      <c r="N61" s="177"/>
      <c r="O61" s="40"/>
      <c r="P61" s="23"/>
      <c r="Q61" s="23"/>
      <c r="R61" s="72"/>
      <c r="S61" s="72"/>
      <c r="T61" s="23"/>
      <c r="U61" s="40"/>
      <c r="V61" s="23"/>
      <c r="W61" s="72"/>
      <c r="X61" s="23"/>
      <c r="Y61" s="40"/>
      <c r="Z61" s="23"/>
      <c r="AA61" s="72"/>
      <c r="AB61" s="23"/>
      <c r="AC61" s="40"/>
      <c r="AD61" s="23"/>
      <c r="AE61" s="23"/>
    </row>
    <row r="62" spans="1:31">
      <c r="A62" s="23"/>
      <c r="B62" s="166"/>
      <c r="C62" s="70"/>
      <c r="D62" s="170"/>
      <c r="E62" s="178"/>
      <c r="F62" s="167"/>
      <c r="G62" s="176"/>
      <c r="H62" s="67"/>
      <c r="I62" s="67"/>
      <c r="J62" s="177"/>
      <c r="K62" s="183"/>
      <c r="L62" s="176"/>
      <c r="M62" s="70"/>
      <c r="N62" s="177"/>
      <c r="O62" s="40"/>
      <c r="P62" s="23"/>
      <c r="Q62" s="23"/>
      <c r="R62" s="72"/>
      <c r="S62" s="72"/>
      <c r="T62" s="23"/>
      <c r="U62" s="40"/>
      <c r="V62" s="23"/>
      <c r="W62" s="72"/>
      <c r="X62" s="23"/>
      <c r="Y62" s="40"/>
      <c r="Z62" s="23"/>
      <c r="AA62" s="72"/>
      <c r="AB62" s="23"/>
      <c r="AC62" s="40"/>
      <c r="AD62" s="23"/>
      <c r="AE62" s="23"/>
    </row>
    <row r="63" spans="1:31">
      <c r="A63" s="23"/>
      <c r="B63" s="166"/>
      <c r="C63" s="70"/>
      <c r="D63" s="170"/>
      <c r="E63" s="178"/>
      <c r="F63" s="167"/>
      <c r="G63" s="176"/>
      <c r="H63" s="67"/>
      <c r="I63" s="67"/>
      <c r="J63" s="177"/>
      <c r="K63" s="183"/>
      <c r="L63" s="176"/>
      <c r="M63" s="70"/>
      <c r="N63" s="177"/>
      <c r="O63" s="40"/>
      <c r="P63" s="23"/>
      <c r="Q63" s="23"/>
      <c r="R63" s="72"/>
      <c r="S63" s="72"/>
      <c r="T63" s="23"/>
      <c r="U63" s="40"/>
      <c r="V63" s="23"/>
      <c r="W63" s="72"/>
      <c r="X63" s="23"/>
      <c r="Y63" s="40"/>
      <c r="Z63" s="23"/>
      <c r="AA63" s="72"/>
      <c r="AB63" s="23"/>
      <c r="AC63" s="40"/>
      <c r="AD63" s="23"/>
      <c r="AE63" s="23"/>
    </row>
    <row r="64" spans="1:31">
      <c r="A64" s="23"/>
      <c r="B64" s="166"/>
      <c r="C64" s="70"/>
      <c r="D64" s="170"/>
      <c r="E64" s="178"/>
      <c r="F64" s="167"/>
      <c r="G64" s="176"/>
      <c r="H64" s="67"/>
      <c r="I64" s="67"/>
      <c r="J64" s="177"/>
      <c r="K64" s="176"/>
      <c r="L64" s="176"/>
      <c r="M64" s="70"/>
      <c r="N64" s="182"/>
      <c r="O64" s="40"/>
      <c r="P64" s="23"/>
      <c r="Q64" s="23"/>
      <c r="R64" s="72"/>
      <c r="S64" s="72"/>
      <c r="T64" s="23"/>
      <c r="U64" s="40"/>
      <c r="V64" s="23"/>
      <c r="W64" s="72"/>
      <c r="X64" s="23"/>
      <c r="Y64" s="40"/>
      <c r="Z64" s="23"/>
      <c r="AA64" s="72"/>
      <c r="AB64" s="23"/>
      <c r="AC64" s="40"/>
      <c r="AD64" s="23"/>
      <c r="AE64" s="23"/>
    </row>
    <row r="65" spans="1:31">
      <c r="A65" s="23"/>
      <c r="B65" s="166"/>
      <c r="C65" s="70"/>
      <c r="D65" s="170"/>
      <c r="E65" s="178"/>
      <c r="F65" s="167"/>
      <c r="G65" s="176"/>
      <c r="H65" s="67"/>
      <c r="I65" s="67"/>
      <c r="J65" s="182"/>
      <c r="K65" s="183"/>
      <c r="L65" s="183"/>
      <c r="M65" s="70"/>
      <c r="N65" s="182"/>
      <c r="O65" s="40"/>
      <c r="P65" s="23"/>
      <c r="Q65" s="23"/>
      <c r="R65" s="72"/>
      <c r="S65" s="72"/>
      <c r="T65" s="23"/>
      <c r="U65" s="40"/>
      <c r="V65" s="23"/>
      <c r="W65" s="72"/>
      <c r="X65" s="23"/>
      <c r="Y65" s="40"/>
      <c r="Z65" s="23"/>
      <c r="AA65" s="72"/>
      <c r="AB65" s="23"/>
      <c r="AC65" s="40"/>
      <c r="AD65" s="23"/>
      <c r="AE65" s="23"/>
    </row>
    <row r="66" spans="1:31">
      <c r="A66" s="23"/>
      <c r="B66" s="166"/>
      <c r="C66" s="70"/>
      <c r="D66" s="170"/>
      <c r="E66" s="178"/>
      <c r="F66" s="167"/>
      <c r="G66" s="176"/>
      <c r="H66" s="67"/>
      <c r="I66" s="67"/>
      <c r="J66" s="182"/>
      <c r="K66" s="183"/>
      <c r="L66" s="183"/>
      <c r="M66" s="70"/>
      <c r="N66" s="182"/>
      <c r="O66" s="40"/>
      <c r="P66" s="23"/>
      <c r="Q66" s="23"/>
      <c r="R66" s="72"/>
      <c r="S66" s="72"/>
      <c r="T66" s="23"/>
      <c r="U66" s="40"/>
      <c r="V66" s="23"/>
      <c r="W66" s="72"/>
      <c r="X66" s="23"/>
      <c r="Y66" s="40"/>
      <c r="Z66" s="23"/>
      <c r="AA66" s="72"/>
      <c r="AB66" s="23"/>
      <c r="AC66" s="40"/>
      <c r="AD66" s="23"/>
      <c r="AE66" s="23"/>
    </row>
    <row r="67" spans="1:31">
      <c r="A67" s="23"/>
      <c r="B67" s="166"/>
      <c r="C67" s="70"/>
      <c r="D67" s="170"/>
      <c r="E67" s="178"/>
      <c r="F67" s="167"/>
      <c r="G67" s="176"/>
      <c r="H67" s="67"/>
      <c r="I67" s="67"/>
      <c r="J67" s="182"/>
      <c r="K67" s="183"/>
      <c r="L67" s="183"/>
      <c r="M67" s="70"/>
      <c r="N67" s="182"/>
      <c r="O67" s="40"/>
      <c r="P67" s="23"/>
      <c r="Q67" s="23"/>
      <c r="R67" s="72"/>
      <c r="S67" s="72"/>
      <c r="T67" s="23"/>
      <c r="U67" s="40"/>
      <c r="V67" s="23"/>
      <c r="W67" s="72"/>
      <c r="X67" s="23"/>
      <c r="Y67" s="40"/>
      <c r="Z67" s="23"/>
      <c r="AA67" s="72"/>
      <c r="AB67" s="23"/>
      <c r="AC67" s="40"/>
      <c r="AD67" s="23"/>
      <c r="AE67" s="23"/>
    </row>
    <row r="68" spans="1:31">
      <c r="A68" s="23"/>
      <c r="B68" s="166"/>
      <c r="C68" s="70"/>
      <c r="D68" s="170"/>
      <c r="E68" s="184"/>
      <c r="F68" s="167"/>
      <c r="G68" s="183"/>
      <c r="H68" s="67"/>
      <c r="I68" s="67"/>
      <c r="J68" s="182"/>
      <c r="K68" s="183"/>
      <c r="L68" s="183"/>
      <c r="M68" s="173"/>
      <c r="N68" s="182"/>
      <c r="O68" s="40"/>
      <c r="P68" s="23"/>
      <c r="Q68" s="23"/>
      <c r="R68" s="72"/>
      <c r="S68" s="72"/>
      <c r="T68" s="23"/>
      <c r="U68" s="40"/>
      <c r="V68" s="23"/>
      <c r="W68" s="72"/>
      <c r="X68" s="23"/>
      <c r="Y68" s="40"/>
      <c r="Z68" s="23"/>
      <c r="AA68" s="72"/>
      <c r="AB68" s="23"/>
      <c r="AC68" s="40"/>
      <c r="AD68" s="23"/>
      <c r="AE68" s="23"/>
    </row>
    <row r="69" spans="1:31">
      <c r="A69" s="23"/>
      <c r="B69" s="166"/>
      <c r="C69" s="70"/>
      <c r="D69" s="170"/>
      <c r="E69" s="184"/>
      <c r="F69" s="167"/>
      <c r="G69" s="183"/>
      <c r="H69" s="67"/>
      <c r="I69" s="67"/>
      <c r="J69" s="182"/>
      <c r="K69" s="183"/>
      <c r="L69" s="183"/>
      <c r="M69" s="173"/>
      <c r="N69" s="182"/>
      <c r="O69" s="40"/>
      <c r="P69" s="23"/>
      <c r="Q69" s="23"/>
      <c r="R69" s="72"/>
      <c r="S69" s="72"/>
      <c r="T69" s="23"/>
      <c r="U69" s="40"/>
      <c r="V69" s="23"/>
      <c r="W69" s="72"/>
      <c r="X69" s="23"/>
      <c r="Y69" s="40"/>
      <c r="Z69" s="23"/>
      <c r="AA69" s="72"/>
      <c r="AB69" s="23"/>
      <c r="AC69" s="40"/>
      <c r="AD69" s="23"/>
      <c r="AE69" s="23"/>
    </row>
    <row r="70" spans="1:31">
      <c r="A70" s="23"/>
      <c r="B70" s="166"/>
      <c r="C70" s="70"/>
      <c r="D70" s="170"/>
      <c r="E70" s="184"/>
      <c r="F70" s="167"/>
      <c r="G70" s="183"/>
      <c r="H70" s="67"/>
      <c r="I70" s="67"/>
      <c r="J70" s="182"/>
      <c r="K70" s="183"/>
      <c r="L70" s="183"/>
      <c r="M70" s="173"/>
      <c r="N70" s="182"/>
      <c r="O70" s="40"/>
      <c r="P70" s="23"/>
      <c r="Q70" s="23"/>
      <c r="R70" s="72"/>
      <c r="S70" s="72"/>
      <c r="T70" s="23"/>
      <c r="U70" s="40"/>
      <c r="V70" s="23"/>
      <c r="W70" s="72"/>
      <c r="X70" s="23"/>
      <c r="Y70" s="40"/>
      <c r="Z70" s="23"/>
      <c r="AA70" s="72"/>
      <c r="AB70" s="23"/>
      <c r="AC70" s="40"/>
      <c r="AD70" s="23"/>
      <c r="AE70" s="23"/>
    </row>
    <row r="71" spans="1:31">
      <c r="A71" s="23"/>
      <c r="B71" s="166"/>
      <c r="C71" s="70"/>
      <c r="D71" s="170"/>
      <c r="E71" s="184"/>
      <c r="F71" s="167"/>
      <c r="G71" s="183"/>
      <c r="H71" s="67"/>
      <c r="I71" s="67"/>
      <c r="J71" s="182"/>
      <c r="K71" s="183"/>
      <c r="L71" s="183"/>
      <c r="M71" s="173"/>
      <c r="N71" s="182"/>
      <c r="O71" s="40"/>
      <c r="P71" s="23"/>
      <c r="Q71" s="23"/>
      <c r="R71" s="72"/>
      <c r="S71" s="72"/>
      <c r="T71" s="23"/>
      <c r="U71" s="40"/>
      <c r="V71" s="23"/>
      <c r="W71" s="72"/>
      <c r="X71" s="23"/>
      <c r="Y71" s="40"/>
      <c r="Z71" s="23"/>
      <c r="AA71" s="72"/>
      <c r="AB71" s="23"/>
      <c r="AC71" s="40"/>
      <c r="AD71" s="23"/>
      <c r="AE71" s="23"/>
    </row>
    <row r="72" spans="1:31">
      <c r="A72" s="23"/>
      <c r="B72" s="166"/>
      <c r="C72" s="70"/>
      <c r="D72" s="170"/>
      <c r="E72" s="184"/>
      <c r="F72" s="167"/>
      <c r="G72" s="176"/>
      <c r="H72" s="67"/>
      <c r="I72" s="67"/>
      <c r="J72" s="182"/>
      <c r="K72" s="183"/>
      <c r="L72" s="176"/>
      <c r="M72" s="70"/>
      <c r="N72" s="182"/>
      <c r="O72" s="40"/>
      <c r="P72" s="23"/>
      <c r="Q72" s="23"/>
      <c r="R72" s="72"/>
      <c r="S72" s="72"/>
      <c r="T72" s="23"/>
      <c r="U72" s="40"/>
      <c r="V72" s="23"/>
      <c r="W72" s="72"/>
      <c r="X72" s="23"/>
      <c r="Y72" s="40"/>
      <c r="Z72" s="23"/>
      <c r="AA72" s="72"/>
      <c r="AB72" s="23"/>
      <c r="AC72" s="40"/>
      <c r="AD72" s="23"/>
      <c r="AE72" s="23"/>
    </row>
    <row r="73" spans="1:31">
      <c r="A73" s="23"/>
      <c r="B73" s="166"/>
      <c r="C73" s="70"/>
      <c r="D73" s="170"/>
      <c r="E73" s="184"/>
      <c r="F73" s="167"/>
      <c r="G73" s="176"/>
      <c r="H73" s="67"/>
      <c r="I73" s="67"/>
      <c r="J73" s="182"/>
      <c r="K73" s="183"/>
      <c r="L73" s="183"/>
      <c r="M73" s="70"/>
      <c r="N73" s="182"/>
      <c r="O73" s="40"/>
      <c r="P73" s="23"/>
      <c r="Q73" s="23"/>
      <c r="R73" s="72"/>
      <c r="S73" s="72"/>
      <c r="T73" s="23"/>
      <c r="U73" s="40"/>
      <c r="V73" s="23"/>
      <c r="W73" s="72"/>
      <c r="X73" s="23"/>
      <c r="Y73" s="40"/>
      <c r="Z73" s="23"/>
      <c r="AA73" s="72"/>
      <c r="AB73" s="23"/>
      <c r="AC73" s="40"/>
      <c r="AD73" s="23"/>
      <c r="AE73" s="23"/>
    </row>
    <row r="74" spans="1:31">
      <c r="A74" s="23"/>
      <c r="B74" s="166"/>
      <c r="C74" s="70"/>
      <c r="D74" s="170"/>
      <c r="E74" s="184"/>
      <c r="F74" s="167"/>
      <c r="G74" s="183"/>
      <c r="H74" s="67"/>
      <c r="I74" s="67"/>
      <c r="J74" s="182"/>
      <c r="K74" s="183"/>
      <c r="L74" s="183"/>
      <c r="M74" s="183"/>
      <c r="N74" s="182"/>
      <c r="O74" s="40"/>
      <c r="P74" s="23"/>
      <c r="Q74" s="23"/>
      <c r="R74" s="72"/>
      <c r="S74" s="72"/>
      <c r="T74" s="23"/>
      <c r="U74" s="40"/>
      <c r="V74" s="23"/>
      <c r="W74" s="72"/>
      <c r="X74" s="23"/>
      <c r="Y74" s="40"/>
      <c r="Z74" s="23"/>
      <c r="AA74" s="72"/>
      <c r="AB74" s="23"/>
      <c r="AC74" s="40"/>
      <c r="AD74" s="23"/>
      <c r="AE74" s="23"/>
    </row>
    <row r="75" spans="1:31">
      <c r="A75" s="23"/>
      <c r="B75" s="166"/>
      <c r="C75" s="70"/>
      <c r="D75" s="170"/>
      <c r="E75" s="184"/>
      <c r="F75" s="167"/>
      <c r="G75" s="183"/>
      <c r="H75" s="67"/>
      <c r="I75" s="67"/>
      <c r="J75" s="182"/>
      <c r="K75" s="183"/>
      <c r="L75" s="183"/>
      <c r="M75" s="183"/>
      <c r="N75" s="182"/>
      <c r="O75" s="40"/>
      <c r="P75" s="23"/>
      <c r="Q75" s="23"/>
      <c r="R75" s="72"/>
      <c r="S75" s="72"/>
      <c r="T75" s="23"/>
      <c r="U75" s="40"/>
      <c r="V75" s="23"/>
      <c r="W75" s="72"/>
      <c r="X75" s="23"/>
      <c r="Y75" s="40"/>
      <c r="Z75" s="23"/>
      <c r="AA75" s="72"/>
      <c r="AB75" s="23"/>
      <c r="AC75" s="40"/>
      <c r="AD75" s="23"/>
      <c r="AE75" s="23"/>
    </row>
    <row r="76" spans="1:31">
      <c r="A76" s="23"/>
      <c r="B76" s="166"/>
      <c r="C76" s="70"/>
      <c r="D76" s="170"/>
      <c r="E76" s="184"/>
      <c r="F76" s="167"/>
      <c r="G76" s="183"/>
      <c r="H76" s="67"/>
      <c r="I76" s="67"/>
      <c r="J76" s="182"/>
      <c r="K76" s="183"/>
      <c r="L76" s="183"/>
      <c r="M76" s="183"/>
      <c r="N76" s="182"/>
      <c r="O76" s="40"/>
      <c r="P76" s="23"/>
      <c r="Q76" s="23"/>
      <c r="R76" s="72"/>
      <c r="S76" s="72"/>
      <c r="T76" s="23"/>
      <c r="U76" s="40"/>
      <c r="V76" s="23"/>
      <c r="W76" s="72"/>
      <c r="X76" s="23"/>
      <c r="Y76" s="40"/>
      <c r="Z76" s="23"/>
      <c r="AA76" s="72"/>
      <c r="AB76" s="23"/>
      <c r="AC76" s="40"/>
      <c r="AD76" s="23"/>
      <c r="AE76" s="23"/>
    </row>
    <row r="77" spans="1:31">
      <c r="A77" s="23"/>
      <c r="B77" s="166"/>
      <c r="C77" s="70"/>
      <c r="D77" s="170"/>
      <c r="E77" s="184"/>
      <c r="F77" s="167"/>
      <c r="G77" s="183"/>
      <c r="H77" s="67"/>
      <c r="I77" s="185"/>
      <c r="J77" s="182"/>
      <c r="K77" s="183"/>
      <c r="L77" s="183"/>
      <c r="M77" s="183"/>
      <c r="N77" s="182"/>
      <c r="O77" s="40"/>
      <c r="P77" s="23"/>
      <c r="Q77" s="23"/>
      <c r="R77" s="72"/>
      <c r="S77" s="72"/>
      <c r="T77" s="23"/>
      <c r="U77" s="40"/>
      <c r="V77" s="23"/>
      <c r="W77" s="72"/>
      <c r="X77" s="23"/>
      <c r="Y77" s="40"/>
      <c r="Z77" s="23"/>
      <c r="AA77" s="72"/>
      <c r="AB77" s="23"/>
      <c r="AC77" s="40"/>
      <c r="AD77" s="23"/>
      <c r="AE77" s="23"/>
    </row>
    <row r="78" spans="1:31">
      <c r="A78" s="23"/>
      <c r="B78" s="166"/>
      <c r="C78" s="70"/>
      <c r="D78" s="170"/>
      <c r="E78" s="184"/>
      <c r="F78" s="167"/>
      <c r="G78" s="183"/>
      <c r="H78" s="67"/>
      <c r="I78" s="67"/>
      <c r="J78" s="182"/>
      <c r="K78" s="183"/>
      <c r="L78" s="183"/>
      <c r="M78" s="183"/>
      <c r="N78" s="182"/>
      <c r="O78" s="40"/>
      <c r="P78" s="23"/>
      <c r="Q78" s="23"/>
      <c r="R78" s="72"/>
      <c r="S78" s="72"/>
      <c r="T78" s="23"/>
      <c r="U78" s="40"/>
      <c r="V78" s="23"/>
      <c r="W78" s="72"/>
      <c r="X78" s="23"/>
      <c r="Y78" s="40"/>
      <c r="Z78" s="23"/>
      <c r="AA78" s="72"/>
      <c r="AB78" s="23"/>
      <c r="AC78" s="40"/>
      <c r="AD78" s="23"/>
      <c r="AE78" s="23"/>
    </row>
    <row r="79" spans="1:31">
      <c r="A79" s="23"/>
      <c r="B79" s="166"/>
      <c r="C79" s="70"/>
      <c r="D79" s="170"/>
      <c r="E79" s="184"/>
      <c r="F79" s="167"/>
      <c r="G79" s="183"/>
      <c r="H79" s="67"/>
      <c r="I79" s="67"/>
      <c r="J79" s="182"/>
      <c r="K79" s="183"/>
      <c r="L79" s="183"/>
      <c r="M79" s="183"/>
      <c r="N79" s="182"/>
      <c r="O79" s="40"/>
      <c r="P79" s="23"/>
      <c r="Q79" s="23"/>
      <c r="R79" s="72"/>
      <c r="S79" s="72"/>
      <c r="T79" s="23"/>
      <c r="U79" s="40"/>
      <c r="V79" s="23"/>
      <c r="W79" s="72"/>
      <c r="X79" s="23"/>
      <c r="Y79" s="40"/>
      <c r="Z79" s="23"/>
      <c r="AA79" s="72"/>
      <c r="AB79" s="23"/>
      <c r="AC79" s="40"/>
      <c r="AD79" s="23"/>
      <c r="AE79" s="23"/>
    </row>
    <row r="80" spans="1:31">
      <c r="A80" s="23"/>
      <c r="B80" s="166"/>
      <c r="C80" s="70"/>
      <c r="D80" s="170"/>
      <c r="E80" s="184"/>
      <c r="F80" s="167"/>
      <c r="G80" s="176"/>
      <c r="H80" s="67"/>
      <c r="I80" s="67"/>
      <c r="J80" s="182"/>
      <c r="K80" s="183"/>
      <c r="L80" s="183"/>
      <c r="M80" s="70"/>
      <c r="N80" s="182"/>
      <c r="O80" s="40"/>
      <c r="P80" s="23"/>
      <c r="Q80" s="23"/>
      <c r="R80" s="72"/>
      <c r="S80" s="72"/>
      <c r="T80" s="23"/>
      <c r="U80" s="40"/>
      <c r="V80" s="23"/>
      <c r="W80" s="72"/>
      <c r="X80" s="23"/>
      <c r="Y80" s="40"/>
      <c r="Z80" s="23"/>
      <c r="AA80" s="72"/>
      <c r="AB80" s="23"/>
      <c r="AC80" s="40"/>
      <c r="AD80" s="23"/>
      <c r="AE80" s="23"/>
    </row>
    <row r="81" spans="1:31">
      <c r="A81" s="23"/>
      <c r="B81" s="166"/>
      <c r="C81" s="70"/>
      <c r="D81" s="170"/>
      <c r="E81" s="184"/>
      <c r="F81" s="167"/>
      <c r="G81" s="176"/>
      <c r="H81" s="67"/>
      <c r="I81" s="67"/>
      <c r="J81" s="182"/>
      <c r="K81" s="183"/>
      <c r="L81" s="183"/>
      <c r="M81" s="70"/>
      <c r="N81" s="182"/>
      <c r="O81" s="40"/>
      <c r="P81" s="23"/>
      <c r="Q81" s="23"/>
      <c r="R81" s="72"/>
      <c r="S81" s="72"/>
      <c r="T81" s="23"/>
      <c r="U81" s="40"/>
      <c r="V81" s="23"/>
      <c r="W81" s="72"/>
      <c r="X81" s="23"/>
      <c r="Y81" s="40"/>
      <c r="Z81" s="23"/>
      <c r="AA81" s="72"/>
      <c r="AB81" s="23"/>
      <c r="AC81" s="40"/>
      <c r="AD81" s="23"/>
      <c r="AE81" s="23"/>
    </row>
    <row r="82" spans="1:31">
      <c r="A82" s="23"/>
      <c r="B82" s="166"/>
      <c r="C82" s="70"/>
      <c r="D82" s="170"/>
      <c r="E82" s="184"/>
      <c r="F82" s="167"/>
      <c r="G82" s="176"/>
      <c r="H82" s="67"/>
      <c r="I82" s="67"/>
      <c r="J82" s="182"/>
      <c r="K82" s="183"/>
      <c r="L82" s="176"/>
      <c r="M82" s="70"/>
      <c r="N82" s="182"/>
      <c r="O82" s="40"/>
      <c r="P82" s="23"/>
      <c r="Q82" s="23"/>
      <c r="R82" s="72"/>
      <c r="S82" s="72"/>
      <c r="T82" s="23"/>
      <c r="U82" s="40"/>
      <c r="V82" s="23"/>
      <c r="W82" s="72"/>
      <c r="X82" s="23"/>
      <c r="Y82" s="40"/>
      <c r="Z82" s="23"/>
      <c r="AA82" s="72"/>
      <c r="AB82" s="23"/>
      <c r="AC82" s="40"/>
      <c r="AD82" s="23"/>
      <c r="AE82" s="23"/>
    </row>
    <row r="83" spans="1:31">
      <c r="A83" s="23"/>
      <c r="B83" s="166"/>
      <c r="C83" s="70"/>
      <c r="D83" s="170"/>
      <c r="E83" s="184"/>
      <c r="F83" s="167"/>
      <c r="G83" s="176"/>
      <c r="H83" s="67"/>
      <c r="I83" s="67"/>
      <c r="J83" s="182"/>
      <c r="K83" s="183"/>
      <c r="L83" s="183"/>
      <c r="M83" s="70"/>
      <c r="N83" s="182"/>
      <c r="O83" s="40"/>
      <c r="P83" s="23"/>
      <c r="Q83" s="23"/>
      <c r="R83" s="72"/>
      <c r="S83" s="72"/>
      <c r="T83" s="23"/>
      <c r="U83" s="40"/>
      <c r="V83" s="23"/>
      <c r="W83" s="72"/>
      <c r="X83" s="23"/>
      <c r="Y83" s="40"/>
      <c r="Z83" s="23"/>
      <c r="AA83" s="72"/>
      <c r="AB83" s="23"/>
      <c r="AC83" s="40"/>
      <c r="AD83" s="23"/>
      <c r="AE83" s="23"/>
    </row>
    <row r="84" spans="1:31">
      <c r="A84" s="23"/>
      <c r="B84" s="166"/>
      <c r="C84" s="70"/>
      <c r="D84" s="170"/>
      <c r="E84" s="184"/>
      <c r="F84" s="167"/>
      <c r="G84" s="183"/>
      <c r="H84" s="67"/>
      <c r="I84" s="67"/>
      <c r="J84" s="182"/>
      <c r="K84" s="183"/>
      <c r="L84" s="183"/>
      <c r="M84" s="183"/>
      <c r="N84" s="182"/>
      <c r="O84" s="40"/>
      <c r="P84" s="23"/>
      <c r="Q84" s="23"/>
      <c r="R84" s="72"/>
      <c r="S84" s="72"/>
      <c r="T84" s="23"/>
      <c r="U84" s="40"/>
      <c r="V84" s="23"/>
      <c r="W84" s="72"/>
      <c r="X84" s="23"/>
      <c r="Y84" s="40"/>
      <c r="Z84" s="23"/>
      <c r="AA84" s="72"/>
      <c r="AB84" s="23"/>
      <c r="AC84" s="40"/>
      <c r="AD84" s="23"/>
      <c r="AE84" s="23"/>
    </row>
    <row r="85" spans="1:31">
      <c r="A85" s="23"/>
      <c r="B85" s="166"/>
      <c r="C85" s="70"/>
      <c r="D85" s="170"/>
      <c r="E85" s="184"/>
      <c r="F85" s="167"/>
      <c r="G85" s="183"/>
      <c r="H85" s="67"/>
      <c r="I85" s="67"/>
      <c r="J85" s="182"/>
      <c r="K85" s="183"/>
      <c r="L85" s="183"/>
      <c r="M85" s="183"/>
      <c r="N85" s="182"/>
      <c r="O85" s="40"/>
      <c r="P85" s="23"/>
      <c r="Q85" s="23"/>
      <c r="R85" s="72"/>
      <c r="S85" s="72"/>
      <c r="T85" s="23"/>
      <c r="U85" s="40"/>
      <c r="V85" s="23"/>
      <c r="W85" s="72"/>
      <c r="X85" s="23"/>
      <c r="Y85" s="40"/>
      <c r="Z85" s="23"/>
      <c r="AA85" s="72"/>
      <c r="AB85" s="23"/>
      <c r="AC85" s="40"/>
      <c r="AD85" s="23"/>
      <c r="AE85" s="23"/>
    </row>
    <row r="86" spans="1:31">
      <c r="A86" s="23"/>
      <c r="B86" s="166"/>
      <c r="C86" s="70"/>
      <c r="D86" s="170"/>
      <c r="E86" s="184"/>
      <c r="F86" s="167"/>
      <c r="G86" s="183"/>
      <c r="H86" s="67"/>
      <c r="I86" s="67"/>
      <c r="J86" s="182"/>
      <c r="K86" s="183"/>
      <c r="L86" s="183"/>
      <c r="M86" s="183"/>
      <c r="N86" s="182"/>
      <c r="O86" s="40"/>
      <c r="P86" s="23"/>
      <c r="Q86" s="23"/>
      <c r="R86" s="72"/>
      <c r="S86" s="72"/>
      <c r="T86" s="23"/>
      <c r="U86" s="40"/>
      <c r="V86" s="23"/>
      <c r="W86" s="72"/>
      <c r="X86" s="23"/>
      <c r="Y86" s="40"/>
      <c r="Z86" s="23"/>
      <c r="AA86" s="72"/>
      <c r="AB86" s="23"/>
      <c r="AC86" s="40"/>
      <c r="AD86" s="23"/>
      <c r="AE86" s="23"/>
    </row>
    <row r="87" spans="1:31">
      <c r="A87" s="23"/>
      <c r="B87" s="166"/>
      <c r="C87" s="70"/>
      <c r="D87" s="170"/>
      <c r="E87" s="184"/>
      <c r="F87" s="167"/>
      <c r="G87" s="183"/>
      <c r="H87" s="67"/>
      <c r="I87" s="185"/>
      <c r="J87" s="182"/>
      <c r="K87" s="183"/>
      <c r="L87" s="183"/>
      <c r="M87" s="183"/>
      <c r="N87" s="182"/>
      <c r="O87" s="40"/>
      <c r="P87" s="23"/>
      <c r="Q87" s="23"/>
      <c r="R87" s="72"/>
      <c r="S87" s="72"/>
      <c r="T87" s="23"/>
      <c r="U87" s="40"/>
      <c r="V87" s="23"/>
      <c r="W87" s="72"/>
      <c r="X87" s="23"/>
      <c r="Y87" s="40"/>
      <c r="Z87" s="23"/>
      <c r="AA87" s="72"/>
      <c r="AB87" s="23"/>
      <c r="AC87" s="40"/>
      <c r="AD87" s="23"/>
      <c r="AE87" s="23"/>
    </row>
    <row r="88" spans="1:31">
      <c r="A88" s="23"/>
      <c r="B88" s="166"/>
      <c r="C88" s="70"/>
      <c r="D88" s="170"/>
      <c r="E88" s="184"/>
      <c r="F88" s="167"/>
      <c r="G88" s="183"/>
      <c r="H88" s="67"/>
      <c r="I88" s="67"/>
      <c r="J88" s="182"/>
      <c r="K88" s="183"/>
      <c r="L88" s="183"/>
      <c r="M88" s="183"/>
      <c r="N88" s="182"/>
      <c r="O88" s="40"/>
      <c r="P88" s="23"/>
      <c r="Q88" s="23"/>
      <c r="R88" s="72"/>
      <c r="S88" s="72"/>
      <c r="T88" s="23"/>
      <c r="U88" s="40"/>
      <c r="V88" s="23"/>
      <c r="W88" s="72"/>
      <c r="X88" s="23"/>
      <c r="Y88" s="40"/>
      <c r="Z88" s="23"/>
      <c r="AA88" s="72"/>
      <c r="AB88" s="23"/>
      <c r="AC88" s="40"/>
      <c r="AD88" s="23"/>
      <c r="AE88" s="23"/>
    </row>
    <row r="89" spans="1:31">
      <c r="A89" s="23"/>
      <c r="B89" s="166"/>
      <c r="C89" s="70"/>
      <c r="D89" s="170"/>
      <c r="E89" s="184"/>
      <c r="F89" s="167"/>
      <c r="G89" s="183"/>
      <c r="H89" s="67"/>
      <c r="I89" s="67"/>
      <c r="J89" s="182"/>
      <c r="K89" s="183"/>
      <c r="L89" s="183"/>
      <c r="M89" s="183"/>
      <c r="N89" s="182"/>
      <c r="O89" s="40"/>
      <c r="P89" s="23"/>
      <c r="Q89" s="23"/>
      <c r="R89" s="72"/>
      <c r="S89" s="72"/>
      <c r="T89" s="23"/>
      <c r="U89" s="40"/>
      <c r="V89" s="23"/>
      <c r="W89" s="72"/>
      <c r="X89" s="23"/>
      <c r="Y89" s="40"/>
      <c r="Z89" s="23"/>
      <c r="AA89" s="72"/>
      <c r="AB89" s="23"/>
      <c r="AC89" s="40"/>
      <c r="AD89" s="23"/>
      <c r="AE89" s="23"/>
    </row>
    <row r="90" spans="1:31">
      <c r="A90" s="23"/>
      <c r="B90" s="166"/>
      <c r="C90" s="70"/>
      <c r="D90" s="170"/>
      <c r="E90" s="184"/>
      <c r="F90" s="167"/>
      <c r="G90" s="183"/>
      <c r="H90" s="67"/>
      <c r="I90" s="71"/>
      <c r="J90" s="177"/>
      <c r="K90" s="183"/>
      <c r="L90" s="183"/>
      <c r="M90" s="174"/>
      <c r="N90" s="183"/>
      <c r="O90" s="40"/>
      <c r="P90" s="23"/>
      <c r="Q90" s="23"/>
      <c r="R90" s="72"/>
      <c r="S90" s="72"/>
      <c r="T90" s="23"/>
      <c r="U90" s="40"/>
      <c r="V90" s="23"/>
      <c r="W90" s="72"/>
      <c r="X90" s="23"/>
      <c r="Y90" s="40"/>
      <c r="Z90" s="23"/>
      <c r="AA90" s="72"/>
      <c r="AB90" s="23"/>
      <c r="AC90" s="40"/>
      <c r="AD90" s="23"/>
      <c r="AE90" s="23"/>
    </row>
    <row r="91" spans="1:31">
      <c r="A91" s="23"/>
      <c r="B91" s="166"/>
      <c r="C91" s="70"/>
      <c r="D91" s="170"/>
      <c r="E91" s="184"/>
      <c r="F91" s="167"/>
      <c r="G91" s="183"/>
      <c r="H91" s="67"/>
      <c r="I91" s="67"/>
      <c r="J91" s="177"/>
      <c r="K91" s="183"/>
      <c r="L91" s="176"/>
      <c r="M91" s="70"/>
      <c r="N91" s="181"/>
      <c r="O91" s="40"/>
      <c r="P91" s="23"/>
      <c r="Q91" s="23"/>
      <c r="R91" s="72"/>
      <c r="S91" s="72"/>
      <c r="T91" s="23"/>
      <c r="U91" s="40"/>
      <c r="V91" s="23"/>
      <c r="W91" s="72"/>
      <c r="X91" s="23"/>
      <c r="Y91" s="40"/>
      <c r="Z91" s="23"/>
      <c r="AA91" s="72"/>
      <c r="AB91" s="23"/>
      <c r="AC91" s="40"/>
      <c r="AD91" s="23"/>
      <c r="AE91" s="23"/>
    </row>
    <row r="92" spans="1:31">
      <c r="A92" s="23"/>
      <c r="B92" s="166"/>
      <c r="C92" s="70"/>
      <c r="D92" s="170"/>
      <c r="E92" s="184"/>
      <c r="F92" s="167"/>
      <c r="G92" s="183"/>
      <c r="H92" s="67"/>
      <c r="I92" s="67"/>
      <c r="J92" s="182"/>
      <c r="K92" s="183"/>
      <c r="L92" s="183"/>
      <c r="M92" s="70"/>
      <c r="N92" s="182"/>
      <c r="O92" s="40"/>
      <c r="P92" s="23"/>
      <c r="Q92" s="23"/>
      <c r="R92" s="72"/>
      <c r="S92" s="72"/>
      <c r="T92" s="23"/>
      <c r="U92" s="40"/>
      <c r="V92" s="23"/>
      <c r="W92" s="72"/>
      <c r="X92" s="23"/>
      <c r="Y92" s="40"/>
      <c r="Z92" s="23"/>
      <c r="AA92" s="72"/>
      <c r="AB92" s="23"/>
      <c r="AC92" s="40"/>
      <c r="AD92" s="23"/>
      <c r="AE92" s="23"/>
    </row>
    <row r="93" spans="1:31">
      <c r="A93" s="23"/>
      <c r="B93" s="166"/>
      <c r="C93" s="70"/>
      <c r="D93" s="170"/>
      <c r="E93" s="184"/>
      <c r="F93" s="167"/>
      <c r="G93" s="183"/>
      <c r="H93" s="67"/>
      <c r="I93" s="67"/>
      <c r="J93" s="177"/>
      <c r="K93" s="183"/>
      <c r="L93" s="173"/>
      <c r="M93" s="70"/>
      <c r="N93" s="182"/>
      <c r="O93" s="40"/>
      <c r="P93" s="23"/>
      <c r="Q93" s="23"/>
      <c r="R93" s="72"/>
      <c r="S93" s="72"/>
      <c r="T93" s="23"/>
      <c r="U93" s="40"/>
      <c r="V93" s="23"/>
      <c r="W93" s="72"/>
      <c r="X93" s="23"/>
      <c r="Y93" s="40"/>
      <c r="Z93" s="23"/>
      <c r="AA93" s="72"/>
      <c r="AB93" s="23"/>
      <c r="AC93" s="40"/>
      <c r="AD93" s="23"/>
      <c r="AE93" s="23"/>
    </row>
    <row r="94" spans="1:31">
      <c r="A94" s="23"/>
      <c r="B94" s="166"/>
      <c r="C94" s="70"/>
      <c r="D94" s="170"/>
      <c r="E94" s="184"/>
      <c r="F94" s="167"/>
      <c r="G94" s="183"/>
      <c r="H94" s="67"/>
      <c r="I94" s="67"/>
      <c r="J94" s="182"/>
      <c r="K94" s="183"/>
      <c r="L94" s="183"/>
      <c r="M94" s="70"/>
      <c r="N94" s="182"/>
      <c r="O94" s="40"/>
      <c r="P94" s="23"/>
      <c r="Q94" s="23"/>
      <c r="R94" s="72"/>
      <c r="S94" s="72"/>
      <c r="T94" s="23"/>
      <c r="U94" s="40"/>
      <c r="V94" s="23"/>
      <c r="W94" s="72"/>
      <c r="X94" s="23"/>
      <c r="Y94" s="40"/>
      <c r="Z94" s="23"/>
      <c r="AA94" s="72"/>
      <c r="AB94" s="23"/>
      <c r="AC94" s="40"/>
      <c r="AD94" s="23"/>
      <c r="AE94" s="23"/>
    </row>
    <row r="95" spans="1:31">
      <c r="A95" s="23"/>
      <c r="B95" s="166"/>
      <c r="C95" s="70"/>
      <c r="D95" s="170"/>
      <c r="E95" s="184"/>
      <c r="F95" s="167"/>
      <c r="G95" s="183"/>
      <c r="H95" s="67"/>
      <c r="I95" s="67"/>
      <c r="J95" s="177"/>
      <c r="K95" s="183"/>
      <c r="L95" s="183"/>
      <c r="M95" s="176"/>
      <c r="N95" s="177"/>
      <c r="O95" s="40"/>
      <c r="P95" s="23"/>
      <c r="Q95" s="23"/>
      <c r="R95" s="72"/>
      <c r="S95" s="72"/>
      <c r="T95" s="23"/>
      <c r="U95" s="40"/>
      <c r="V95" s="23"/>
      <c r="W95" s="72"/>
      <c r="X95" s="23"/>
      <c r="Y95" s="40"/>
      <c r="Z95" s="23"/>
      <c r="AA95" s="72"/>
      <c r="AB95" s="23"/>
      <c r="AC95" s="40"/>
      <c r="AD95" s="23"/>
      <c r="AE95" s="23"/>
    </row>
    <row r="96" spans="1:31">
      <c r="A96" s="23"/>
      <c r="B96" s="166"/>
      <c r="C96" s="70"/>
      <c r="D96" s="170"/>
      <c r="E96" s="184"/>
      <c r="F96" s="167"/>
      <c r="G96" s="183"/>
      <c r="H96" s="67"/>
      <c r="I96" s="67"/>
      <c r="J96" s="182"/>
      <c r="K96" s="183"/>
      <c r="L96" s="176"/>
      <c r="M96" s="176"/>
      <c r="N96" s="177"/>
      <c r="O96" s="40"/>
      <c r="P96" s="23"/>
      <c r="Q96" s="23"/>
      <c r="R96" s="72"/>
      <c r="S96" s="72"/>
      <c r="T96" s="23"/>
      <c r="U96" s="40"/>
      <c r="V96" s="23"/>
      <c r="W96" s="72"/>
      <c r="X96" s="23"/>
      <c r="Y96" s="40"/>
      <c r="Z96" s="23"/>
      <c r="AA96" s="72"/>
      <c r="AB96" s="23"/>
      <c r="AC96" s="40"/>
      <c r="AD96" s="23"/>
      <c r="AE96" s="23"/>
    </row>
    <row r="97" spans="1:31">
      <c r="A97" s="23"/>
      <c r="B97" s="166"/>
      <c r="C97" s="70"/>
      <c r="D97" s="170"/>
      <c r="E97" s="184"/>
      <c r="F97" s="167"/>
      <c r="G97" s="183"/>
      <c r="H97" s="67"/>
      <c r="I97" s="67"/>
      <c r="J97" s="177"/>
      <c r="K97" s="183"/>
      <c r="L97" s="173"/>
      <c r="M97" s="173"/>
      <c r="N97" s="182"/>
      <c r="O97" s="40"/>
      <c r="P97" s="23"/>
      <c r="Q97" s="23"/>
      <c r="R97" s="72"/>
      <c r="S97" s="72"/>
      <c r="T97" s="23"/>
      <c r="U97" s="40"/>
      <c r="V97" s="23"/>
      <c r="W97" s="72"/>
      <c r="X97" s="23"/>
      <c r="Y97" s="40"/>
      <c r="Z97" s="23"/>
      <c r="AA97" s="72"/>
      <c r="AB97" s="23"/>
      <c r="AC97" s="40"/>
      <c r="AD97" s="23"/>
      <c r="AE97" s="23"/>
    </row>
    <row r="98" spans="1:31">
      <c r="A98" s="23"/>
      <c r="B98" s="166"/>
      <c r="C98" s="70"/>
      <c r="D98" s="170"/>
      <c r="E98" s="184"/>
      <c r="F98" s="167"/>
      <c r="G98" s="183"/>
      <c r="H98" s="67"/>
      <c r="I98" s="67"/>
      <c r="J98" s="186"/>
      <c r="K98" s="183"/>
      <c r="L98" s="183"/>
      <c r="M98" s="173"/>
      <c r="N98" s="182"/>
      <c r="O98" s="40"/>
      <c r="P98" s="23"/>
      <c r="Q98" s="23"/>
      <c r="R98" s="72"/>
      <c r="S98" s="72"/>
      <c r="T98" s="23"/>
      <c r="U98" s="40"/>
      <c r="V98" s="23"/>
      <c r="W98" s="72"/>
      <c r="X98" s="23"/>
      <c r="Y98" s="40"/>
      <c r="Z98" s="23"/>
      <c r="AA98" s="72"/>
      <c r="AB98" s="23"/>
      <c r="AC98" s="40"/>
      <c r="AD98" s="23"/>
      <c r="AE98" s="23"/>
    </row>
    <row r="99" spans="1:31">
      <c r="A99" s="23"/>
      <c r="B99" s="166"/>
      <c r="C99" s="70"/>
      <c r="D99" s="170"/>
      <c r="E99" s="184"/>
      <c r="F99" s="167"/>
      <c r="G99" s="183"/>
      <c r="H99" s="67"/>
      <c r="I99" s="67"/>
      <c r="J99" s="177"/>
      <c r="K99" s="183"/>
      <c r="L99" s="183"/>
      <c r="M99" s="173"/>
      <c r="N99" s="177"/>
      <c r="O99" s="40"/>
      <c r="P99" s="23"/>
      <c r="Q99" s="23"/>
      <c r="R99" s="72"/>
      <c r="S99" s="72"/>
      <c r="T99" s="23"/>
      <c r="U99" s="40"/>
      <c r="V99" s="23"/>
      <c r="W99" s="72"/>
      <c r="X99" s="23"/>
      <c r="Y99" s="40"/>
      <c r="Z99" s="23"/>
      <c r="AA99" s="72"/>
      <c r="AB99" s="23"/>
      <c r="AC99" s="40"/>
      <c r="AD99" s="23"/>
      <c r="AE99" s="23"/>
    </row>
    <row r="100" spans="1:31">
      <c r="A100" s="23"/>
      <c r="B100" s="166"/>
      <c r="C100" s="70"/>
      <c r="D100" s="170"/>
      <c r="E100" s="184"/>
      <c r="F100" s="167"/>
      <c r="G100" s="183"/>
      <c r="H100" s="67"/>
      <c r="I100" s="67"/>
      <c r="J100" s="177"/>
      <c r="K100" s="183"/>
      <c r="L100" s="172"/>
      <c r="M100" s="171"/>
      <c r="N100" s="177"/>
      <c r="O100" s="40"/>
      <c r="P100" s="23"/>
      <c r="Q100" s="23"/>
      <c r="R100" s="72"/>
      <c r="S100" s="72"/>
      <c r="T100" s="23"/>
      <c r="U100" s="40"/>
      <c r="V100" s="23"/>
      <c r="W100" s="72"/>
      <c r="X100" s="23"/>
      <c r="Y100" s="40"/>
      <c r="Z100" s="23"/>
      <c r="AA100" s="72"/>
      <c r="AB100" s="23"/>
      <c r="AC100" s="40"/>
      <c r="AD100" s="23"/>
      <c r="AE100" s="23"/>
    </row>
    <row r="101" spans="1:31">
      <c r="A101" s="23"/>
      <c r="B101" s="166"/>
      <c r="C101" s="70"/>
      <c r="D101" s="170"/>
      <c r="E101" s="184"/>
      <c r="F101" s="167"/>
      <c r="G101" s="183"/>
      <c r="H101" s="67"/>
      <c r="I101" s="67"/>
      <c r="J101" s="177"/>
      <c r="K101" s="176"/>
      <c r="L101" s="172"/>
      <c r="M101" s="172"/>
      <c r="N101" s="177"/>
      <c r="O101" s="40"/>
      <c r="P101" s="23"/>
      <c r="Q101" s="23"/>
      <c r="R101" s="72"/>
      <c r="S101" s="72"/>
      <c r="T101" s="23"/>
      <c r="U101" s="40"/>
      <c r="V101" s="23"/>
      <c r="W101" s="72"/>
      <c r="X101" s="23"/>
      <c r="Y101" s="40"/>
      <c r="Z101" s="23"/>
      <c r="AA101" s="72"/>
      <c r="AB101" s="23"/>
      <c r="AC101" s="40"/>
      <c r="AD101" s="23"/>
      <c r="AE101" s="23"/>
    </row>
    <row r="102" spans="1:31">
      <c r="A102" s="23"/>
      <c r="B102" s="166"/>
      <c r="C102" s="70"/>
      <c r="D102" s="170"/>
      <c r="E102" s="184"/>
      <c r="F102" s="167"/>
      <c r="G102" s="183"/>
      <c r="H102" s="67"/>
      <c r="I102" s="67"/>
      <c r="J102" s="177"/>
      <c r="K102" s="176"/>
      <c r="L102" s="172"/>
      <c r="M102" s="172"/>
      <c r="N102" s="177"/>
      <c r="O102" s="40"/>
      <c r="P102" s="23"/>
      <c r="Q102" s="23"/>
      <c r="R102" s="72"/>
      <c r="S102" s="72"/>
      <c r="T102" s="23"/>
      <c r="U102" s="40"/>
      <c r="V102" s="23"/>
      <c r="W102" s="72"/>
      <c r="X102" s="23"/>
      <c r="Y102" s="40"/>
      <c r="Z102" s="23"/>
      <c r="AA102" s="72"/>
      <c r="AB102" s="23"/>
      <c r="AC102" s="40"/>
      <c r="AD102" s="23"/>
      <c r="AE102" s="23"/>
    </row>
    <row r="103" spans="1:31">
      <c r="A103" s="23"/>
      <c r="B103" s="166"/>
      <c r="C103" s="70"/>
      <c r="D103" s="170"/>
      <c r="E103" s="184"/>
      <c r="F103" s="167"/>
      <c r="G103" s="183"/>
      <c r="H103" s="67"/>
      <c r="I103" s="67"/>
      <c r="J103" s="177"/>
      <c r="K103" s="176"/>
      <c r="L103" s="172"/>
      <c r="M103" s="172"/>
      <c r="N103" s="177"/>
      <c r="O103" s="40"/>
      <c r="P103" s="23"/>
      <c r="Q103" s="23"/>
      <c r="R103" s="72"/>
      <c r="S103" s="72"/>
      <c r="T103" s="23"/>
      <c r="U103" s="40"/>
      <c r="V103" s="23"/>
      <c r="W103" s="72"/>
      <c r="X103" s="23"/>
      <c r="Y103" s="40"/>
      <c r="Z103" s="23"/>
      <c r="AA103" s="72"/>
      <c r="AB103" s="23"/>
      <c r="AC103" s="40"/>
      <c r="AD103" s="23"/>
      <c r="AE103" s="23"/>
    </row>
    <row r="104" spans="1:31">
      <c r="A104" s="23"/>
      <c r="B104" s="166"/>
      <c r="C104" s="70"/>
      <c r="D104" s="170"/>
      <c r="E104" s="184"/>
      <c r="F104" s="167"/>
      <c r="G104" s="183"/>
      <c r="H104" s="67"/>
      <c r="I104" s="67"/>
      <c r="J104" s="177"/>
      <c r="K104" s="176"/>
      <c r="L104" s="172"/>
      <c r="M104" s="174"/>
      <c r="N104" s="177"/>
      <c r="O104" s="40"/>
      <c r="P104" s="23"/>
      <c r="Q104" s="23"/>
      <c r="R104" s="72"/>
      <c r="S104" s="72"/>
      <c r="T104" s="23"/>
      <c r="U104" s="40"/>
      <c r="V104" s="23"/>
      <c r="W104" s="72"/>
      <c r="X104" s="23"/>
      <c r="Y104" s="40"/>
      <c r="Z104" s="23"/>
      <c r="AA104" s="72"/>
      <c r="AB104" s="23"/>
      <c r="AC104" s="40"/>
      <c r="AD104" s="23"/>
      <c r="AE104" s="23"/>
    </row>
    <row r="105" spans="1:31">
      <c r="A105" s="23"/>
      <c r="B105" s="166"/>
      <c r="C105" s="70"/>
      <c r="D105" s="170"/>
      <c r="E105" s="184"/>
      <c r="F105" s="167"/>
      <c r="G105" s="183"/>
      <c r="H105" s="67"/>
      <c r="I105" s="67"/>
      <c r="J105" s="177"/>
      <c r="K105" s="183"/>
      <c r="L105" s="176"/>
      <c r="M105" s="173"/>
      <c r="N105" s="177"/>
      <c r="O105" s="40"/>
      <c r="P105" s="23"/>
      <c r="Q105" s="23"/>
      <c r="R105" s="72"/>
      <c r="S105" s="72"/>
      <c r="T105" s="23"/>
      <c r="U105" s="40"/>
      <c r="V105" s="23"/>
      <c r="W105" s="72"/>
      <c r="X105" s="23"/>
      <c r="Y105" s="40"/>
      <c r="Z105" s="23"/>
      <c r="AA105" s="72"/>
      <c r="AB105" s="23"/>
      <c r="AC105" s="40"/>
      <c r="AD105" s="23"/>
      <c r="AE105" s="23"/>
    </row>
    <row r="106" spans="1:31">
      <c r="A106" s="23"/>
      <c r="B106" s="166"/>
      <c r="C106" s="70"/>
      <c r="D106" s="170"/>
      <c r="E106" s="184"/>
      <c r="F106" s="167"/>
      <c r="G106" s="183"/>
      <c r="H106" s="67"/>
      <c r="I106" s="67"/>
      <c r="J106" s="177"/>
      <c r="K106" s="183"/>
      <c r="L106" s="176"/>
      <c r="M106" s="176"/>
      <c r="N106" s="177"/>
      <c r="O106" s="40"/>
      <c r="P106" s="23"/>
      <c r="Q106" s="23"/>
      <c r="R106" s="72"/>
      <c r="S106" s="72"/>
      <c r="T106" s="23"/>
      <c r="U106" s="40"/>
      <c r="V106" s="23"/>
      <c r="W106" s="72"/>
      <c r="X106" s="23"/>
      <c r="Y106" s="40"/>
      <c r="Z106" s="23"/>
      <c r="AA106" s="72"/>
      <c r="AB106" s="23"/>
      <c r="AC106" s="40"/>
      <c r="AD106" s="23"/>
      <c r="AE106" s="23"/>
    </row>
    <row r="107" spans="1:31">
      <c r="A107" s="23"/>
      <c r="B107" s="166"/>
      <c r="C107" s="70"/>
      <c r="D107" s="170"/>
      <c r="E107" s="178"/>
      <c r="F107" s="167"/>
      <c r="G107" s="176"/>
      <c r="H107" s="67"/>
      <c r="I107" s="67"/>
      <c r="J107" s="177"/>
      <c r="K107" s="176"/>
      <c r="L107" s="176"/>
      <c r="M107" s="176"/>
      <c r="N107" s="177"/>
      <c r="O107" s="40"/>
      <c r="P107" s="23"/>
      <c r="Q107" s="23"/>
      <c r="R107" s="72"/>
      <c r="S107" s="72"/>
      <c r="T107" s="23"/>
      <c r="U107" s="40"/>
      <c r="V107" s="23"/>
      <c r="W107" s="72"/>
      <c r="X107" s="23"/>
      <c r="Y107" s="40"/>
      <c r="Z107" s="23"/>
      <c r="AA107" s="72"/>
      <c r="AB107" s="23"/>
      <c r="AC107" s="40"/>
      <c r="AD107" s="23"/>
      <c r="AE107" s="23"/>
    </row>
    <row r="108" spans="1:31">
      <c r="A108" s="23"/>
      <c r="B108" s="166"/>
      <c r="C108" s="70"/>
      <c r="D108" s="170"/>
      <c r="E108" s="178"/>
      <c r="F108" s="167"/>
      <c r="G108" s="176"/>
      <c r="H108" s="67"/>
      <c r="I108" s="71"/>
      <c r="J108" s="177"/>
      <c r="K108" s="176"/>
      <c r="L108" s="173"/>
      <c r="M108" s="173"/>
      <c r="N108" s="177"/>
      <c r="O108" s="40"/>
      <c r="P108" s="23"/>
      <c r="Q108" s="23"/>
      <c r="R108" s="72"/>
      <c r="S108" s="72"/>
      <c r="T108" s="23"/>
      <c r="U108" s="40"/>
      <c r="V108" s="23"/>
      <c r="W108" s="72"/>
      <c r="X108" s="23"/>
      <c r="Y108" s="40"/>
      <c r="Z108" s="23"/>
      <c r="AA108" s="72"/>
      <c r="AB108" s="23"/>
      <c r="AC108" s="40"/>
      <c r="AD108" s="23"/>
      <c r="AE108" s="23"/>
    </row>
    <row r="109" spans="1:31">
      <c r="A109" s="23"/>
      <c r="B109" s="166"/>
      <c r="C109" s="70"/>
      <c r="D109" s="170"/>
      <c r="E109" s="178"/>
      <c r="F109" s="167"/>
      <c r="G109" s="176"/>
      <c r="H109" s="67"/>
      <c r="I109" s="71"/>
      <c r="J109" s="177"/>
      <c r="K109" s="176"/>
      <c r="L109" s="174"/>
      <c r="M109" s="174"/>
      <c r="N109" s="174"/>
      <c r="O109" s="40"/>
      <c r="P109" s="23"/>
      <c r="Q109" s="23"/>
      <c r="R109" s="72"/>
      <c r="S109" s="72"/>
      <c r="T109" s="23"/>
      <c r="U109" s="40"/>
      <c r="V109" s="23"/>
      <c r="W109" s="72"/>
      <c r="X109" s="23"/>
      <c r="Y109" s="40"/>
      <c r="Z109" s="23"/>
      <c r="AA109" s="72"/>
      <c r="AB109" s="23"/>
      <c r="AC109" s="40"/>
      <c r="AD109" s="23"/>
      <c r="AE109" s="23"/>
    </row>
    <row r="110" spans="1:31">
      <c r="A110" s="23"/>
      <c r="B110" s="166"/>
      <c r="C110" s="70"/>
      <c r="D110" s="170"/>
      <c r="E110" s="178"/>
      <c r="F110" s="167"/>
      <c r="G110" s="176"/>
      <c r="H110" s="67"/>
      <c r="I110" s="71"/>
      <c r="J110" s="177"/>
      <c r="K110" s="176"/>
      <c r="L110" s="174"/>
      <c r="M110" s="174"/>
      <c r="N110" s="174"/>
      <c r="O110" s="40"/>
      <c r="P110" s="23"/>
      <c r="Q110" s="23"/>
      <c r="R110" s="72"/>
      <c r="S110" s="72"/>
      <c r="T110" s="23"/>
      <c r="U110" s="40"/>
      <c r="V110" s="23"/>
      <c r="W110" s="72"/>
      <c r="X110" s="23"/>
      <c r="Y110" s="40"/>
      <c r="Z110" s="23"/>
      <c r="AA110" s="72"/>
      <c r="AB110" s="23"/>
      <c r="AC110" s="40"/>
      <c r="AD110" s="23"/>
      <c r="AE110" s="23"/>
    </row>
    <row r="111" spans="1:31">
      <c r="A111" s="23"/>
      <c r="B111" s="64"/>
      <c r="C111" s="62"/>
      <c r="D111" s="65"/>
      <c r="E111" s="66"/>
      <c r="F111" s="65"/>
      <c r="G111" s="67"/>
      <c r="H111" s="67"/>
      <c r="I111" s="71"/>
      <c r="J111" s="70"/>
      <c r="K111" s="23"/>
      <c r="L111" s="70"/>
      <c r="M111" s="70"/>
      <c r="N111" s="70"/>
      <c r="O111" s="40"/>
      <c r="P111" s="23"/>
      <c r="Q111" s="23"/>
      <c r="R111" s="72"/>
      <c r="S111" s="72"/>
      <c r="T111" s="23"/>
      <c r="U111" s="40"/>
      <c r="V111" s="23"/>
      <c r="W111" s="72"/>
      <c r="X111" s="23"/>
      <c r="Y111" s="40"/>
      <c r="Z111" s="23"/>
      <c r="AA111" s="72"/>
      <c r="AB111" s="23"/>
      <c r="AC111" s="40"/>
      <c r="AD111" s="23"/>
      <c r="AE111" s="23"/>
    </row>
    <row r="112" spans="1:31">
      <c r="A112" s="23"/>
      <c r="B112" s="64"/>
      <c r="C112" s="62"/>
      <c r="D112" s="65"/>
      <c r="E112" s="66"/>
      <c r="F112" s="65"/>
      <c r="G112" s="67"/>
      <c r="H112" s="67"/>
      <c r="I112" s="71"/>
      <c r="J112" s="70"/>
      <c r="K112" s="23"/>
      <c r="L112" s="70"/>
      <c r="M112" s="70"/>
      <c r="N112" s="70"/>
      <c r="O112" s="40"/>
      <c r="P112" s="23"/>
      <c r="Q112" s="23"/>
      <c r="R112" s="72"/>
      <c r="S112" s="72"/>
      <c r="T112" s="23"/>
      <c r="U112" s="40"/>
      <c r="V112" s="23"/>
      <c r="W112" s="72"/>
      <c r="X112" s="23"/>
      <c r="Y112" s="40"/>
      <c r="Z112" s="23"/>
      <c r="AA112" s="72"/>
      <c r="AB112" s="23"/>
      <c r="AC112" s="40"/>
      <c r="AD112" s="23"/>
      <c r="AE112" s="23"/>
    </row>
    <row r="113" spans="1:31">
      <c r="A113" s="23"/>
      <c r="B113" s="64"/>
      <c r="C113" s="62"/>
      <c r="D113" s="65"/>
      <c r="E113" s="66"/>
      <c r="F113" s="65"/>
      <c r="G113" s="67"/>
      <c r="H113" s="67"/>
      <c r="I113" s="71"/>
      <c r="J113" s="70"/>
      <c r="K113" s="23"/>
      <c r="L113" s="70"/>
      <c r="M113" s="70"/>
      <c r="N113" s="70"/>
      <c r="O113" s="40"/>
      <c r="P113" s="23"/>
      <c r="Q113" s="23"/>
      <c r="R113" s="72"/>
      <c r="S113" s="72"/>
      <c r="T113" s="23"/>
      <c r="U113" s="40"/>
      <c r="V113" s="23"/>
      <c r="W113" s="72"/>
      <c r="X113" s="23"/>
      <c r="Y113" s="40"/>
      <c r="Z113" s="23"/>
      <c r="AA113" s="72"/>
      <c r="AB113" s="23"/>
      <c r="AC113" s="40"/>
      <c r="AD113" s="23"/>
      <c r="AE113" s="23"/>
    </row>
    <row r="114" spans="1:31">
      <c r="A114" s="23"/>
      <c r="B114" s="64"/>
      <c r="C114" s="62"/>
      <c r="D114" s="65"/>
      <c r="E114" s="66"/>
      <c r="F114" s="65"/>
      <c r="G114" s="67"/>
      <c r="H114" s="67"/>
      <c r="I114" s="71"/>
      <c r="J114" s="70"/>
      <c r="K114" s="23"/>
      <c r="L114" s="70"/>
      <c r="M114" s="70"/>
      <c r="N114" s="70"/>
      <c r="O114" s="40"/>
      <c r="P114" s="23"/>
      <c r="Q114" s="23"/>
      <c r="R114" s="72"/>
      <c r="S114" s="72"/>
      <c r="T114" s="23"/>
      <c r="U114" s="40"/>
      <c r="V114" s="23"/>
      <c r="W114" s="72"/>
      <c r="X114" s="23"/>
      <c r="Y114" s="40"/>
      <c r="Z114" s="23"/>
      <c r="AA114" s="72"/>
      <c r="AB114" s="23"/>
      <c r="AC114" s="40"/>
      <c r="AD114" s="23"/>
      <c r="AE114" s="23"/>
    </row>
    <row r="115" spans="1:31">
      <c r="A115" s="23"/>
      <c r="B115" s="64"/>
      <c r="C115" s="62"/>
      <c r="D115" s="65"/>
      <c r="E115" s="66"/>
      <c r="F115" s="65"/>
      <c r="G115" s="67"/>
      <c r="H115" s="67"/>
      <c r="I115" s="71"/>
      <c r="J115" s="70"/>
      <c r="K115" s="23"/>
      <c r="L115" s="70"/>
      <c r="M115" s="70"/>
      <c r="N115" s="70"/>
      <c r="O115" s="40"/>
      <c r="P115" s="23"/>
      <c r="Q115" s="23"/>
      <c r="R115" s="72"/>
      <c r="S115" s="72"/>
      <c r="T115" s="23"/>
      <c r="U115" s="40"/>
      <c r="V115" s="23"/>
      <c r="W115" s="72"/>
      <c r="X115" s="23"/>
      <c r="Y115" s="40"/>
      <c r="Z115" s="23"/>
      <c r="AA115" s="72"/>
      <c r="AB115" s="23"/>
      <c r="AC115" s="40"/>
      <c r="AD115" s="23"/>
      <c r="AE115" s="23"/>
    </row>
    <row r="116" spans="1:31">
      <c r="A116" s="23"/>
      <c r="B116" s="64"/>
      <c r="C116" s="62"/>
      <c r="D116" s="65"/>
      <c r="E116" s="66"/>
      <c r="F116" s="65"/>
      <c r="G116" s="67"/>
      <c r="H116" s="67"/>
      <c r="I116" s="71"/>
      <c r="J116" s="70"/>
      <c r="K116" s="23"/>
      <c r="L116" s="70"/>
      <c r="M116" s="70"/>
      <c r="N116" s="70"/>
      <c r="O116" s="40"/>
      <c r="P116" s="23"/>
      <c r="Q116" s="23"/>
      <c r="R116" s="72"/>
      <c r="S116" s="72"/>
      <c r="T116" s="23"/>
      <c r="U116" s="40"/>
      <c r="V116" s="23"/>
      <c r="W116" s="72"/>
      <c r="X116" s="23"/>
      <c r="Y116" s="40"/>
      <c r="Z116" s="23"/>
      <c r="AA116" s="72"/>
      <c r="AB116" s="23"/>
      <c r="AC116" s="40"/>
      <c r="AD116" s="23"/>
      <c r="AE116" s="23"/>
    </row>
    <row r="117" spans="1:31">
      <c r="A117" s="23"/>
      <c r="B117" s="64"/>
      <c r="C117" s="62"/>
      <c r="D117" s="65"/>
      <c r="E117" s="66"/>
      <c r="F117" s="65"/>
      <c r="G117" s="67"/>
      <c r="H117" s="67"/>
      <c r="I117" s="71"/>
      <c r="J117" s="70"/>
      <c r="K117" s="23"/>
      <c r="L117" s="70"/>
      <c r="M117" s="70"/>
      <c r="N117" s="70"/>
      <c r="O117" s="40"/>
      <c r="P117" s="23"/>
      <c r="Q117" s="23"/>
      <c r="R117" s="72"/>
      <c r="S117" s="72"/>
      <c r="T117" s="23"/>
      <c r="U117" s="40"/>
      <c r="V117" s="23"/>
      <c r="W117" s="72"/>
      <c r="X117" s="23"/>
      <c r="Y117" s="40"/>
      <c r="Z117" s="23"/>
      <c r="AA117" s="72"/>
      <c r="AB117" s="23"/>
      <c r="AC117" s="40"/>
      <c r="AD117" s="23"/>
      <c r="AE117" s="23"/>
    </row>
    <row r="118" spans="1:31">
      <c r="A118" s="23"/>
      <c r="B118" s="64"/>
      <c r="C118" s="62"/>
      <c r="D118" s="65"/>
      <c r="E118" s="66"/>
      <c r="F118" s="65"/>
      <c r="G118" s="67"/>
      <c r="H118" s="67"/>
      <c r="I118" s="71"/>
      <c r="J118" s="70"/>
      <c r="K118" s="23"/>
      <c r="L118" s="70"/>
      <c r="M118" s="70"/>
      <c r="N118" s="70"/>
      <c r="O118" s="40"/>
      <c r="P118" s="23"/>
      <c r="Q118" s="23"/>
      <c r="R118" s="72"/>
      <c r="S118" s="72"/>
      <c r="T118" s="23"/>
      <c r="U118" s="40"/>
      <c r="V118" s="23"/>
      <c r="W118" s="72"/>
      <c r="X118" s="23"/>
      <c r="Y118" s="40"/>
      <c r="Z118" s="23"/>
      <c r="AA118" s="72"/>
      <c r="AB118" s="23"/>
      <c r="AC118" s="40"/>
      <c r="AD118" s="23"/>
      <c r="AE118" s="23"/>
    </row>
    <row r="119" spans="1:31">
      <c r="A119" s="23"/>
      <c r="B119" s="64"/>
      <c r="C119" s="62"/>
      <c r="D119" s="65"/>
      <c r="E119" s="66"/>
      <c r="F119" s="65"/>
      <c r="G119" s="67"/>
      <c r="H119" s="67"/>
      <c r="I119" s="71"/>
      <c r="J119" s="70"/>
      <c r="K119" s="23"/>
      <c r="L119" s="70"/>
      <c r="M119" s="70"/>
      <c r="N119" s="70"/>
      <c r="O119" s="40"/>
      <c r="P119" s="23"/>
      <c r="Q119" s="23"/>
      <c r="R119" s="72"/>
      <c r="S119" s="72"/>
      <c r="T119" s="23"/>
      <c r="U119" s="40"/>
      <c r="V119" s="23"/>
      <c r="W119" s="72"/>
      <c r="X119" s="23"/>
      <c r="Y119" s="40"/>
      <c r="Z119" s="23"/>
      <c r="AA119" s="72"/>
      <c r="AB119" s="23"/>
      <c r="AC119" s="40"/>
      <c r="AD119" s="23"/>
      <c r="AE119" s="23"/>
    </row>
    <row r="120" spans="1:31">
      <c r="A120" s="23"/>
      <c r="B120" s="64"/>
      <c r="C120" s="62"/>
      <c r="D120" s="65"/>
      <c r="E120" s="66"/>
      <c r="F120" s="65"/>
      <c r="G120" s="67"/>
      <c r="H120" s="67"/>
      <c r="I120" s="71"/>
      <c r="J120" s="70"/>
      <c r="K120" s="23"/>
      <c r="L120" s="70"/>
      <c r="M120" s="70"/>
      <c r="N120" s="70"/>
      <c r="O120" s="40"/>
      <c r="P120" s="23"/>
      <c r="Q120" s="23"/>
      <c r="R120" s="72"/>
      <c r="S120" s="72"/>
      <c r="T120" s="23"/>
      <c r="U120" s="40"/>
      <c r="V120" s="23"/>
      <c r="W120" s="72"/>
      <c r="X120" s="23"/>
      <c r="Y120" s="40"/>
      <c r="Z120" s="23"/>
      <c r="AA120" s="72"/>
      <c r="AB120" s="23"/>
      <c r="AC120" s="40"/>
      <c r="AD120" s="23"/>
      <c r="AE120" s="23"/>
    </row>
    <row r="121" spans="1:31">
      <c r="A121" s="23"/>
      <c r="B121" s="64"/>
      <c r="C121" s="62"/>
      <c r="D121" s="65"/>
      <c r="E121" s="66"/>
      <c r="F121" s="65"/>
      <c r="G121" s="67"/>
      <c r="H121" s="67"/>
      <c r="I121" s="71"/>
      <c r="J121" s="70"/>
      <c r="K121" s="23"/>
      <c r="L121" s="70"/>
      <c r="M121" s="70"/>
      <c r="N121" s="70"/>
      <c r="O121" s="40"/>
      <c r="P121" s="23"/>
      <c r="Q121" s="23"/>
      <c r="R121" s="72"/>
      <c r="S121" s="72"/>
      <c r="T121" s="23"/>
      <c r="U121" s="40"/>
      <c r="V121" s="23"/>
      <c r="W121" s="72"/>
      <c r="X121" s="23"/>
      <c r="Y121" s="40"/>
      <c r="Z121" s="23"/>
      <c r="AA121" s="72"/>
      <c r="AB121" s="23"/>
      <c r="AC121" s="40"/>
      <c r="AD121" s="23"/>
      <c r="AE121" s="23"/>
    </row>
    <row r="122" spans="1:31">
      <c r="A122" s="23"/>
      <c r="B122" s="64"/>
      <c r="C122" s="62"/>
      <c r="D122" s="65"/>
      <c r="E122" s="66"/>
      <c r="F122" s="65"/>
      <c r="G122" s="67"/>
      <c r="H122" s="67"/>
      <c r="I122" s="71"/>
      <c r="J122" s="70"/>
      <c r="K122" s="23"/>
      <c r="L122" s="70"/>
      <c r="M122" s="70"/>
      <c r="N122" s="70"/>
      <c r="O122" s="40"/>
      <c r="P122" s="23"/>
      <c r="Q122" s="23"/>
      <c r="R122" s="72"/>
      <c r="S122" s="72"/>
      <c r="T122" s="23"/>
      <c r="U122" s="40"/>
      <c r="V122" s="23"/>
      <c r="W122" s="72"/>
      <c r="X122" s="23"/>
      <c r="Y122" s="40"/>
      <c r="Z122" s="23"/>
      <c r="AA122" s="72"/>
      <c r="AB122" s="23"/>
      <c r="AC122" s="40"/>
      <c r="AD122" s="23"/>
      <c r="AE122" s="23"/>
    </row>
    <row r="123" spans="1:31">
      <c r="A123" s="23"/>
      <c r="B123" s="64"/>
      <c r="C123" s="62"/>
      <c r="D123" s="65"/>
      <c r="E123" s="66"/>
      <c r="F123" s="65"/>
      <c r="G123" s="67"/>
      <c r="H123" s="67"/>
      <c r="I123" s="71"/>
      <c r="J123" s="70"/>
      <c r="K123" s="23"/>
      <c r="L123" s="70"/>
      <c r="M123" s="70"/>
      <c r="N123" s="70"/>
      <c r="O123" s="40"/>
      <c r="P123" s="23"/>
      <c r="Q123" s="23"/>
      <c r="R123" s="72"/>
      <c r="S123" s="72"/>
      <c r="T123" s="23"/>
      <c r="U123" s="40"/>
      <c r="V123" s="23"/>
      <c r="W123" s="72"/>
      <c r="X123" s="23"/>
      <c r="Y123" s="40"/>
      <c r="Z123" s="23"/>
      <c r="AA123" s="72"/>
      <c r="AB123" s="23"/>
      <c r="AC123" s="40"/>
      <c r="AD123" s="23"/>
      <c r="AE123" s="23"/>
    </row>
    <row r="124" spans="1:31">
      <c r="A124" s="23"/>
      <c r="B124" s="64"/>
      <c r="C124" s="62"/>
      <c r="D124" s="65"/>
      <c r="E124" s="66"/>
      <c r="F124" s="65"/>
      <c r="G124" s="67"/>
      <c r="H124" s="67"/>
      <c r="I124" s="71"/>
      <c r="J124" s="70"/>
      <c r="K124" s="23"/>
      <c r="L124" s="70"/>
      <c r="M124" s="70"/>
      <c r="N124" s="70"/>
      <c r="O124" s="40"/>
      <c r="P124" s="23"/>
      <c r="Q124" s="23"/>
      <c r="R124" s="72"/>
      <c r="S124" s="72"/>
      <c r="T124" s="23"/>
      <c r="U124" s="40"/>
      <c r="V124" s="23"/>
      <c r="W124" s="72"/>
      <c r="X124" s="23"/>
      <c r="Y124" s="40"/>
      <c r="Z124" s="23"/>
      <c r="AA124" s="72"/>
      <c r="AB124" s="23"/>
      <c r="AC124" s="40"/>
      <c r="AD124" s="23"/>
      <c r="AE124" s="23"/>
    </row>
    <row r="125" spans="1:31">
      <c r="A125" s="23"/>
      <c r="B125" s="64"/>
      <c r="C125" s="62"/>
      <c r="D125" s="65"/>
      <c r="E125" s="66"/>
      <c r="F125" s="65"/>
      <c r="G125" s="67"/>
      <c r="H125" s="67"/>
      <c r="I125" s="71"/>
      <c r="J125" s="70"/>
      <c r="K125" s="23"/>
      <c r="L125" s="70"/>
      <c r="M125" s="70"/>
      <c r="N125" s="70"/>
      <c r="O125" s="40"/>
      <c r="P125" s="23"/>
      <c r="Q125" s="23"/>
      <c r="R125" s="72"/>
      <c r="S125" s="72"/>
      <c r="T125" s="23"/>
      <c r="U125" s="40"/>
      <c r="V125" s="23"/>
      <c r="W125" s="72"/>
      <c r="X125" s="23"/>
      <c r="Y125" s="40"/>
      <c r="Z125" s="23"/>
      <c r="AA125" s="72"/>
      <c r="AB125" s="23"/>
      <c r="AC125" s="40"/>
      <c r="AD125" s="23"/>
      <c r="AE125" s="23"/>
    </row>
    <row r="126" spans="1:31">
      <c r="A126" s="23"/>
      <c r="B126" s="64"/>
      <c r="C126" s="62"/>
      <c r="D126" s="65"/>
      <c r="E126" s="66"/>
      <c r="F126" s="65"/>
      <c r="G126" s="67"/>
      <c r="H126" s="67"/>
      <c r="I126" s="71"/>
      <c r="J126" s="70"/>
      <c r="K126" s="23"/>
      <c r="L126" s="70"/>
      <c r="M126" s="70"/>
      <c r="N126" s="70"/>
      <c r="O126" s="40"/>
      <c r="P126" s="23"/>
      <c r="Q126" s="23"/>
      <c r="R126" s="72"/>
      <c r="S126" s="72"/>
      <c r="T126" s="23"/>
      <c r="U126" s="40"/>
      <c r="V126" s="23"/>
      <c r="W126" s="72"/>
      <c r="X126" s="23"/>
      <c r="Y126" s="40"/>
      <c r="Z126" s="23"/>
      <c r="AA126" s="72"/>
      <c r="AB126" s="23"/>
      <c r="AC126" s="40"/>
      <c r="AD126" s="23"/>
      <c r="AE126" s="23"/>
    </row>
    <row r="127" spans="1:31">
      <c r="A127" s="23"/>
      <c r="B127" s="64"/>
      <c r="C127" s="62"/>
      <c r="D127" s="65"/>
      <c r="E127" s="66"/>
      <c r="F127" s="65"/>
      <c r="G127" s="67"/>
      <c r="H127" s="67"/>
      <c r="I127" s="71"/>
      <c r="J127" s="70"/>
      <c r="K127" s="23"/>
      <c r="L127" s="70"/>
      <c r="M127" s="70"/>
      <c r="N127" s="70"/>
      <c r="O127" s="40"/>
      <c r="P127" s="23"/>
      <c r="Q127" s="23"/>
      <c r="R127" s="72"/>
      <c r="S127" s="72"/>
      <c r="T127" s="23"/>
      <c r="U127" s="40"/>
      <c r="V127" s="23"/>
      <c r="W127" s="72"/>
      <c r="X127" s="23"/>
      <c r="Y127" s="40"/>
      <c r="Z127" s="23"/>
      <c r="AA127" s="72"/>
      <c r="AB127" s="23"/>
      <c r="AC127" s="40"/>
      <c r="AD127" s="23"/>
      <c r="AE127" s="23"/>
    </row>
    <row r="128" spans="1:31">
      <c r="A128" s="23"/>
      <c r="B128" s="64"/>
      <c r="C128" s="62"/>
      <c r="D128" s="65"/>
      <c r="E128" s="66"/>
      <c r="F128" s="65"/>
      <c r="G128" s="67"/>
      <c r="H128" s="67"/>
      <c r="I128" s="71"/>
      <c r="J128" s="70"/>
      <c r="K128" s="23"/>
      <c r="L128" s="70"/>
      <c r="M128" s="70"/>
      <c r="N128" s="70"/>
      <c r="O128" s="40"/>
      <c r="P128" s="23"/>
      <c r="Q128" s="23"/>
      <c r="R128" s="72"/>
      <c r="S128" s="72"/>
      <c r="T128" s="23"/>
      <c r="U128" s="40"/>
      <c r="V128" s="23"/>
      <c r="W128" s="72"/>
      <c r="X128" s="23"/>
      <c r="Y128" s="40"/>
      <c r="Z128" s="23"/>
      <c r="AA128" s="72"/>
      <c r="AB128" s="23"/>
      <c r="AC128" s="40"/>
      <c r="AD128" s="23"/>
      <c r="AE128" s="23"/>
    </row>
    <row r="129" spans="1:31">
      <c r="A129" s="23"/>
      <c r="B129" s="64"/>
      <c r="C129" s="62"/>
      <c r="D129" s="65"/>
      <c r="E129" s="66"/>
      <c r="F129" s="65"/>
      <c r="G129" s="67"/>
      <c r="H129" s="67"/>
      <c r="I129" s="71"/>
      <c r="J129" s="70"/>
      <c r="K129" s="23"/>
      <c r="L129" s="70"/>
      <c r="M129" s="70"/>
      <c r="N129" s="70"/>
      <c r="O129" s="40"/>
      <c r="P129" s="23"/>
      <c r="Q129" s="23"/>
      <c r="R129" s="72"/>
      <c r="S129" s="72"/>
      <c r="T129" s="23"/>
      <c r="U129" s="40"/>
      <c r="V129" s="23"/>
      <c r="W129" s="72"/>
      <c r="X129" s="23"/>
      <c r="Y129" s="40"/>
      <c r="Z129" s="23"/>
      <c r="AA129" s="72"/>
      <c r="AB129" s="23"/>
      <c r="AC129" s="40"/>
      <c r="AD129" s="23"/>
      <c r="AE129" s="23"/>
    </row>
    <row r="130" spans="1:31">
      <c r="A130" s="23"/>
      <c r="B130" s="64"/>
      <c r="C130" s="62"/>
      <c r="D130" s="65"/>
      <c r="E130" s="66"/>
      <c r="F130" s="65"/>
      <c r="G130" s="67"/>
      <c r="H130" s="67"/>
      <c r="I130" s="71"/>
      <c r="J130" s="70"/>
      <c r="K130" s="23"/>
      <c r="L130" s="70"/>
      <c r="M130" s="70"/>
      <c r="N130" s="70"/>
      <c r="O130" s="40"/>
      <c r="P130" s="23"/>
      <c r="Q130" s="23"/>
      <c r="R130" s="72"/>
      <c r="S130" s="72"/>
      <c r="T130" s="23"/>
      <c r="U130" s="40"/>
      <c r="V130" s="23"/>
      <c r="W130" s="72"/>
      <c r="X130" s="23"/>
      <c r="Y130" s="40"/>
      <c r="Z130" s="23"/>
      <c r="AA130" s="72"/>
      <c r="AB130" s="23"/>
      <c r="AC130" s="40"/>
      <c r="AD130" s="23"/>
      <c r="AE130" s="23"/>
    </row>
    <row r="131" spans="1:31">
      <c r="A131" s="23"/>
      <c r="B131" s="64"/>
      <c r="C131" s="62"/>
      <c r="D131" s="65"/>
      <c r="E131" s="66"/>
      <c r="F131" s="65"/>
      <c r="G131" s="67"/>
      <c r="H131" s="67"/>
      <c r="I131" s="71"/>
      <c r="J131" s="70"/>
      <c r="K131" s="23"/>
      <c r="L131" s="70"/>
      <c r="M131" s="70"/>
      <c r="N131" s="70"/>
      <c r="O131" s="40"/>
      <c r="P131" s="23"/>
      <c r="Q131" s="23"/>
      <c r="R131" s="72"/>
      <c r="S131" s="72"/>
      <c r="T131" s="23"/>
      <c r="U131" s="40"/>
      <c r="V131" s="23"/>
      <c r="W131" s="72"/>
      <c r="X131" s="23"/>
      <c r="Y131" s="40"/>
      <c r="Z131" s="23"/>
      <c r="AA131" s="72"/>
      <c r="AB131" s="23"/>
      <c r="AC131" s="40"/>
      <c r="AD131" s="23"/>
      <c r="AE131" s="23"/>
    </row>
    <row r="132" spans="1:31">
      <c r="A132" s="23"/>
      <c r="B132" s="64"/>
      <c r="C132" s="62"/>
      <c r="D132" s="65"/>
      <c r="E132" s="66"/>
      <c r="F132" s="65"/>
      <c r="G132" s="67"/>
      <c r="H132" s="67"/>
      <c r="I132" s="71"/>
      <c r="J132" s="70"/>
      <c r="K132" s="23"/>
      <c r="L132" s="70"/>
      <c r="M132" s="70"/>
      <c r="N132" s="70"/>
      <c r="O132" s="40"/>
      <c r="P132" s="23"/>
      <c r="Q132" s="23"/>
      <c r="R132" s="72"/>
      <c r="S132" s="72"/>
      <c r="T132" s="23"/>
      <c r="U132" s="40"/>
      <c r="V132" s="23"/>
      <c r="W132" s="72"/>
      <c r="X132" s="23"/>
      <c r="Y132" s="40"/>
      <c r="Z132" s="23"/>
      <c r="AA132" s="72"/>
      <c r="AB132" s="23"/>
      <c r="AC132" s="40"/>
      <c r="AD132" s="23"/>
      <c r="AE132" s="23"/>
    </row>
    <row r="133" spans="1:31">
      <c r="A133" s="23"/>
      <c r="B133" s="64"/>
      <c r="C133" s="62"/>
      <c r="D133" s="65"/>
      <c r="E133" s="66"/>
      <c r="F133" s="65"/>
      <c r="G133" s="67"/>
      <c r="H133" s="67"/>
      <c r="I133" s="71"/>
      <c r="J133" s="70"/>
      <c r="K133" s="23"/>
      <c r="L133" s="70"/>
      <c r="M133" s="70"/>
      <c r="N133" s="70"/>
      <c r="O133" s="40"/>
      <c r="P133" s="23"/>
      <c r="Q133" s="23"/>
      <c r="R133" s="72"/>
      <c r="S133" s="72"/>
      <c r="T133" s="23"/>
      <c r="U133" s="40"/>
      <c r="V133" s="23"/>
      <c r="W133" s="72"/>
      <c r="X133" s="23"/>
      <c r="Y133" s="40"/>
      <c r="Z133" s="23"/>
      <c r="AA133" s="72"/>
      <c r="AB133" s="23"/>
      <c r="AC133" s="40"/>
      <c r="AD133" s="23"/>
      <c r="AE133" s="23"/>
    </row>
    <row r="134" spans="1:31">
      <c r="A134" s="23"/>
      <c r="B134" s="64"/>
      <c r="C134" s="62"/>
      <c r="D134" s="65"/>
      <c r="E134" s="66"/>
      <c r="F134" s="65"/>
      <c r="G134" s="67"/>
      <c r="H134" s="67"/>
      <c r="I134" s="71"/>
      <c r="J134" s="70"/>
      <c r="K134" s="23"/>
      <c r="L134" s="70"/>
      <c r="M134" s="70"/>
      <c r="N134" s="70"/>
      <c r="O134" s="40"/>
      <c r="P134" s="23"/>
      <c r="Q134" s="23"/>
      <c r="R134" s="72"/>
      <c r="S134" s="72"/>
      <c r="T134" s="23"/>
      <c r="U134" s="40"/>
      <c r="V134" s="23"/>
      <c r="W134" s="72"/>
      <c r="X134" s="23"/>
      <c r="Y134" s="40"/>
      <c r="Z134" s="23"/>
      <c r="AA134" s="72"/>
      <c r="AB134" s="23"/>
      <c r="AC134" s="40"/>
      <c r="AD134" s="23"/>
      <c r="AE134" s="23"/>
    </row>
    <row r="135" spans="1:31">
      <c r="A135" s="23"/>
      <c r="B135" s="64"/>
      <c r="C135" s="62"/>
      <c r="D135" s="65"/>
      <c r="E135" s="66"/>
      <c r="F135" s="65"/>
      <c r="G135" s="67"/>
      <c r="H135" s="67"/>
      <c r="I135" s="71"/>
      <c r="J135" s="70"/>
      <c r="K135" s="23"/>
      <c r="L135" s="70"/>
      <c r="M135" s="70"/>
      <c r="N135" s="70"/>
      <c r="O135" s="40"/>
      <c r="P135" s="23"/>
      <c r="Q135" s="23"/>
      <c r="R135" s="72"/>
      <c r="S135" s="72"/>
      <c r="T135" s="23"/>
      <c r="U135" s="40"/>
      <c r="V135" s="23"/>
      <c r="W135" s="72"/>
      <c r="X135" s="23"/>
      <c r="Y135" s="40"/>
      <c r="Z135" s="23"/>
      <c r="AA135" s="72"/>
      <c r="AB135" s="23"/>
      <c r="AC135" s="40"/>
      <c r="AD135" s="23"/>
      <c r="AE135" s="23"/>
    </row>
    <row r="136" spans="1:31">
      <c r="A136" s="23"/>
      <c r="B136" s="64"/>
      <c r="C136" s="62"/>
      <c r="D136" s="65"/>
      <c r="E136" s="66"/>
      <c r="F136" s="65"/>
      <c r="G136" s="67"/>
      <c r="H136" s="67"/>
      <c r="I136" s="71"/>
      <c r="J136" s="70"/>
      <c r="K136" s="23"/>
      <c r="L136" s="70"/>
      <c r="M136" s="70"/>
      <c r="N136" s="70"/>
      <c r="O136" s="40"/>
      <c r="P136" s="23"/>
      <c r="Q136" s="23"/>
      <c r="R136" s="72"/>
      <c r="S136" s="72"/>
      <c r="T136" s="23"/>
      <c r="U136" s="40"/>
      <c r="V136" s="23"/>
      <c r="W136" s="72"/>
      <c r="X136" s="23"/>
      <c r="Y136" s="40"/>
      <c r="Z136" s="23"/>
      <c r="AA136" s="72"/>
      <c r="AB136" s="23"/>
      <c r="AC136" s="40"/>
      <c r="AD136" s="23"/>
      <c r="AE136" s="23"/>
    </row>
    <row r="137" spans="1:31">
      <c r="A137" s="23"/>
      <c r="B137" s="64"/>
      <c r="C137" s="62"/>
      <c r="D137" s="65"/>
      <c r="E137" s="66"/>
      <c r="F137" s="65"/>
      <c r="G137" s="67"/>
      <c r="H137" s="67"/>
      <c r="I137" s="71"/>
      <c r="J137" s="70"/>
      <c r="K137" s="23"/>
      <c r="L137" s="70"/>
      <c r="M137" s="70"/>
      <c r="N137" s="70"/>
      <c r="O137" s="40"/>
      <c r="P137" s="23"/>
      <c r="Q137" s="23"/>
      <c r="R137" s="72"/>
      <c r="S137" s="72"/>
      <c r="T137" s="23"/>
      <c r="U137" s="40"/>
      <c r="V137" s="23"/>
      <c r="W137" s="72"/>
      <c r="X137" s="23"/>
      <c r="Y137" s="40"/>
      <c r="Z137" s="23"/>
      <c r="AA137" s="72"/>
      <c r="AB137" s="23"/>
      <c r="AC137" s="40"/>
      <c r="AD137" s="23"/>
      <c r="AE137" s="23"/>
    </row>
    <row r="138" spans="1:31">
      <c r="A138" s="23"/>
      <c r="B138" s="64"/>
      <c r="C138" s="62"/>
      <c r="D138" s="65"/>
      <c r="E138" s="66"/>
      <c r="F138" s="65"/>
      <c r="G138" s="67"/>
      <c r="H138" s="67"/>
      <c r="I138" s="71"/>
      <c r="J138" s="70"/>
      <c r="K138" s="23"/>
      <c r="L138" s="70"/>
      <c r="M138" s="70"/>
      <c r="N138" s="70"/>
      <c r="O138" s="40"/>
      <c r="P138" s="23"/>
      <c r="Q138" s="23"/>
      <c r="R138" s="72"/>
      <c r="S138" s="72"/>
      <c r="T138" s="23"/>
      <c r="U138" s="40"/>
      <c r="V138" s="23"/>
      <c r="W138" s="72"/>
      <c r="X138" s="23"/>
      <c r="Y138" s="40"/>
      <c r="Z138" s="23"/>
      <c r="AA138" s="72"/>
      <c r="AB138" s="23"/>
      <c r="AC138" s="40"/>
      <c r="AD138" s="23"/>
      <c r="AE138" s="23"/>
    </row>
    <row r="139" spans="1:31">
      <c r="A139" s="23"/>
      <c r="B139" s="64"/>
      <c r="C139" s="62"/>
      <c r="D139" s="65"/>
      <c r="E139" s="66"/>
      <c r="F139" s="65"/>
      <c r="G139" s="67"/>
      <c r="H139" s="67"/>
      <c r="I139" s="71"/>
      <c r="J139" s="70"/>
      <c r="K139" s="23"/>
      <c r="L139" s="70"/>
      <c r="M139" s="70"/>
      <c r="N139" s="70"/>
      <c r="O139" s="40"/>
      <c r="P139" s="23"/>
      <c r="Q139" s="23"/>
      <c r="R139" s="72" t="s">
        <v>63</v>
      </c>
      <c r="S139" s="72"/>
      <c r="T139" s="23"/>
      <c r="U139" s="40"/>
      <c r="V139" s="23"/>
      <c r="W139" s="72"/>
      <c r="X139" s="23"/>
      <c r="Y139" s="40"/>
      <c r="Z139" s="23"/>
      <c r="AA139" s="72"/>
      <c r="AB139" s="23"/>
      <c r="AC139" s="40"/>
      <c r="AD139" s="23"/>
      <c r="AE139" s="23"/>
    </row>
    <row r="140" spans="1:31">
      <c r="A140" s="23"/>
      <c r="B140" s="64"/>
      <c r="C140" s="62"/>
      <c r="D140" s="65"/>
      <c r="E140" s="66"/>
      <c r="F140" s="65"/>
      <c r="G140" s="67"/>
      <c r="H140" s="67"/>
      <c r="I140" s="71"/>
      <c r="J140" s="70"/>
      <c r="K140" s="23"/>
      <c r="L140" s="70"/>
      <c r="M140" s="70"/>
      <c r="N140" s="70"/>
      <c r="O140" s="40"/>
      <c r="P140" s="23"/>
      <c r="Q140" s="23"/>
      <c r="R140" s="72"/>
      <c r="S140" s="72"/>
      <c r="T140" s="23"/>
      <c r="U140" s="40"/>
      <c r="V140" s="23"/>
      <c r="W140" s="72"/>
      <c r="X140" s="23"/>
      <c r="Y140" s="40"/>
      <c r="Z140" s="23"/>
      <c r="AA140" s="72"/>
      <c r="AB140" s="23"/>
      <c r="AC140" s="40"/>
      <c r="AD140" s="23"/>
      <c r="AE140" s="23"/>
    </row>
    <row r="141" spans="1:31">
      <c r="A141" s="23"/>
      <c r="B141" s="64"/>
      <c r="C141" s="62"/>
      <c r="D141" s="65"/>
      <c r="E141" s="66"/>
      <c r="F141" s="65"/>
      <c r="G141" s="67"/>
      <c r="H141" s="67"/>
      <c r="I141" s="71"/>
      <c r="J141" s="70"/>
      <c r="K141" s="23"/>
      <c r="L141" s="70"/>
      <c r="M141" s="70"/>
      <c r="N141" s="70"/>
      <c r="O141" s="40"/>
      <c r="P141" s="23"/>
      <c r="Q141" s="23"/>
      <c r="R141" s="72"/>
      <c r="S141" s="72"/>
      <c r="T141" s="23"/>
      <c r="U141" s="40"/>
      <c r="V141" s="23"/>
      <c r="W141" s="72"/>
      <c r="X141" s="23"/>
      <c r="Y141" s="40"/>
      <c r="Z141" s="23"/>
      <c r="AA141" s="72"/>
      <c r="AB141" s="23"/>
      <c r="AC141" s="40"/>
      <c r="AD141" s="23"/>
      <c r="AE141" s="23"/>
    </row>
    <row r="142" spans="1:31">
      <c r="A142" s="23"/>
      <c r="B142" s="64"/>
      <c r="C142" s="62"/>
      <c r="D142" s="65"/>
      <c r="E142" s="66"/>
      <c r="F142" s="65"/>
      <c r="G142" s="67"/>
      <c r="H142" s="67"/>
      <c r="I142" s="71"/>
      <c r="J142" s="70"/>
      <c r="K142" s="23"/>
      <c r="L142" s="70"/>
      <c r="M142" s="70"/>
      <c r="N142" s="70"/>
      <c r="O142" s="40"/>
      <c r="P142" s="23"/>
      <c r="Q142" s="23"/>
      <c r="R142" s="72"/>
      <c r="S142" s="72"/>
      <c r="T142" s="23"/>
      <c r="U142" s="40"/>
      <c r="V142" s="23"/>
      <c r="W142" s="72"/>
      <c r="X142" s="23"/>
      <c r="Y142" s="40"/>
      <c r="Z142" s="23"/>
      <c r="AA142" s="72"/>
      <c r="AB142" s="23"/>
      <c r="AC142" s="40"/>
      <c r="AD142" s="23"/>
      <c r="AE142" s="23"/>
    </row>
    <row r="143" spans="1:31">
      <c r="A143" s="23"/>
      <c r="B143" s="64"/>
      <c r="C143" s="62"/>
      <c r="D143" s="65"/>
      <c r="E143" s="66"/>
      <c r="F143" s="65"/>
      <c r="G143" s="67"/>
      <c r="H143" s="67"/>
      <c r="I143" s="71"/>
      <c r="J143" s="70"/>
      <c r="K143" s="23"/>
      <c r="L143" s="70"/>
      <c r="M143" s="70"/>
      <c r="N143" s="70"/>
      <c r="O143" s="40"/>
      <c r="P143" s="23"/>
      <c r="Q143" s="23"/>
      <c r="R143" s="72"/>
      <c r="S143" s="72"/>
      <c r="T143" s="23"/>
      <c r="U143" s="40"/>
      <c r="V143" s="23"/>
      <c r="W143" s="72"/>
      <c r="X143" s="23"/>
      <c r="Y143" s="40"/>
      <c r="Z143" s="23"/>
      <c r="AA143" s="72"/>
      <c r="AB143" s="23"/>
      <c r="AC143" s="40"/>
      <c r="AD143" s="23"/>
      <c r="AE143" s="23"/>
    </row>
    <row r="144" spans="1:31">
      <c r="A144" s="23"/>
      <c r="B144" s="64"/>
      <c r="C144" s="62"/>
      <c r="D144" s="65"/>
      <c r="E144" s="66"/>
      <c r="F144" s="65"/>
      <c r="G144" s="67"/>
      <c r="H144" s="67"/>
      <c r="I144" s="71"/>
      <c r="J144" s="70"/>
      <c r="K144" s="23"/>
      <c r="L144" s="70"/>
      <c r="M144" s="70"/>
      <c r="N144" s="70"/>
      <c r="O144" s="40"/>
      <c r="P144" s="23"/>
      <c r="Q144" s="23"/>
      <c r="R144" s="72"/>
      <c r="S144" s="72"/>
      <c r="T144" s="23"/>
      <c r="U144" s="40"/>
      <c r="V144" s="23"/>
      <c r="W144" s="72"/>
      <c r="X144" s="23"/>
      <c r="Y144" s="40"/>
      <c r="Z144" s="23"/>
      <c r="AA144" s="72"/>
      <c r="AB144" s="23"/>
      <c r="AC144" s="40"/>
      <c r="AD144" s="23"/>
      <c r="AE144" s="23"/>
    </row>
    <row r="145" spans="1:31">
      <c r="A145" s="23"/>
      <c r="B145" s="64"/>
      <c r="C145" s="62"/>
      <c r="D145" s="65"/>
      <c r="E145" s="66"/>
      <c r="F145" s="65"/>
      <c r="G145" s="67"/>
      <c r="H145" s="67"/>
      <c r="I145" s="71"/>
      <c r="J145" s="70"/>
      <c r="K145" s="23"/>
      <c r="L145" s="70"/>
      <c r="M145" s="70"/>
      <c r="N145" s="70"/>
      <c r="O145" s="40"/>
      <c r="P145" s="23"/>
      <c r="Q145" s="23"/>
      <c r="R145" s="72"/>
      <c r="S145" s="72"/>
      <c r="T145" s="23"/>
      <c r="U145" s="40"/>
      <c r="V145" s="23"/>
      <c r="W145" s="72"/>
      <c r="X145" s="23"/>
      <c r="Y145" s="40"/>
      <c r="Z145" s="23"/>
      <c r="AA145" s="72"/>
      <c r="AB145" s="23"/>
      <c r="AC145" s="40"/>
      <c r="AD145" s="23"/>
      <c r="AE145" s="23"/>
    </row>
    <row r="146" spans="1:31" s="57" customFormat="1">
      <c r="A146" s="77"/>
      <c r="B146" s="78"/>
      <c r="C146" s="79"/>
      <c r="D146" s="81"/>
      <c r="E146" s="80"/>
      <c r="F146" s="81"/>
      <c r="G146" s="98"/>
      <c r="H146" s="98"/>
      <c r="I146" s="87"/>
      <c r="J146" s="89"/>
      <c r="K146" s="77"/>
      <c r="L146" s="89"/>
      <c r="M146" s="89"/>
      <c r="N146" s="89"/>
      <c r="O146" s="88"/>
      <c r="P146" s="77"/>
      <c r="Q146" s="77"/>
      <c r="R146" s="91"/>
      <c r="S146" s="91"/>
      <c r="T146" s="77"/>
      <c r="U146" s="88"/>
      <c r="V146" s="77"/>
      <c r="W146" s="91"/>
      <c r="X146" s="77"/>
      <c r="Y146" s="88"/>
      <c r="Z146" s="77"/>
      <c r="AA146" s="91"/>
      <c r="AB146" s="77"/>
      <c r="AC146" s="88"/>
      <c r="AD146" s="77"/>
      <c r="AE146" s="77"/>
    </row>
    <row r="147" spans="1:31" s="57" customFormat="1">
      <c r="A147" s="77"/>
      <c r="B147" s="78"/>
      <c r="C147" s="79"/>
      <c r="D147" s="65"/>
      <c r="E147" s="66"/>
      <c r="F147" s="81"/>
      <c r="G147" s="67"/>
      <c r="H147" s="67"/>
      <c r="I147" s="87"/>
      <c r="J147" s="89"/>
      <c r="K147" s="77"/>
      <c r="L147" s="89"/>
      <c r="M147" s="89"/>
      <c r="N147" s="89"/>
      <c r="O147" s="88"/>
      <c r="P147" s="77"/>
      <c r="Q147" s="77"/>
      <c r="R147" s="91"/>
      <c r="S147" s="91"/>
      <c r="T147" s="77"/>
      <c r="U147" s="88"/>
      <c r="V147" s="77"/>
      <c r="W147" s="91"/>
      <c r="X147" s="77"/>
      <c r="Y147" s="88"/>
      <c r="Z147" s="77"/>
      <c r="AA147" s="91"/>
      <c r="AB147" s="77"/>
      <c r="AC147" s="88"/>
      <c r="AD147" s="77"/>
      <c r="AE147" s="77"/>
    </row>
    <row r="148" spans="1:31" s="57" customFormat="1">
      <c r="A148" s="77"/>
      <c r="B148" s="78"/>
      <c r="C148" s="79"/>
      <c r="D148" s="81"/>
      <c r="E148" s="80"/>
      <c r="F148" s="81"/>
      <c r="G148" s="67"/>
      <c r="H148" s="98"/>
      <c r="I148" s="87"/>
      <c r="J148" s="89"/>
      <c r="K148" s="77"/>
      <c r="L148" s="89"/>
      <c r="M148" s="89"/>
      <c r="N148" s="89"/>
      <c r="O148" s="88"/>
      <c r="P148" s="77"/>
      <c r="Q148" s="77"/>
      <c r="R148" s="91"/>
      <c r="S148" s="91"/>
      <c r="T148" s="77"/>
      <c r="U148" s="88"/>
      <c r="V148" s="77"/>
      <c r="W148" s="91"/>
      <c r="X148" s="77"/>
      <c r="Y148" s="88"/>
      <c r="Z148" s="77"/>
      <c r="AA148" s="91"/>
      <c r="AB148" s="77"/>
      <c r="AC148" s="88"/>
      <c r="AD148" s="77"/>
      <c r="AE148" s="77"/>
    </row>
    <row r="149" spans="1:31" s="57" customFormat="1">
      <c r="A149" s="77"/>
      <c r="B149" s="78"/>
      <c r="C149" s="79"/>
      <c r="D149" s="65"/>
      <c r="E149" s="66"/>
      <c r="F149" s="81"/>
      <c r="G149" s="67"/>
      <c r="H149" s="67"/>
      <c r="I149" s="87"/>
      <c r="J149" s="89"/>
      <c r="K149" s="77"/>
      <c r="L149" s="89"/>
      <c r="M149" s="89"/>
      <c r="N149" s="89"/>
      <c r="O149" s="88"/>
      <c r="P149" s="77"/>
      <c r="Q149" s="77"/>
      <c r="R149" s="91"/>
      <c r="S149" s="91"/>
      <c r="T149" s="77"/>
      <c r="U149" s="88"/>
      <c r="V149" s="77"/>
      <c r="W149" s="91"/>
      <c r="X149" s="77"/>
      <c r="Y149" s="88"/>
      <c r="Z149" s="77"/>
      <c r="AA149" s="91"/>
      <c r="AB149" s="77"/>
      <c r="AC149" s="88"/>
      <c r="AD149" s="77"/>
      <c r="AE149" s="77"/>
    </row>
    <row r="150" spans="1:31">
      <c r="A150" s="23"/>
      <c r="B150" s="64"/>
      <c r="C150" s="62"/>
      <c r="D150" s="65"/>
      <c r="E150" s="66"/>
      <c r="F150" s="65"/>
      <c r="G150" s="67"/>
      <c r="H150" s="67"/>
      <c r="I150" s="71"/>
      <c r="J150" s="23"/>
      <c r="K150" s="23"/>
      <c r="L150" s="70"/>
      <c r="M150" s="70"/>
      <c r="N150" s="70"/>
      <c r="O150" s="40"/>
      <c r="P150" s="23"/>
      <c r="Q150" s="23"/>
      <c r="R150" s="72"/>
      <c r="S150" s="72"/>
      <c r="T150" s="23"/>
      <c r="U150" s="40"/>
      <c r="V150" s="23"/>
      <c r="W150" s="72"/>
      <c r="X150" s="23"/>
      <c r="Y150" s="40"/>
      <c r="Z150" s="23"/>
      <c r="AA150" s="72"/>
      <c r="AB150" s="23"/>
      <c r="AC150" s="40"/>
      <c r="AD150" s="23"/>
      <c r="AE150" s="23"/>
    </row>
    <row r="151" spans="1:31">
      <c r="A151" s="23"/>
      <c r="B151" s="64"/>
      <c r="C151" s="62"/>
      <c r="D151" s="65"/>
      <c r="E151" s="66"/>
      <c r="F151" s="65"/>
      <c r="G151" s="67"/>
      <c r="H151" s="67"/>
      <c r="I151" s="71"/>
      <c r="J151" s="23"/>
      <c r="K151" s="23"/>
      <c r="L151" s="70"/>
      <c r="M151" s="70"/>
      <c r="N151" s="70"/>
      <c r="O151" s="40"/>
      <c r="P151" s="23"/>
      <c r="Q151" s="23"/>
      <c r="R151" s="72"/>
      <c r="S151" s="72"/>
      <c r="T151" s="23"/>
      <c r="U151" s="40"/>
      <c r="V151" s="23"/>
      <c r="W151" s="72"/>
      <c r="X151" s="23"/>
      <c r="Y151" s="40"/>
      <c r="Z151" s="23"/>
      <c r="AA151" s="72"/>
      <c r="AB151" s="23"/>
      <c r="AC151" s="40"/>
      <c r="AD151" s="23"/>
      <c r="AE151" s="23"/>
    </row>
    <row r="152" spans="1:31">
      <c r="A152" s="23"/>
      <c r="B152" s="64"/>
      <c r="C152" s="62"/>
      <c r="D152" s="65"/>
      <c r="E152" s="66"/>
      <c r="F152" s="65"/>
      <c r="G152" s="67"/>
      <c r="H152" s="67"/>
      <c r="I152" s="67"/>
      <c r="J152" s="23"/>
      <c r="K152" s="23"/>
      <c r="L152" s="23"/>
      <c r="M152" s="23"/>
      <c r="N152" s="70"/>
      <c r="O152" s="40"/>
      <c r="P152" s="23"/>
      <c r="Q152" s="23"/>
      <c r="R152" s="72"/>
      <c r="S152" s="72"/>
      <c r="T152" s="23"/>
      <c r="U152" s="40"/>
      <c r="V152" s="23"/>
      <c r="W152" s="72"/>
      <c r="X152" s="23"/>
      <c r="Y152" s="40"/>
      <c r="Z152" s="23"/>
      <c r="AA152" s="72"/>
      <c r="AB152" s="23"/>
      <c r="AC152" s="40"/>
      <c r="AD152" s="23"/>
      <c r="AE152" s="23"/>
    </row>
    <row r="153" spans="1:31">
      <c r="A153" s="23"/>
      <c r="B153" s="64"/>
      <c r="C153" s="62"/>
      <c r="D153" s="65"/>
      <c r="E153" s="66"/>
      <c r="F153" s="65"/>
      <c r="G153" s="67"/>
      <c r="H153" s="67"/>
      <c r="I153" s="67"/>
      <c r="J153" s="23"/>
      <c r="K153" s="23"/>
      <c r="L153" s="23"/>
      <c r="M153" s="23"/>
      <c r="N153" s="70"/>
      <c r="O153" s="40"/>
      <c r="P153" s="23"/>
      <c r="Q153" s="23"/>
      <c r="R153" s="72"/>
      <c r="S153" s="72"/>
      <c r="T153" s="23"/>
      <c r="U153" s="40"/>
      <c r="V153" s="23"/>
      <c r="W153" s="72"/>
      <c r="X153" s="23"/>
      <c r="Y153" s="40"/>
      <c r="Z153" s="23"/>
      <c r="AA153" s="72"/>
      <c r="AB153" s="23"/>
      <c r="AC153" s="40"/>
      <c r="AD153" s="23"/>
      <c r="AE153" s="23"/>
    </row>
    <row r="154" spans="1:31">
      <c r="A154" s="23"/>
      <c r="B154" s="64"/>
      <c r="C154" s="62"/>
      <c r="D154" s="65"/>
      <c r="E154" s="66"/>
      <c r="F154" s="65"/>
      <c r="G154" s="67"/>
      <c r="H154" s="67"/>
      <c r="I154" s="71"/>
      <c r="J154" s="70"/>
      <c r="K154" s="23"/>
      <c r="L154" s="70"/>
      <c r="M154" s="70"/>
      <c r="N154" s="70"/>
      <c r="O154" s="40"/>
      <c r="P154" s="23"/>
      <c r="Q154" s="23"/>
      <c r="R154" s="72"/>
      <c r="S154" s="72"/>
      <c r="T154" s="23"/>
      <c r="U154" s="40"/>
      <c r="V154" s="23"/>
      <c r="W154" s="72"/>
      <c r="X154" s="23"/>
      <c r="Y154" s="40"/>
      <c r="Z154" s="23"/>
      <c r="AA154" s="72"/>
      <c r="AB154" s="23"/>
      <c r="AC154" s="40"/>
      <c r="AD154" s="23"/>
      <c r="AE154" s="23"/>
    </row>
    <row r="155" spans="1:31">
      <c r="A155" s="23"/>
      <c r="B155" s="64"/>
      <c r="C155" s="62"/>
      <c r="D155" s="65"/>
      <c r="E155" s="66"/>
      <c r="F155" s="65"/>
      <c r="G155" s="67"/>
      <c r="H155" s="67"/>
      <c r="I155" s="71"/>
      <c r="J155" s="70"/>
      <c r="K155" s="23"/>
      <c r="L155" s="70"/>
      <c r="M155" s="70"/>
      <c r="N155" s="70"/>
      <c r="O155" s="40"/>
      <c r="P155" s="23"/>
      <c r="Q155" s="23"/>
      <c r="R155" s="72"/>
      <c r="S155" s="72"/>
      <c r="T155" s="23"/>
      <c r="U155" s="40"/>
      <c r="V155" s="23"/>
      <c r="W155" s="72"/>
      <c r="X155" s="23"/>
      <c r="Y155" s="40"/>
      <c r="Z155" s="23"/>
      <c r="AA155" s="72"/>
      <c r="AB155" s="23"/>
      <c r="AC155" s="40"/>
      <c r="AD155" s="23"/>
      <c r="AE155" s="23"/>
    </row>
    <row r="156" spans="1:31">
      <c r="A156" s="23"/>
      <c r="B156" s="64"/>
      <c r="C156" s="62"/>
      <c r="D156" s="65"/>
      <c r="E156" s="66"/>
      <c r="F156" s="65"/>
      <c r="G156" s="67"/>
      <c r="H156" s="67"/>
      <c r="I156" s="71"/>
      <c r="J156" s="70"/>
      <c r="K156" s="23"/>
      <c r="L156" s="70"/>
      <c r="M156" s="70"/>
      <c r="N156" s="70"/>
      <c r="O156" s="40"/>
      <c r="P156" s="23"/>
      <c r="Q156" s="23"/>
      <c r="R156" s="72"/>
      <c r="S156" s="72"/>
      <c r="T156" s="23"/>
      <c r="U156" s="40"/>
      <c r="V156" s="23"/>
      <c r="W156" s="72"/>
      <c r="X156" s="23"/>
      <c r="Y156" s="40"/>
      <c r="Z156" s="23"/>
      <c r="AA156" s="72"/>
      <c r="AB156" s="23"/>
      <c r="AC156" s="40"/>
      <c r="AD156" s="23"/>
      <c r="AE156" s="23"/>
    </row>
    <row r="157" spans="1:31">
      <c r="A157" s="23"/>
      <c r="B157" s="64"/>
      <c r="C157" s="62"/>
      <c r="D157" s="65"/>
      <c r="E157" s="66"/>
      <c r="F157" s="65"/>
      <c r="G157" s="67"/>
      <c r="H157" s="67"/>
      <c r="I157" s="71"/>
      <c r="J157" s="70"/>
      <c r="K157" s="23"/>
      <c r="L157" s="70"/>
      <c r="M157" s="70"/>
      <c r="N157" s="70"/>
      <c r="O157" s="40"/>
      <c r="P157" s="23"/>
      <c r="Q157" s="23"/>
      <c r="R157" s="72"/>
      <c r="S157" s="72"/>
      <c r="T157" s="23"/>
      <c r="U157" s="40"/>
      <c r="V157" s="23"/>
      <c r="W157" s="72"/>
      <c r="X157" s="23"/>
      <c r="Y157" s="40"/>
      <c r="Z157" s="23"/>
      <c r="AA157" s="72"/>
      <c r="AB157" s="23"/>
      <c r="AC157" s="40"/>
      <c r="AD157" s="23"/>
      <c r="AE157" s="23"/>
    </row>
    <row r="158" spans="1:31">
      <c r="A158" s="23"/>
      <c r="B158" s="64"/>
      <c r="C158" s="62"/>
      <c r="D158" s="65"/>
      <c r="E158" s="66"/>
      <c r="F158" s="65"/>
      <c r="G158" s="67"/>
      <c r="H158" s="67"/>
      <c r="I158" s="71"/>
      <c r="J158" s="70"/>
      <c r="K158" s="23"/>
      <c r="L158" s="70"/>
      <c r="M158" s="70"/>
      <c r="N158" s="70"/>
      <c r="O158" s="40"/>
      <c r="P158" s="23"/>
      <c r="Q158" s="23"/>
      <c r="R158" s="72"/>
      <c r="S158" s="72"/>
      <c r="T158" s="23"/>
      <c r="U158" s="40"/>
      <c r="V158" s="23"/>
      <c r="W158" s="72"/>
      <c r="X158" s="23"/>
      <c r="Y158" s="40"/>
      <c r="Z158" s="23"/>
      <c r="AA158" s="72"/>
      <c r="AB158" s="23"/>
      <c r="AC158" s="40"/>
      <c r="AD158" s="23"/>
      <c r="AE158" s="23"/>
    </row>
    <row r="159" spans="1:31">
      <c r="A159" s="23"/>
      <c r="B159" s="64"/>
      <c r="C159" s="62"/>
      <c r="D159" s="65"/>
      <c r="E159" s="66"/>
      <c r="F159" s="65"/>
      <c r="G159" s="67"/>
      <c r="H159" s="67"/>
      <c r="I159" s="71"/>
      <c r="J159" s="70"/>
      <c r="K159" s="23"/>
      <c r="L159" s="70"/>
      <c r="M159" s="70"/>
      <c r="N159" s="70"/>
      <c r="O159" s="40"/>
      <c r="P159" s="23"/>
      <c r="Q159" s="23"/>
      <c r="R159" s="72"/>
      <c r="S159" s="72"/>
      <c r="T159" s="23"/>
      <c r="U159" s="40"/>
      <c r="V159" s="23"/>
      <c r="W159" s="72"/>
      <c r="X159" s="23"/>
      <c r="Y159" s="40"/>
      <c r="Z159" s="23"/>
      <c r="AA159" s="72"/>
      <c r="AB159" s="23"/>
      <c r="AC159" s="40"/>
      <c r="AD159" s="23"/>
      <c r="AE159" s="23"/>
    </row>
    <row r="160" spans="1:31">
      <c r="A160" s="23"/>
      <c r="B160" s="64"/>
      <c r="C160" s="62"/>
      <c r="D160" s="65"/>
      <c r="E160" s="66"/>
      <c r="F160" s="65"/>
      <c r="G160" s="67"/>
      <c r="H160" s="67"/>
      <c r="I160" s="71"/>
      <c r="J160" s="70"/>
      <c r="K160" s="23"/>
      <c r="L160" s="70"/>
      <c r="M160" s="70"/>
      <c r="N160" s="70"/>
      <c r="O160" s="40"/>
      <c r="P160" s="23"/>
      <c r="Q160" s="23"/>
      <c r="R160" s="72"/>
      <c r="S160" s="72"/>
      <c r="T160" s="23"/>
      <c r="U160" s="40"/>
      <c r="V160" s="23"/>
      <c r="W160" s="72"/>
      <c r="X160" s="23"/>
      <c r="Y160" s="40"/>
      <c r="Z160" s="23"/>
      <c r="AA160" s="72"/>
      <c r="AB160" s="23"/>
      <c r="AC160" s="40"/>
      <c r="AD160" s="23"/>
      <c r="AE160" s="23"/>
    </row>
    <row r="161" spans="1:31">
      <c r="A161" s="23"/>
      <c r="B161" s="64"/>
      <c r="C161" s="62"/>
      <c r="D161" s="65"/>
      <c r="E161" s="66"/>
      <c r="F161" s="65"/>
      <c r="G161" s="67"/>
      <c r="H161" s="67"/>
      <c r="I161" s="71"/>
      <c r="J161" s="70"/>
      <c r="K161" s="23"/>
      <c r="L161" s="70"/>
      <c r="M161" s="70"/>
      <c r="N161" s="70"/>
      <c r="O161" s="40"/>
      <c r="P161" s="23"/>
      <c r="Q161" s="23"/>
      <c r="R161" s="72"/>
      <c r="S161" s="72"/>
      <c r="T161" s="23"/>
      <c r="U161" s="40"/>
      <c r="V161" s="23"/>
      <c r="W161" s="72"/>
      <c r="X161" s="23"/>
      <c r="Y161" s="40"/>
      <c r="Z161" s="23"/>
      <c r="AA161" s="72"/>
      <c r="AB161" s="23"/>
      <c r="AC161" s="40"/>
      <c r="AD161" s="23"/>
      <c r="AE161" s="23"/>
    </row>
    <row r="162" spans="1:31">
      <c r="A162" s="23"/>
      <c r="B162" s="64"/>
      <c r="C162" s="62"/>
      <c r="D162" s="65"/>
      <c r="E162" s="66"/>
      <c r="F162" s="65"/>
      <c r="G162" s="67"/>
      <c r="H162" s="67"/>
      <c r="I162" s="71"/>
      <c r="J162" s="70"/>
      <c r="K162" s="23"/>
      <c r="L162" s="70"/>
      <c r="M162" s="70"/>
      <c r="N162" s="70"/>
      <c r="O162" s="40"/>
      <c r="P162" s="23"/>
      <c r="Q162" s="23"/>
      <c r="R162" s="72"/>
      <c r="S162" s="72"/>
      <c r="T162" s="23"/>
      <c r="U162" s="40"/>
      <c r="V162" s="23"/>
      <c r="W162" s="72"/>
      <c r="X162" s="23"/>
      <c r="Y162" s="40"/>
      <c r="Z162" s="23"/>
      <c r="AA162" s="72"/>
      <c r="AB162" s="23"/>
      <c r="AC162" s="40"/>
      <c r="AD162" s="23"/>
      <c r="AE162" s="23"/>
    </row>
    <row r="163" spans="1:31">
      <c r="A163" s="23"/>
      <c r="B163" s="64"/>
      <c r="C163" s="62"/>
      <c r="D163" s="65"/>
      <c r="E163" s="66"/>
      <c r="F163" s="65"/>
      <c r="G163" s="67"/>
      <c r="H163" s="67"/>
      <c r="I163" s="71"/>
      <c r="J163" s="70"/>
      <c r="K163" s="23"/>
      <c r="L163" s="70"/>
      <c r="M163" s="70"/>
      <c r="N163" s="70"/>
      <c r="O163" s="40"/>
      <c r="P163" s="23"/>
      <c r="Q163" s="23"/>
      <c r="R163" s="72"/>
      <c r="S163" s="72"/>
      <c r="T163" s="23"/>
      <c r="U163" s="40"/>
      <c r="V163" s="23"/>
      <c r="W163" s="72"/>
      <c r="X163" s="23"/>
      <c r="Y163" s="40"/>
      <c r="Z163" s="23"/>
      <c r="AA163" s="72"/>
      <c r="AB163" s="23"/>
      <c r="AC163" s="40"/>
      <c r="AD163" s="23"/>
      <c r="AE163" s="23"/>
    </row>
    <row r="164" spans="1:31" s="56" customFormat="1" ht="36.950000000000003" customHeight="1">
      <c r="A164" s="73"/>
      <c r="B164" s="74"/>
      <c r="C164" s="75"/>
      <c r="D164" s="76"/>
      <c r="E164" s="82"/>
      <c r="F164" s="76"/>
      <c r="G164" s="99"/>
      <c r="H164" s="99"/>
      <c r="I164" s="84"/>
      <c r="J164" s="86"/>
      <c r="K164" s="73"/>
      <c r="L164" s="86"/>
      <c r="M164" s="86"/>
      <c r="N164" s="86"/>
      <c r="O164" s="85"/>
      <c r="P164" s="73"/>
      <c r="Q164" s="73"/>
      <c r="R164" s="90"/>
      <c r="S164" s="90"/>
      <c r="T164" s="73"/>
      <c r="U164" s="85"/>
      <c r="V164" s="73"/>
      <c r="W164" s="90"/>
      <c r="X164" s="73"/>
      <c r="Y164" s="85"/>
      <c r="Z164" s="73"/>
      <c r="AA164" s="90"/>
      <c r="AB164" s="73"/>
      <c r="AC164" s="85"/>
      <c r="AD164" s="73"/>
      <c r="AE164" s="73"/>
    </row>
    <row r="165" spans="1:31" ht="48.95" customHeight="1">
      <c r="A165" s="23"/>
      <c r="B165" s="64"/>
      <c r="C165" s="62"/>
      <c r="D165" s="65"/>
      <c r="E165" s="65"/>
      <c r="F165" s="65"/>
      <c r="G165" s="67"/>
      <c r="H165" s="67"/>
      <c r="I165" s="71"/>
      <c r="J165" s="70"/>
      <c r="K165" s="23"/>
      <c r="L165" s="70"/>
      <c r="M165" s="70"/>
      <c r="N165" s="70"/>
      <c r="O165" s="40"/>
      <c r="P165" s="23"/>
      <c r="Q165" s="23"/>
      <c r="R165" s="72"/>
      <c r="S165" s="72"/>
      <c r="T165" s="23"/>
      <c r="U165" s="40"/>
      <c r="V165" s="23"/>
      <c r="W165" s="72"/>
      <c r="X165" s="23"/>
      <c r="Y165" s="40"/>
      <c r="Z165" s="23"/>
      <c r="AA165" s="72"/>
      <c r="AB165" s="23"/>
      <c r="AC165" s="40"/>
      <c r="AD165" s="23"/>
      <c r="AE165" s="23"/>
    </row>
    <row r="166" spans="1:31">
      <c r="A166" s="23"/>
      <c r="B166" s="64"/>
      <c r="C166" s="62"/>
      <c r="D166" s="65"/>
      <c r="E166" s="65"/>
      <c r="F166" s="65"/>
      <c r="G166" s="67"/>
      <c r="H166" s="67"/>
      <c r="I166" s="71"/>
      <c r="J166" s="70"/>
      <c r="K166" s="23"/>
      <c r="L166" s="70"/>
      <c r="M166" s="70"/>
      <c r="N166" s="70"/>
      <c r="O166" s="40"/>
      <c r="P166" s="23"/>
      <c r="Q166" s="23"/>
      <c r="R166" s="72"/>
      <c r="S166" s="72"/>
      <c r="T166" s="23"/>
      <c r="U166" s="40"/>
      <c r="V166" s="23"/>
      <c r="W166" s="72"/>
      <c r="X166" s="23"/>
      <c r="Y166" s="40"/>
      <c r="Z166" s="23"/>
      <c r="AA166" s="72"/>
      <c r="AB166" s="23"/>
      <c r="AC166" s="40"/>
      <c r="AD166" s="23"/>
      <c r="AE166" s="23"/>
    </row>
    <row r="167" spans="1:31">
      <c r="A167" s="23"/>
      <c r="B167" s="64"/>
      <c r="C167" s="62"/>
      <c r="D167" s="65"/>
      <c r="E167" s="65"/>
      <c r="F167" s="65"/>
      <c r="G167" s="67"/>
      <c r="H167" s="67"/>
      <c r="I167" s="71"/>
      <c r="J167" s="70"/>
      <c r="K167" s="23"/>
      <c r="L167" s="70"/>
      <c r="M167" s="70"/>
      <c r="N167" s="70"/>
      <c r="O167" s="40"/>
      <c r="P167" s="23"/>
      <c r="Q167" s="23"/>
      <c r="R167" s="72"/>
      <c r="S167" s="72"/>
      <c r="T167" s="23"/>
      <c r="U167" s="40"/>
      <c r="V167" s="23"/>
      <c r="W167" s="72"/>
      <c r="X167" s="23"/>
      <c r="Y167" s="40"/>
      <c r="Z167" s="23"/>
      <c r="AA167" s="72"/>
      <c r="AB167" s="23"/>
      <c r="AC167" s="40"/>
      <c r="AD167" s="23"/>
      <c r="AE167" s="23"/>
    </row>
    <row r="168" spans="1:31" ht="30" customHeight="1">
      <c r="A168" s="23"/>
      <c r="B168" s="64"/>
      <c r="C168" s="62"/>
      <c r="D168" s="65"/>
      <c r="E168" s="65"/>
      <c r="F168" s="65"/>
      <c r="G168" s="67"/>
      <c r="H168" s="67"/>
      <c r="I168" s="71"/>
      <c r="J168" s="70"/>
      <c r="K168" s="23"/>
      <c r="L168" s="70"/>
      <c r="M168" s="70"/>
      <c r="N168" s="70"/>
      <c r="O168" s="40"/>
      <c r="P168" s="23"/>
      <c r="Q168" s="23"/>
      <c r="R168" s="72"/>
      <c r="S168" s="72"/>
      <c r="T168" s="23"/>
      <c r="U168" s="40"/>
      <c r="V168" s="23"/>
      <c r="W168" s="72"/>
      <c r="X168" s="23"/>
      <c r="Y168" s="40"/>
      <c r="Z168" s="23"/>
      <c r="AA168" s="72"/>
      <c r="AB168" s="23"/>
      <c r="AC168" s="40"/>
      <c r="AD168" s="23"/>
      <c r="AE168" s="23"/>
    </row>
    <row r="169" spans="1:31" ht="45.95" customHeight="1">
      <c r="A169" s="23"/>
      <c r="B169" s="64"/>
      <c r="C169" s="62"/>
      <c r="D169" s="65"/>
      <c r="E169" s="65"/>
      <c r="F169" s="65"/>
      <c r="G169" s="67"/>
      <c r="H169" s="67"/>
      <c r="I169" s="71"/>
      <c r="J169" s="70"/>
      <c r="K169" s="23"/>
      <c r="L169" s="70"/>
      <c r="M169" s="70"/>
      <c r="N169" s="70"/>
      <c r="O169" s="40"/>
      <c r="P169" s="23"/>
      <c r="Q169" s="23"/>
      <c r="R169" s="72"/>
      <c r="S169" s="72"/>
      <c r="T169" s="23"/>
      <c r="U169" s="40"/>
      <c r="V169" s="23"/>
      <c r="W169" s="72"/>
      <c r="X169" s="23"/>
      <c r="Y169" s="40"/>
      <c r="Z169" s="23"/>
      <c r="AA169" s="72"/>
      <c r="AB169" s="23"/>
      <c r="AC169" s="40"/>
      <c r="AD169" s="23"/>
      <c r="AE169" s="23"/>
    </row>
    <row r="170" spans="1:31">
      <c r="A170" s="23"/>
      <c r="B170" s="64"/>
      <c r="C170" s="62"/>
      <c r="D170" s="65"/>
      <c r="E170" s="65"/>
      <c r="F170" s="65"/>
      <c r="G170" s="67"/>
      <c r="H170" s="67"/>
      <c r="I170" s="71"/>
      <c r="J170" s="70"/>
      <c r="K170" s="23"/>
      <c r="L170" s="70"/>
      <c r="M170" s="70"/>
      <c r="N170" s="70"/>
      <c r="O170" s="40"/>
      <c r="P170" s="23"/>
      <c r="Q170" s="23"/>
      <c r="R170" s="72"/>
      <c r="S170" s="72"/>
      <c r="T170" s="23"/>
      <c r="U170" s="40"/>
      <c r="V170" s="23"/>
      <c r="W170" s="72"/>
      <c r="X170" s="23"/>
      <c r="Y170" s="40"/>
      <c r="Z170" s="23"/>
      <c r="AA170" s="72"/>
      <c r="AB170" s="23"/>
      <c r="AC170" s="40"/>
      <c r="AD170" s="23"/>
      <c r="AE170" s="23"/>
    </row>
    <row r="171" spans="1:31">
      <c r="A171" s="23"/>
      <c r="B171" s="64"/>
      <c r="C171" s="62"/>
      <c r="D171" s="65"/>
      <c r="E171" s="65"/>
      <c r="F171" s="65"/>
      <c r="G171" s="67"/>
      <c r="H171" s="67"/>
      <c r="I171" s="71"/>
      <c r="J171" s="70"/>
      <c r="K171" s="23"/>
      <c r="L171" s="70"/>
      <c r="M171" s="70"/>
      <c r="N171" s="70"/>
      <c r="O171" s="40"/>
      <c r="P171" s="23"/>
      <c r="Q171" s="23"/>
      <c r="R171" s="72"/>
      <c r="S171" s="72"/>
      <c r="T171" s="23"/>
      <c r="U171" s="40"/>
      <c r="V171" s="23"/>
      <c r="W171" s="72"/>
      <c r="X171" s="23"/>
      <c r="Y171" s="40"/>
      <c r="Z171" s="23"/>
      <c r="AA171" s="72"/>
      <c r="AB171" s="23"/>
      <c r="AC171" s="40"/>
      <c r="AD171" s="23"/>
      <c r="AE171" s="23"/>
    </row>
    <row r="172" spans="1:31">
      <c r="A172" s="23"/>
      <c r="B172" s="64"/>
      <c r="C172" s="62"/>
      <c r="D172" s="65"/>
      <c r="E172" s="65"/>
      <c r="F172" s="65"/>
      <c r="G172" s="67"/>
      <c r="H172" s="67"/>
      <c r="I172" s="71"/>
      <c r="J172" s="70"/>
      <c r="K172" s="23"/>
      <c r="L172" s="70"/>
      <c r="M172" s="70"/>
      <c r="N172" s="70"/>
      <c r="O172" s="40"/>
      <c r="P172" s="23"/>
      <c r="Q172" s="23"/>
      <c r="R172" s="72"/>
      <c r="S172" s="72"/>
      <c r="T172" s="23"/>
      <c r="U172" s="40"/>
      <c r="V172" s="23"/>
      <c r="W172" s="72"/>
      <c r="X172" s="23"/>
      <c r="Y172" s="40"/>
      <c r="Z172" s="23"/>
      <c r="AA172" s="72"/>
      <c r="AB172" s="23"/>
      <c r="AC172" s="40"/>
      <c r="AD172" s="23"/>
      <c r="AE172" s="23"/>
    </row>
    <row r="173" spans="1:31">
      <c r="A173" s="23"/>
      <c r="B173" s="64"/>
      <c r="C173" s="62"/>
      <c r="D173" s="65"/>
      <c r="E173" s="65"/>
      <c r="F173" s="65"/>
      <c r="G173" s="67"/>
      <c r="H173" s="67"/>
      <c r="I173" s="71"/>
      <c r="J173" s="70"/>
      <c r="K173" s="23"/>
      <c r="L173" s="70"/>
      <c r="M173" s="70"/>
      <c r="N173" s="70"/>
      <c r="O173" s="40"/>
      <c r="P173" s="23"/>
      <c r="Q173" s="23"/>
      <c r="R173" s="72"/>
      <c r="S173" s="72"/>
      <c r="T173" s="23"/>
      <c r="U173" s="40"/>
      <c r="V173" s="23"/>
      <c r="W173" s="72"/>
      <c r="X173" s="23"/>
      <c r="Y173" s="40"/>
      <c r="Z173" s="23"/>
      <c r="AA173" s="72"/>
      <c r="AB173" s="23"/>
      <c r="AC173" s="40"/>
      <c r="AD173" s="23"/>
      <c r="AE173" s="23"/>
    </row>
    <row r="174" spans="1:31">
      <c r="A174" s="23"/>
      <c r="B174" s="64"/>
      <c r="C174" s="62"/>
      <c r="D174" s="65"/>
      <c r="E174" s="65"/>
      <c r="F174" s="65"/>
      <c r="G174" s="67"/>
      <c r="H174" s="67"/>
      <c r="I174" s="71"/>
      <c r="J174" s="70"/>
      <c r="K174" s="23"/>
      <c r="L174" s="70"/>
      <c r="M174" s="70"/>
      <c r="N174" s="70"/>
      <c r="O174" s="40"/>
      <c r="P174" s="23"/>
      <c r="Q174" s="23"/>
      <c r="R174" s="72"/>
      <c r="S174" s="72"/>
      <c r="T174" s="23"/>
      <c r="U174" s="40"/>
      <c r="V174" s="23"/>
      <c r="W174" s="72"/>
      <c r="X174" s="23"/>
      <c r="Y174" s="40"/>
      <c r="Z174" s="23"/>
      <c r="AA174" s="72"/>
      <c r="AB174" s="23"/>
      <c r="AC174" s="40"/>
      <c r="AD174" s="23"/>
      <c r="AE174" s="23"/>
    </row>
    <row r="175" spans="1:31">
      <c r="A175" s="23"/>
      <c r="B175" s="64"/>
      <c r="C175" s="62"/>
      <c r="D175" s="65"/>
      <c r="E175" s="65"/>
      <c r="F175" s="65"/>
      <c r="G175" s="67"/>
      <c r="H175" s="71"/>
      <c r="I175" s="71"/>
      <c r="J175" s="70"/>
      <c r="K175" s="23"/>
      <c r="L175" s="70"/>
      <c r="M175" s="70"/>
      <c r="N175" s="70"/>
      <c r="O175" s="40"/>
      <c r="P175" s="23"/>
      <c r="Q175" s="23"/>
      <c r="R175" s="72"/>
      <c r="S175" s="72"/>
      <c r="T175" s="23"/>
      <c r="U175" s="40"/>
      <c r="V175" s="23"/>
      <c r="W175" s="72"/>
      <c r="X175" s="23"/>
      <c r="Y175" s="40"/>
      <c r="Z175" s="23"/>
      <c r="AA175" s="72"/>
      <c r="AB175" s="23"/>
      <c r="AC175" s="40"/>
      <c r="AD175" s="23"/>
      <c r="AE175" s="23"/>
    </row>
    <row r="176" spans="1:31">
      <c r="A176" s="23"/>
      <c r="B176" s="64"/>
      <c r="C176" s="62"/>
      <c r="D176" s="65"/>
      <c r="E176" s="65"/>
      <c r="F176" s="65"/>
      <c r="G176" s="67"/>
      <c r="H176" s="83"/>
      <c r="I176" s="71"/>
      <c r="J176" s="70"/>
      <c r="K176" s="23"/>
      <c r="L176" s="70"/>
      <c r="M176" s="70"/>
      <c r="N176" s="70"/>
      <c r="O176" s="40"/>
      <c r="P176" s="23"/>
      <c r="Q176" s="23"/>
      <c r="R176" s="72"/>
      <c r="S176" s="72"/>
      <c r="T176" s="23"/>
      <c r="U176" s="40"/>
      <c r="V176" s="23"/>
      <c r="W176" s="72"/>
      <c r="X176" s="23"/>
      <c r="Y176" s="40"/>
      <c r="Z176" s="23"/>
      <c r="AA176" s="72"/>
      <c r="AB176" s="23"/>
      <c r="AC176" s="40"/>
      <c r="AD176" s="23"/>
      <c r="AE176" s="23"/>
    </row>
    <row r="177" spans="1:31">
      <c r="A177" s="23"/>
      <c r="B177" s="64"/>
      <c r="C177" s="62"/>
      <c r="D177" s="65"/>
      <c r="E177" s="65"/>
      <c r="F177" s="65"/>
      <c r="G177" s="67"/>
      <c r="H177" s="67"/>
      <c r="I177" s="71"/>
      <c r="J177" s="70"/>
      <c r="K177" s="23"/>
      <c r="L177" s="70"/>
      <c r="M177" s="70"/>
      <c r="N177" s="70"/>
      <c r="O177" s="40"/>
      <c r="P177" s="23"/>
      <c r="Q177" s="23"/>
      <c r="R177" s="72"/>
      <c r="S177" s="72"/>
      <c r="T177" s="23"/>
      <c r="U177" s="40"/>
      <c r="V177" s="23"/>
      <c r="W177" s="72"/>
      <c r="X177" s="23"/>
      <c r="Y177" s="40"/>
      <c r="Z177" s="23"/>
      <c r="AA177" s="72"/>
      <c r="AB177" s="23"/>
      <c r="AC177" s="40"/>
      <c r="AD177" s="23"/>
      <c r="AE177" s="23"/>
    </row>
    <row r="178" spans="1:31">
      <c r="A178" s="23"/>
      <c r="B178" s="64"/>
      <c r="C178" s="62"/>
      <c r="D178" s="65"/>
      <c r="E178" s="65"/>
      <c r="F178" s="65"/>
      <c r="G178" s="67"/>
      <c r="H178" s="67"/>
      <c r="I178" s="71"/>
      <c r="J178" s="70"/>
      <c r="K178" s="23"/>
      <c r="L178" s="70"/>
      <c r="M178" s="70"/>
      <c r="N178" s="70"/>
      <c r="O178" s="40"/>
      <c r="P178" s="23"/>
      <c r="Q178" s="23"/>
      <c r="R178" s="72"/>
      <c r="S178" s="72"/>
      <c r="T178" s="23"/>
      <c r="U178" s="40"/>
      <c r="V178" s="23"/>
      <c r="W178" s="72"/>
      <c r="X178" s="23"/>
      <c r="Y178" s="40"/>
      <c r="Z178" s="23"/>
      <c r="AA178" s="72"/>
      <c r="AB178" s="23"/>
      <c r="AC178" s="40"/>
      <c r="AD178" s="23"/>
      <c r="AE178" s="23"/>
    </row>
    <row r="179" spans="1:31">
      <c r="A179" s="23"/>
      <c r="B179" s="64"/>
      <c r="C179" s="62"/>
      <c r="D179" s="65"/>
      <c r="E179" s="65"/>
      <c r="F179" s="65"/>
      <c r="G179" s="67"/>
      <c r="H179" s="67"/>
      <c r="I179" s="71"/>
      <c r="J179" s="70"/>
      <c r="K179" s="23"/>
      <c r="L179" s="70"/>
      <c r="M179" s="70"/>
      <c r="N179" s="70"/>
      <c r="O179" s="40"/>
      <c r="P179" s="23"/>
      <c r="Q179" s="23"/>
      <c r="R179" s="72"/>
      <c r="S179" s="72"/>
      <c r="T179" s="23"/>
      <c r="U179" s="40"/>
      <c r="V179" s="23"/>
      <c r="W179" s="72"/>
      <c r="X179" s="23"/>
      <c r="Y179" s="40"/>
      <c r="Z179" s="23"/>
      <c r="AA179" s="72"/>
      <c r="AB179" s="23"/>
      <c r="AC179" s="40"/>
      <c r="AD179" s="23"/>
      <c r="AE179" s="23"/>
    </row>
    <row r="180" spans="1:31">
      <c r="A180" s="23"/>
      <c r="B180" s="64"/>
      <c r="C180" s="62"/>
      <c r="D180" s="65"/>
      <c r="E180" s="65"/>
      <c r="F180" s="65"/>
      <c r="G180" s="67"/>
      <c r="H180" s="83"/>
      <c r="I180" s="71"/>
      <c r="J180" s="70"/>
      <c r="K180" s="23"/>
      <c r="L180" s="70"/>
      <c r="M180" s="70"/>
      <c r="N180" s="70"/>
      <c r="O180" s="40"/>
      <c r="P180" s="23"/>
      <c r="Q180" s="23"/>
      <c r="R180" s="72"/>
      <c r="S180" s="72"/>
      <c r="T180" s="23"/>
      <c r="U180" s="40"/>
      <c r="V180" s="23"/>
      <c r="W180" s="72"/>
      <c r="X180" s="23"/>
      <c r="Y180" s="40"/>
      <c r="Z180" s="23"/>
      <c r="AA180" s="72"/>
      <c r="AB180" s="23"/>
      <c r="AC180" s="40"/>
      <c r="AD180" s="23"/>
      <c r="AE180" s="23"/>
    </row>
    <row r="181" spans="1:31">
      <c r="A181" s="23"/>
      <c r="B181" s="64"/>
      <c r="C181" s="62"/>
      <c r="D181" s="65"/>
      <c r="E181" s="65"/>
      <c r="F181" s="65"/>
      <c r="G181" s="67"/>
      <c r="H181" s="83"/>
      <c r="I181" s="71"/>
      <c r="J181" s="70"/>
      <c r="K181" s="23"/>
      <c r="L181" s="70"/>
      <c r="M181" s="70"/>
      <c r="N181" s="70"/>
      <c r="O181" s="40"/>
      <c r="P181" s="23"/>
      <c r="Q181" s="23"/>
      <c r="R181" s="72"/>
      <c r="S181" s="72"/>
      <c r="T181" s="23"/>
      <c r="U181" s="40"/>
      <c r="V181" s="23"/>
      <c r="W181" s="72"/>
      <c r="X181" s="23"/>
      <c r="Y181" s="40"/>
      <c r="Z181" s="23"/>
      <c r="AA181" s="72"/>
      <c r="AB181" s="23"/>
      <c r="AC181" s="40"/>
      <c r="AD181" s="23"/>
      <c r="AE181" s="23"/>
    </row>
    <row r="182" spans="1:31">
      <c r="A182" s="23"/>
      <c r="B182" s="64"/>
      <c r="C182" s="62"/>
      <c r="D182" s="65"/>
      <c r="E182" s="65"/>
      <c r="F182" s="65"/>
      <c r="G182" s="67"/>
      <c r="H182" s="67"/>
      <c r="I182" s="71"/>
      <c r="J182" s="70"/>
      <c r="K182" s="23"/>
      <c r="L182" s="70"/>
      <c r="M182" s="70"/>
      <c r="N182" s="70"/>
      <c r="O182" s="40"/>
      <c r="P182" s="23"/>
      <c r="Q182" s="23"/>
      <c r="R182" s="72"/>
      <c r="S182" s="72"/>
      <c r="T182" s="23"/>
      <c r="U182" s="40"/>
      <c r="V182" s="23"/>
      <c r="W182" s="72"/>
      <c r="X182" s="23"/>
      <c r="Y182" s="40"/>
      <c r="Z182" s="23"/>
      <c r="AA182" s="72"/>
      <c r="AB182" s="23"/>
      <c r="AC182" s="40"/>
      <c r="AD182" s="23"/>
      <c r="AE182" s="23"/>
    </row>
    <row r="183" spans="1:31">
      <c r="A183" s="23"/>
      <c r="B183" s="64"/>
      <c r="C183" s="62"/>
      <c r="D183" s="65"/>
      <c r="E183" s="65"/>
      <c r="F183" s="65"/>
      <c r="G183" s="67"/>
      <c r="H183" s="67"/>
      <c r="I183" s="71"/>
      <c r="J183" s="70"/>
      <c r="K183" s="23"/>
      <c r="L183" s="70"/>
      <c r="M183" s="70"/>
      <c r="N183" s="70"/>
      <c r="O183" s="40"/>
      <c r="P183" s="23"/>
      <c r="Q183" s="23"/>
      <c r="R183" s="72"/>
      <c r="S183" s="72"/>
      <c r="T183" s="23"/>
      <c r="U183" s="40"/>
      <c r="V183" s="23"/>
      <c r="W183" s="72"/>
      <c r="X183" s="23"/>
      <c r="Y183" s="40"/>
      <c r="Z183" s="23"/>
      <c r="AA183" s="72"/>
      <c r="AB183" s="23"/>
      <c r="AC183" s="40"/>
      <c r="AD183" s="23"/>
      <c r="AE183" s="23"/>
    </row>
    <row r="184" spans="1:31">
      <c r="A184" s="23"/>
      <c r="B184" s="64"/>
      <c r="C184" s="62"/>
      <c r="D184" s="65"/>
      <c r="E184" s="65"/>
      <c r="F184" s="65"/>
      <c r="G184" s="67"/>
      <c r="H184" s="67"/>
      <c r="I184" s="71"/>
      <c r="J184" s="70"/>
      <c r="K184" s="23"/>
      <c r="L184" s="70"/>
      <c r="M184" s="70"/>
      <c r="N184" s="70"/>
      <c r="O184" s="40"/>
      <c r="P184" s="23"/>
      <c r="Q184" s="23"/>
      <c r="R184" s="72"/>
      <c r="S184" s="72"/>
      <c r="T184" s="23"/>
      <c r="U184" s="40"/>
      <c r="V184" s="23"/>
      <c r="W184" s="72"/>
      <c r="X184" s="23"/>
      <c r="Y184" s="40"/>
      <c r="Z184" s="23"/>
      <c r="AA184" s="72"/>
      <c r="AB184" s="23"/>
      <c r="AC184" s="40"/>
      <c r="AD184" s="23"/>
      <c r="AE184" s="23"/>
    </row>
    <row r="185" spans="1:31">
      <c r="A185" s="23"/>
      <c r="B185" s="64"/>
      <c r="C185" s="62"/>
      <c r="D185" s="65"/>
      <c r="E185" s="65"/>
      <c r="F185" s="65"/>
      <c r="G185" s="67"/>
      <c r="H185" s="83"/>
      <c r="I185" s="71"/>
      <c r="J185" s="70"/>
      <c r="K185" s="23"/>
      <c r="L185" s="70"/>
      <c r="M185" s="70"/>
      <c r="N185" s="70"/>
      <c r="O185" s="40"/>
      <c r="P185" s="23"/>
      <c r="Q185" s="23"/>
      <c r="R185" s="72"/>
      <c r="S185" s="72"/>
      <c r="T185" s="23"/>
      <c r="U185" s="40"/>
      <c r="V185" s="23"/>
      <c r="W185" s="72"/>
      <c r="X185" s="23"/>
      <c r="Y185" s="40"/>
      <c r="Z185" s="23"/>
      <c r="AA185" s="72"/>
      <c r="AB185" s="23"/>
      <c r="AC185" s="40"/>
      <c r="AD185" s="23"/>
      <c r="AE185" s="23"/>
    </row>
    <row r="186" spans="1:31">
      <c r="A186" s="23"/>
      <c r="B186" s="64"/>
      <c r="C186" s="62"/>
      <c r="D186" s="65"/>
      <c r="E186" s="65"/>
      <c r="F186" s="65"/>
      <c r="G186" s="67"/>
      <c r="H186" s="83"/>
      <c r="I186" s="71"/>
      <c r="J186" s="70"/>
      <c r="K186" s="23"/>
      <c r="L186" s="70"/>
      <c r="M186" s="70"/>
      <c r="N186" s="70"/>
      <c r="O186" s="40"/>
      <c r="P186" s="23"/>
      <c r="Q186" s="23"/>
      <c r="R186" s="72"/>
      <c r="S186" s="72"/>
      <c r="T186" s="23"/>
      <c r="U186" s="40"/>
      <c r="V186" s="23"/>
      <c r="W186" s="72"/>
      <c r="X186" s="23"/>
      <c r="Y186" s="40"/>
      <c r="Z186" s="23"/>
      <c r="AA186" s="72"/>
      <c r="AB186" s="23"/>
      <c r="AC186" s="40"/>
      <c r="AD186" s="23"/>
      <c r="AE186" s="23"/>
    </row>
    <row r="187" spans="1:31">
      <c r="A187" s="23"/>
      <c r="B187" s="64"/>
      <c r="C187" s="62"/>
      <c r="D187" s="65"/>
      <c r="E187" s="65"/>
      <c r="F187" s="65"/>
      <c r="G187" s="67"/>
      <c r="H187" s="67"/>
      <c r="I187" s="71"/>
      <c r="J187" s="70"/>
      <c r="K187" s="23"/>
      <c r="L187" s="70"/>
      <c r="M187" s="70"/>
      <c r="N187" s="70"/>
      <c r="O187" s="40"/>
      <c r="P187" s="23"/>
      <c r="Q187" s="23"/>
      <c r="R187" s="72"/>
      <c r="S187" s="72"/>
      <c r="T187" s="23"/>
      <c r="U187" s="40"/>
      <c r="V187" s="23"/>
      <c r="W187" s="72"/>
      <c r="X187" s="23"/>
      <c r="Y187" s="40"/>
      <c r="Z187" s="23"/>
      <c r="AA187" s="72"/>
      <c r="AB187" s="23"/>
      <c r="AC187" s="40"/>
      <c r="AD187" s="23"/>
      <c r="AE187" s="23"/>
    </row>
    <row r="188" spans="1:31">
      <c r="A188" s="23"/>
      <c r="B188" s="64"/>
      <c r="C188" s="62"/>
      <c r="D188" s="65"/>
      <c r="E188" s="65"/>
      <c r="F188" s="65"/>
      <c r="G188" s="67"/>
      <c r="H188" s="67"/>
      <c r="I188" s="71"/>
      <c r="J188" s="70"/>
      <c r="K188" s="23"/>
      <c r="L188" s="70"/>
      <c r="M188" s="70"/>
      <c r="N188" s="70"/>
      <c r="O188" s="40"/>
      <c r="P188" s="23"/>
      <c r="Q188" s="23"/>
      <c r="R188" s="72"/>
      <c r="S188" s="72"/>
      <c r="T188" s="23"/>
      <c r="U188" s="40"/>
      <c r="V188" s="23"/>
      <c r="W188" s="72"/>
      <c r="X188" s="23"/>
      <c r="Y188" s="40"/>
      <c r="Z188" s="23"/>
      <c r="AA188" s="72"/>
      <c r="AB188" s="23"/>
      <c r="AC188" s="40"/>
      <c r="AD188" s="23"/>
      <c r="AE188" s="23"/>
    </row>
    <row r="189" spans="1:31">
      <c r="A189" s="23"/>
      <c r="B189" s="64"/>
      <c r="C189" s="62"/>
      <c r="D189" s="65"/>
      <c r="E189" s="65"/>
      <c r="F189" s="65"/>
      <c r="G189" s="67"/>
      <c r="H189" s="67"/>
      <c r="I189" s="71"/>
      <c r="J189" s="70"/>
      <c r="K189" s="23"/>
      <c r="L189" s="70"/>
      <c r="M189" s="70"/>
      <c r="N189" s="70"/>
      <c r="O189" s="40"/>
      <c r="P189" s="23"/>
      <c r="Q189" s="23"/>
      <c r="R189" s="72"/>
      <c r="S189" s="72"/>
      <c r="T189" s="23"/>
      <c r="U189" s="40"/>
      <c r="V189" s="23"/>
      <c r="W189" s="72"/>
      <c r="X189" s="23"/>
      <c r="Y189" s="40"/>
      <c r="Z189" s="23"/>
      <c r="AA189" s="72"/>
      <c r="AB189" s="23"/>
      <c r="AC189" s="40"/>
      <c r="AD189" s="23"/>
      <c r="AE189" s="23"/>
    </row>
    <row r="190" spans="1:31">
      <c r="A190" s="23"/>
      <c r="B190" s="64"/>
      <c r="C190" s="62"/>
      <c r="D190" s="65"/>
      <c r="E190" s="65"/>
      <c r="F190" s="65"/>
      <c r="G190" s="67"/>
      <c r="H190" s="67"/>
      <c r="I190" s="71"/>
      <c r="J190" s="70"/>
      <c r="K190" s="23"/>
      <c r="L190" s="70"/>
      <c r="M190" s="70"/>
      <c r="N190" s="70"/>
      <c r="O190" s="40"/>
      <c r="P190" s="23"/>
      <c r="Q190" s="23"/>
      <c r="R190" s="72"/>
      <c r="S190" s="72"/>
      <c r="T190" s="23"/>
      <c r="U190" s="40"/>
      <c r="V190" s="23"/>
      <c r="W190" s="72"/>
      <c r="X190" s="23"/>
      <c r="Y190" s="40"/>
      <c r="Z190" s="23"/>
      <c r="AA190" s="72"/>
      <c r="AB190" s="23"/>
      <c r="AC190" s="40"/>
      <c r="AD190" s="23"/>
      <c r="AE190" s="23"/>
    </row>
    <row r="191" spans="1:31">
      <c r="A191" s="23"/>
      <c r="B191" s="64"/>
      <c r="C191" s="62"/>
      <c r="D191" s="65"/>
      <c r="E191" s="65"/>
      <c r="F191" s="65"/>
      <c r="G191" s="67"/>
      <c r="H191" s="67"/>
      <c r="I191" s="71"/>
      <c r="J191" s="70"/>
      <c r="K191" s="23"/>
      <c r="L191" s="70"/>
      <c r="M191" s="70"/>
      <c r="N191" s="70"/>
      <c r="O191" s="40"/>
      <c r="P191" s="23"/>
      <c r="Q191" s="23"/>
      <c r="R191" s="72"/>
      <c r="S191" s="72"/>
      <c r="T191" s="23"/>
      <c r="U191" s="40"/>
      <c r="V191" s="23"/>
      <c r="W191" s="72"/>
      <c r="X191" s="23"/>
      <c r="Y191" s="40"/>
      <c r="Z191" s="23"/>
      <c r="AA191" s="72"/>
      <c r="AB191" s="23"/>
      <c r="AC191" s="40"/>
      <c r="AD191" s="23"/>
      <c r="AE191" s="23"/>
    </row>
    <row r="192" spans="1:31">
      <c r="A192" s="23"/>
      <c r="B192" s="64"/>
      <c r="C192" s="62"/>
      <c r="D192" s="65"/>
      <c r="E192" s="65"/>
      <c r="F192" s="65"/>
      <c r="G192" s="67"/>
      <c r="H192" s="67"/>
      <c r="I192" s="71"/>
      <c r="J192" s="70"/>
      <c r="K192" s="23"/>
      <c r="L192" s="70"/>
      <c r="M192" s="70"/>
      <c r="N192" s="70"/>
      <c r="O192" s="40"/>
      <c r="P192" s="23"/>
      <c r="Q192" s="23"/>
      <c r="R192" s="72"/>
      <c r="S192" s="72"/>
      <c r="T192" s="23"/>
      <c r="U192" s="40"/>
      <c r="V192" s="23"/>
      <c r="W192" s="72"/>
      <c r="X192" s="23"/>
      <c r="Y192" s="40"/>
      <c r="Z192" s="23"/>
      <c r="AA192" s="72"/>
      <c r="AB192" s="23"/>
      <c r="AC192" s="40"/>
      <c r="AD192" s="23"/>
      <c r="AE192" s="23"/>
    </row>
    <row r="193" spans="1:31">
      <c r="A193" s="23"/>
      <c r="B193" s="64"/>
      <c r="C193" s="62"/>
      <c r="D193" s="65"/>
      <c r="E193" s="65"/>
      <c r="F193" s="65"/>
      <c r="G193" s="67"/>
      <c r="H193" s="67"/>
      <c r="I193" s="71"/>
      <c r="J193" s="70"/>
      <c r="K193" s="23"/>
      <c r="L193" s="70"/>
      <c r="M193" s="70"/>
      <c r="N193" s="70"/>
      <c r="O193" s="40"/>
      <c r="P193" s="23"/>
      <c r="Q193" s="23"/>
      <c r="R193" s="72"/>
      <c r="S193" s="72"/>
      <c r="T193" s="23"/>
      <c r="U193" s="40"/>
      <c r="V193" s="23"/>
      <c r="W193" s="72"/>
      <c r="X193" s="23"/>
      <c r="Y193" s="40"/>
      <c r="Z193" s="23"/>
      <c r="AA193" s="72"/>
      <c r="AB193" s="23"/>
      <c r="AC193" s="40"/>
      <c r="AD193" s="23"/>
      <c r="AE193" s="23"/>
    </row>
    <row r="194" spans="1:31">
      <c r="A194" s="23"/>
      <c r="B194" s="64"/>
      <c r="C194" s="62"/>
      <c r="D194" s="65"/>
      <c r="E194" s="65"/>
      <c r="F194" s="65"/>
      <c r="G194" s="67"/>
      <c r="H194" s="67"/>
      <c r="I194" s="71"/>
      <c r="J194" s="70"/>
      <c r="K194" s="23"/>
      <c r="L194" s="70"/>
      <c r="M194" s="70"/>
      <c r="N194" s="70"/>
      <c r="O194" s="40"/>
      <c r="P194" s="23"/>
      <c r="Q194" s="23"/>
      <c r="R194" s="72"/>
      <c r="S194" s="72"/>
      <c r="T194" s="23"/>
      <c r="U194" s="40"/>
      <c r="V194" s="23"/>
      <c r="W194" s="72"/>
      <c r="X194" s="23"/>
      <c r="Y194" s="40"/>
      <c r="Z194" s="23"/>
      <c r="AA194" s="72"/>
      <c r="AB194" s="23"/>
      <c r="AC194" s="40"/>
      <c r="AD194" s="23"/>
      <c r="AE194" s="23"/>
    </row>
    <row r="195" spans="1:31">
      <c r="A195" s="23"/>
      <c r="B195" s="64"/>
      <c r="C195" s="62"/>
      <c r="D195" s="65"/>
      <c r="E195" s="65"/>
      <c r="F195" s="65"/>
      <c r="G195" s="67"/>
      <c r="H195" s="83"/>
      <c r="I195" s="71"/>
      <c r="J195" s="70"/>
      <c r="K195" s="23"/>
      <c r="L195" s="70"/>
      <c r="M195" s="70"/>
      <c r="N195" s="70"/>
      <c r="O195" s="40"/>
      <c r="P195" s="23"/>
      <c r="Q195" s="23"/>
      <c r="R195" s="72"/>
      <c r="S195" s="72"/>
      <c r="T195" s="23"/>
      <c r="U195" s="40"/>
      <c r="V195" s="23"/>
      <c r="W195" s="72"/>
      <c r="X195" s="23"/>
      <c r="Y195" s="40"/>
      <c r="Z195" s="23"/>
      <c r="AA195" s="72"/>
      <c r="AB195" s="23"/>
      <c r="AC195" s="40"/>
      <c r="AD195" s="23"/>
      <c r="AE195" s="23"/>
    </row>
    <row r="196" spans="1:31">
      <c r="A196" s="23"/>
      <c r="B196" s="64"/>
      <c r="C196" s="62"/>
      <c r="D196" s="65"/>
      <c r="E196" s="65"/>
      <c r="F196" s="65"/>
      <c r="G196" s="67"/>
      <c r="H196" s="67"/>
      <c r="I196" s="71"/>
      <c r="J196" s="70"/>
      <c r="K196" s="23"/>
      <c r="L196" s="70"/>
      <c r="M196" s="70"/>
      <c r="N196" s="70"/>
      <c r="O196" s="40"/>
      <c r="P196" s="23"/>
      <c r="Q196" s="23"/>
      <c r="R196" s="72"/>
      <c r="S196" s="72"/>
      <c r="T196" s="23"/>
      <c r="U196" s="40"/>
      <c r="V196" s="23"/>
      <c r="W196" s="72"/>
      <c r="X196" s="23"/>
      <c r="Y196" s="40"/>
      <c r="Z196" s="23"/>
      <c r="AA196" s="72"/>
      <c r="AB196" s="23"/>
      <c r="AC196" s="40"/>
      <c r="AD196" s="23"/>
      <c r="AE196" s="23"/>
    </row>
    <row r="197" spans="1:31">
      <c r="A197" s="23"/>
      <c r="B197" s="64"/>
      <c r="C197" s="62"/>
      <c r="D197" s="65"/>
      <c r="E197" s="65"/>
      <c r="F197" s="65"/>
      <c r="G197" s="67"/>
      <c r="H197" s="67"/>
      <c r="I197" s="71"/>
      <c r="J197" s="70"/>
      <c r="K197" s="23"/>
      <c r="L197" s="70"/>
      <c r="M197" s="70"/>
      <c r="N197" s="70"/>
      <c r="O197" s="40"/>
      <c r="P197" s="23"/>
      <c r="Q197" s="23"/>
      <c r="R197" s="72"/>
      <c r="S197" s="72"/>
      <c r="T197" s="23"/>
      <c r="U197" s="40"/>
      <c r="V197" s="23"/>
      <c r="W197" s="72"/>
      <c r="X197" s="23"/>
      <c r="Y197" s="40"/>
      <c r="Z197" s="23"/>
      <c r="AA197" s="72"/>
      <c r="AB197" s="23"/>
      <c r="AC197" s="40"/>
      <c r="AD197" s="23"/>
      <c r="AE197" s="23"/>
    </row>
    <row r="198" spans="1:31">
      <c r="A198" s="23"/>
      <c r="B198" s="64"/>
      <c r="C198" s="62"/>
      <c r="D198" s="65"/>
      <c r="E198" s="65"/>
      <c r="F198" s="65"/>
      <c r="G198" s="67"/>
      <c r="H198" s="67"/>
      <c r="I198" s="71"/>
      <c r="J198" s="70"/>
      <c r="K198" s="23"/>
      <c r="L198" s="70"/>
      <c r="M198" s="70"/>
      <c r="N198" s="70"/>
      <c r="O198" s="40"/>
      <c r="P198" s="23"/>
      <c r="Q198" s="23"/>
      <c r="R198" s="72"/>
      <c r="S198" s="72"/>
      <c r="T198" s="23"/>
      <c r="U198" s="40"/>
      <c r="V198" s="23"/>
      <c r="W198" s="72"/>
      <c r="X198" s="23"/>
      <c r="Y198" s="40"/>
      <c r="Z198" s="23"/>
      <c r="AA198" s="72"/>
      <c r="AB198" s="23"/>
      <c r="AC198" s="40"/>
      <c r="AD198" s="23"/>
      <c r="AE198" s="23"/>
    </row>
    <row r="199" spans="1:31">
      <c r="A199" s="23"/>
      <c r="B199" s="64"/>
      <c r="C199" s="62"/>
      <c r="D199" s="65"/>
      <c r="E199" s="65"/>
      <c r="F199" s="65"/>
      <c r="G199" s="67"/>
      <c r="H199" s="67"/>
      <c r="I199" s="71"/>
      <c r="J199" s="70"/>
      <c r="K199" s="23"/>
      <c r="L199" s="70"/>
      <c r="M199" s="70"/>
      <c r="N199" s="70"/>
      <c r="O199" s="40"/>
      <c r="P199" s="23"/>
      <c r="Q199" s="23"/>
      <c r="R199" s="72"/>
      <c r="S199" s="72"/>
      <c r="T199" s="23"/>
      <c r="U199" s="40"/>
      <c r="V199" s="23"/>
      <c r="W199" s="72"/>
      <c r="X199" s="23"/>
      <c r="Y199" s="40"/>
      <c r="Z199" s="23"/>
      <c r="AA199" s="72"/>
      <c r="AB199" s="23"/>
      <c r="AC199" s="40"/>
      <c r="AD199" s="23"/>
      <c r="AE199" s="23"/>
    </row>
    <row r="200" spans="1:31">
      <c r="A200" s="23"/>
      <c r="B200" s="64"/>
      <c r="C200" s="62"/>
      <c r="D200" s="65"/>
      <c r="E200" s="65"/>
      <c r="F200" s="65"/>
      <c r="G200" s="67"/>
      <c r="H200" s="67"/>
      <c r="I200" s="71"/>
      <c r="J200" s="70"/>
      <c r="K200" s="23"/>
      <c r="L200" s="70"/>
      <c r="M200" s="70"/>
      <c r="N200" s="70"/>
      <c r="O200" s="40"/>
      <c r="P200" s="23"/>
      <c r="Q200" s="23"/>
      <c r="R200" s="72"/>
      <c r="S200" s="72"/>
      <c r="T200" s="23"/>
      <c r="U200" s="40"/>
      <c r="V200" s="23"/>
      <c r="W200" s="72"/>
      <c r="X200" s="23"/>
      <c r="Y200" s="40"/>
      <c r="Z200" s="23"/>
      <c r="AA200" s="72"/>
      <c r="AB200" s="23"/>
      <c r="AC200" s="40"/>
      <c r="AD200" s="23"/>
      <c r="AE200" s="23"/>
    </row>
    <row r="201" spans="1:31">
      <c r="A201" s="23"/>
      <c r="B201" s="64"/>
      <c r="C201" s="62"/>
      <c r="D201" s="65"/>
      <c r="E201" s="65"/>
      <c r="F201" s="65"/>
      <c r="G201" s="67"/>
      <c r="H201" s="67"/>
      <c r="I201" s="71"/>
      <c r="J201" s="70"/>
      <c r="K201" s="23"/>
      <c r="L201" s="70"/>
      <c r="M201" s="70"/>
      <c r="N201" s="70"/>
      <c r="O201" s="40"/>
      <c r="P201" s="23"/>
      <c r="Q201" s="23"/>
      <c r="R201" s="72"/>
      <c r="S201" s="72"/>
      <c r="T201" s="23"/>
      <c r="U201" s="40"/>
      <c r="V201" s="23"/>
      <c r="W201" s="72"/>
      <c r="X201" s="23"/>
      <c r="Y201" s="40"/>
      <c r="Z201" s="23"/>
      <c r="AA201" s="72"/>
      <c r="AB201" s="23"/>
      <c r="AC201" s="40"/>
      <c r="AD201" s="23"/>
      <c r="AE201" s="23"/>
    </row>
    <row r="202" spans="1:31">
      <c r="A202" s="23"/>
      <c r="B202" s="64"/>
      <c r="C202" s="62"/>
      <c r="D202" s="65"/>
      <c r="E202" s="65"/>
      <c r="F202" s="65"/>
      <c r="G202" s="67"/>
      <c r="H202" s="67"/>
      <c r="I202" s="71"/>
      <c r="J202" s="70"/>
      <c r="K202" s="23"/>
      <c r="L202" s="70"/>
      <c r="M202" s="70"/>
      <c r="N202" s="70"/>
      <c r="O202" s="40"/>
      <c r="P202" s="23"/>
      <c r="Q202" s="23"/>
      <c r="R202" s="72"/>
      <c r="S202" s="72"/>
      <c r="T202" s="23"/>
      <c r="U202" s="40"/>
      <c r="V202" s="23"/>
      <c r="W202" s="72"/>
      <c r="X202" s="23"/>
      <c r="Y202" s="40"/>
      <c r="Z202" s="23"/>
      <c r="AA202" s="72"/>
      <c r="AB202" s="23"/>
      <c r="AC202" s="40"/>
      <c r="AD202" s="23"/>
      <c r="AE202" s="23"/>
    </row>
    <row r="203" spans="1:31">
      <c r="A203" s="23"/>
      <c r="B203" s="64"/>
      <c r="C203" s="62"/>
      <c r="D203" s="65"/>
      <c r="E203" s="65"/>
      <c r="F203" s="65"/>
      <c r="G203" s="67"/>
      <c r="H203" s="67"/>
      <c r="I203" s="71"/>
      <c r="J203" s="70"/>
      <c r="K203" s="23"/>
      <c r="L203" s="70"/>
      <c r="M203" s="70"/>
      <c r="N203" s="70"/>
      <c r="O203" s="40"/>
      <c r="P203" s="23"/>
      <c r="Q203" s="23"/>
      <c r="R203" s="72"/>
      <c r="S203" s="72"/>
      <c r="T203" s="23"/>
      <c r="U203" s="40"/>
      <c r="V203" s="23"/>
      <c r="W203" s="72"/>
      <c r="X203" s="23"/>
      <c r="Y203" s="40"/>
      <c r="Z203" s="23"/>
      <c r="AA203" s="72"/>
      <c r="AB203" s="23"/>
      <c r="AC203" s="40"/>
      <c r="AD203" s="23"/>
      <c r="AE203" s="23"/>
    </row>
    <row r="204" spans="1:31">
      <c r="A204" s="23"/>
      <c r="B204" s="64"/>
      <c r="C204" s="62"/>
      <c r="D204" s="65"/>
      <c r="E204" s="65"/>
      <c r="F204" s="65"/>
      <c r="G204" s="67"/>
      <c r="H204" s="67"/>
      <c r="I204" s="71"/>
      <c r="J204" s="70"/>
      <c r="K204" s="23"/>
      <c r="L204" s="70"/>
      <c r="M204" s="70"/>
      <c r="N204" s="70"/>
      <c r="O204" s="40"/>
      <c r="P204" s="23"/>
      <c r="Q204" s="23"/>
      <c r="R204" s="72"/>
      <c r="S204" s="72"/>
      <c r="T204" s="23"/>
      <c r="U204" s="40"/>
      <c r="V204" s="23"/>
      <c r="W204" s="72"/>
      <c r="X204" s="23"/>
      <c r="Y204" s="40"/>
      <c r="Z204" s="23"/>
      <c r="AA204" s="72"/>
      <c r="AB204" s="23"/>
      <c r="AC204" s="40"/>
      <c r="AD204" s="23"/>
      <c r="AE204" s="23"/>
    </row>
    <row r="205" spans="1:31">
      <c r="A205" s="23"/>
      <c r="B205" s="64"/>
      <c r="C205" s="62"/>
      <c r="D205" s="65"/>
      <c r="E205" s="65"/>
      <c r="F205" s="65"/>
      <c r="G205" s="67"/>
      <c r="H205" s="67"/>
      <c r="I205" s="71"/>
      <c r="J205" s="70"/>
      <c r="K205" s="23"/>
      <c r="L205" s="70"/>
      <c r="M205" s="70"/>
      <c r="N205" s="70"/>
      <c r="O205" s="40"/>
      <c r="P205" s="23"/>
      <c r="Q205" s="23"/>
      <c r="R205" s="72"/>
      <c r="S205" s="72"/>
      <c r="T205" s="23"/>
      <c r="U205" s="40"/>
      <c r="V205" s="23"/>
      <c r="W205" s="72"/>
      <c r="X205" s="23"/>
      <c r="Y205" s="40"/>
      <c r="Z205" s="23"/>
      <c r="AA205" s="72"/>
      <c r="AB205" s="23"/>
      <c r="AC205" s="40"/>
      <c r="AD205" s="23"/>
      <c r="AE205" s="23"/>
    </row>
    <row r="206" spans="1:31">
      <c r="A206" s="23"/>
      <c r="B206" s="64"/>
      <c r="C206" s="62"/>
      <c r="D206" s="65"/>
      <c r="E206" s="65"/>
      <c r="F206" s="65"/>
      <c r="G206" s="67"/>
      <c r="H206" s="67"/>
      <c r="I206" s="71"/>
      <c r="J206" s="70"/>
      <c r="K206" s="23"/>
      <c r="L206" s="70"/>
      <c r="M206" s="70"/>
      <c r="N206" s="70"/>
      <c r="O206" s="40"/>
      <c r="P206" s="23"/>
      <c r="Q206" s="23"/>
      <c r="R206" s="72"/>
      <c r="S206" s="72"/>
      <c r="T206" s="23"/>
      <c r="U206" s="40"/>
      <c r="V206" s="23"/>
      <c r="W206" s="72"/>
      <c r="X206" s="23"/>
      <c r="Y206" s="40"/>
      <c r="Z206" s="23"/>
      <c r="AA206" s="72"/>
      <c r="AB206" s="23"/>
      <c r="AC206" s="40"/>
      <c r="AD206" s="23"/>
      <c r="AE206" s="23"/>
    </row>
    <row r="207" spans="1:31">
      <c r="A207" s="23"/>
      <c r="B207" s="64"/>
      <c r="C207" s="62"/>
      <c r="D207" s="65"/>
      <c r="E207" s="65"/>
      <c r="F207" s="65"/>
      <c r="G207" s="67"/>
      <c r="H207" s="67"/>
      <c r="I207" s="71"/>
      <c r="J207" s="70"/>
      <c r="K207" s="23"/>
      <c r="L207" s="70"/>
      <c r="M207" s="70"/>
      <c r="N207" s="70"/>
      <c r="O207" s="40"/>
      <c r="P207" s="23"/>
      <c r="Q207" s="23"/>
      <c r="R207" s="72"/>
      <c r="S207" s="72"/>
      <c r="T207" s="23"/>
      <c r="U207" s="40"/>
      <c r="V207" s="23"/>
      <c r="W207" s="72"/>
      <c r="X207" s="23"/>
      <c r="Y207" s="40"/>
      <c r="Z207" s="23"/>
      <c r="AA207" s="72"/>
      <c r="AB207" s="23"/>
      <c r="AC207" s="40"/>
      <c r="AD207" s="23"/>
      <c r="AE207" s="23"/>
    </row>
    <row r="208" spans="1:31">
      <c r="A208" s="23"/>
      <c r="B208" s="64"/>
      <c r="C208" s="62"/>
      <c r="D208" s="65"/>
      <c r="E208" s="65"/>
      <c r="F208" s="65"/>
      <c r="G208" s="67"/>
      <c r="H208" s="67"/>
      <c r="I208" s="71"/>
      <c r="J208" s="70"/>
      <c r="K208" s="23"/>
      <c r="L208" s="70"/>
      <c r="M208" s="70"/>
      <c r="N208" s="70"/>
      <c r="O208" s="40"/>
      <c r="P208" s="23"/>
      <c r="Q208" s="23"/>
      <c r="R208" s="72"/>
      <c r="S208" s="72"/>
      <c r="T208" s="23"/>
      <c r="U208" s="40"/>
      <c r="V208" s="23"/>
      <c r="W208" s="72"/>
      <c r="X208" s="23"/>
      <c r="Y208" s="40"/>
      <c r="Z208" s="23"/>
      <c r="AA208" s="72"/>
      <c r="AB208" s="23"/>
      <c r="AC208" s="40"/>
      <c r="AD208" s="23"/>
      <c r="AE208" s="23"/>
    </row>
    <row r="209" spans="1:31">
      <c r="A209" s="23"/>
      <c r="B209" s="64"/>
      <c r="C209" s="62"/>
      <c r="D209" s="65"/>
      <c r="E209" s="65"/>
      <c r="F209" s="65"/>
      <c r="G209" s="67"/>
      <c r="H209" s="67"/>
      <c r="I209" s="71"/>
      <c r="J209" s="70"/>
      <c r="K209" s="23"/>
      <c r="L209" s="70"/>
      <c r="M209" s="70"/>
      <c r="N209" s="70"/>
      <c r="O209" s="40"/>
      <c r="P209" s="23"/>
      <c r="Q209" s="23"/>
      <c r="R209" s="72"/>
      <c r="S209" s="72"/>
      <c r="T209" s="23"/>
      <c r="U209" s="40"/>
      <c r="V209" s="23"/>
      <c r="W209" s="72"/>
      <c r="X209" s="23"/>
      <c r="Y209" s="40"/>
      <c r="Z209" s="23"/>
      <c r="AA209" s="72"/>
      <c r="AB209" s="23"/>
      <c r="AC209" s="40"/>
      <c r="AD209" s="23"/>
      <c r="AE209" s="23"/>
    </row>
    <row r="210" spans="1:31">
      <c r="A210" s="23"/>
      <c r="B210" s="64"/>
      <c r="C210" s="62"/>
      <c r="D210" s="65"/>
      <c r="E210" s="65"/>
      <c r="F210" s="65"/>
      <c r="G210" s="67"/>
      <c r="H210" s="67"/>
      <c r="I210" s="71"/>
      <c r="J210" s="70"/>
      <c r="K210" s="23"/>
      <c r="L210" s="70"/>
      <c r="M210" s="70"/>
      <c r="N210" s="70"/>
      <c r="O210" s="40"/>
      <c r="P210" s="23"/>
      <c r="Q210" s="23"/>
      <c r="R210" s="72"/>
      <c r="S210" s="72"/>
      <c r="T210" s="23"/>
      <c r="U210" s="40"/>
      <c r="V210" s="23"/>
      <c r="W210" s="72"/>
      <c r="X210" s="23"/>
      <c r="Y210" s="40"/>
      <c r="Z210" s="23"/>
      <c r="AA210" s="72"/>
      <c r="AB210" s="23"/>
      <c r="AC210" s="40"/>
      <c r="AD210" s="23"/>
      <c r="AE210" s="23"/>
    </row>
    <row r="211" spans="1:31">
      <c r="A211" s="23"/>
      <c r="B211" s="64"/>
      <c r="C211" s="62"/>
      <c r="D211" s="65"/>
      <c r="E211" s="65"/>
      <c r="F211" s="65"/>
      <c r="G211" s="67"/>
      <c r="H211" s="67"/>
      <c r="I211" s="71"/>
      <c r="J211" s="70"/>
      <c r="K211" s="23"/>
      <c r="L211" s="70"/>
      <c r="M211" s="70"/>
      <c r="N211" s="70"/>
      <c r="O211" s="40"/>
      <c r="P211" s="23"/>
      <c r="Q211" s="23"/>
      <c r="R211" s="72"/>
      <c r="S211" s="72"/>
      <c r="T211" s="23"/>
      <c r="U211" s="40"/>
      <c r="V211" s="23"/>
      <c r="W211" s="72"/>
      <c r="X211" s="23"/>
      <c r="Y211" s="40"/>
      <c r="Z211" s="23"/>
      <c r="AA211" s="72"/>
      <c r="AB211" s="23"/>
      <c r="AC211" s="40"/>
      <c r="AD211" s="23"/>
      <c r="AE211" s="23"/>
    </row>
    <row r="212" spans="1:31">
      <c r="A212" s="23"/>
      <c r="B212" s="64"/>
      <c r="C212" s="62"/>
      <c r="D212" s="65"/>
      <c r="E212" s="65"/>
      <c r="F212" s="65"/>
      <c r="G212" s="67"/>
      <c r="H212" s="67"/>
      <c r="I212" s="71"/>
      <c r="J212" s="70"/>
      <c r="K212" s="23"/>
      <c r="L212" s="70"/>
      <c r="M212" s="70"/>
      <c r="N212" s="70"/>
      <c r="O212" s="40"/>
      <c r="P212" s="23"/>
      <c r="Q212" s="23"/>
      <c r="R212" s="72"/>
      <c r="S212" s="72"/>
      <c r="T212" s="23"/>
      <c r="U212" s="40"/>
      <c r="V212" s="23"/>
      <c r="W212" s="72"/>
      <c r="X212" s="23"/>
      <c r="Y212" s="40"/>
      <c r="Z212" s="23"/>
      <c r="AA212" s="72"/>
      <c r="AB212" s="23"/>
      <c r="AC212" s="40"/>
      <c r="AD212" s="23"/>
      <c r="AE212" s="23"/>
    </row>
    <row r="213" spans="1:31">
      <c r="A213" s="23"/>
      <c r="B213" s="64"/>
      <c r="C213" s="62"/>
      <c r="D213" s="65"/>
      <c r="E213" s="65"/>
      <c r="F213" s="65"/>
      <c r="G213" s="67"/>
      <c r="H213" s="67"/>
      <c r="I213" s="71"/>
      <c r="J213" s="70"/>
      <c r="K213" s="23"/>
      <c r="L213" s="70"/>
      <c r="M213" s="70"/>
      <c r="N213" s="70"/>
      <c r="O213" s="40"/>
      <c r="P213" s="23"/>
      <c r="Q213" s="23"/>
      <c r="R213" s="72"/>
      <c r="S213" s="72"/>
      <c r="T213" s="23"/>
      <c r="U213" s="40"/>
      <c r="V213" s="23"/>
      <c r="W213" s="72"/>
      <c r="X213" s="23"/>
      <c r="Y213" s="40"/>
      <c r="Z213" s="23"/>
      <c r="AA213" s="72"/>
      <c r="AB213" s="23"/>
      <c r="AC213" s="40"/>
      <c r="AD213" s="23"/>
      <c r="AE213" s="23"/>
    </row>
    <row r="214" spans="1:31">
      <c r="A214" s="23"/>
      <c r="B214" s="64"/>
      <c r="C214" s="62"/>
      <c r="D214" s="65"/>
      <c r="E214" s="65"/>
      <c r="F214" s="65"/>
      <c r="G214" s="67"/>
      <c r="H214" s="67"/>
      <c r="I214" s="71"/>
      <c r="J214" s="70"/>
      <c r="K214" s="23"/>
      <c r="L214" s="70"/>
      <c r="M214" s="70"/>
      <c r="N214" s="70"/>
      <c r="O214" s="40"/>
      <c r="P214" s="23"/>
      <c r="Q214" s="23"/>
      <c r="R214" s="72"/>
      <c r="S214" s="72"/>
      <c r="T214" s="23"/>
      <c r="U214" s="40"/>
      <c r="V214" s="23"/>
      <c r="W214" s="72"/>
      <c r="X214" s="23"/>
      <c r="Y214" s="40"/>
      <c r="Z214" s="23"/>
      <c r="AA214" s="72"/>
      <c r="AB214" s="23"/>
      <c r="AC214" s="40"/>
      <c r="AD214" s="23"/>
      <c r="AE214" s="23"/>
    </row>
    <row r="215" spans="1:31">
      <c r="A215" s="23"/>
      <c r="B215" s="64"/>
      <c r="C215" s="62"/>
      <c r="D215" s="65"/>
      <c r="E215" s="65"/>
      <c r="F215" s="65"/>
      <c r="G215" s="67"/>
      <c r="H215" s="67"/>
      <c r="I215" s="71"/>
      <c r="J215" s="70"/>
      <c r="K215" s="23"/>
      <c r="L215" s="70"/>
      <c r="M215" s="70"/>
      <c r="N215" s="70"/>
      <c r="O215" s="40"/>
      <c r="P215" s="23"/>
      <c r="Q215" s="23"/>
      <c r="R215" s="72"/>
      <c r="S215" s="72"/>
      <c r="T215" s="23"/>
      <c r="U215" s="40"/>
      <c r="V215" s="23"/>
      <c r="W215" s="72"/>
      <c r="X215" s="23"/>
      <c r="Y215" s="40"/>
      <c r="Z215" s="23"/>
      <c r="AA215" s="72"/>
      <c r="AB215" s="23"/>
      <c r="AC215" s="40"/>
      <c r="AD215" s="23"/>
      <c r="AE215" s="23"/>
    </row>
    <row r="216" spans="1:31">
      <c r="A216" s="23"/>
      <c r="B216" s="64"/>
      <c r="C216" s="62"/>
      <c r="D216" s="65"/>
      <c r="E216" s="65"/>
      <c r="F216" s="65"/>
      <c r="G216" s="67"/>
      <c r="H216" s="67"/>
      <c r="I216" s="71"/>
      <c r="J216" s="70"/>
      <c r="K216" s="23"/>
      <c r="L216" s="70"/>
      <c r="M216" s="70"/>
      <c r="N216" s="70"/>
      <c r="O216" s="40"/>
      <c r="P216" s="23"/>
      <c r="Q216" s="23"/>
      <c r="R216" s="72"/>
      <c r="S216" s="72"/>
      <c r="T216" s="23"/>
      <c r="U216" s="40"/>
      <c r="V216" s="23"/>
      <c r="W216" s="72"/>
      <c r="X216" s="23"/>
      <c r="Y216" s="40"/>
      <c r="Z216" s="23"/>
      <c r="AA216" s="72"/>
      <c r="AB216" s="23"/>
      <c r="AC216" s="40"/>
      <c r="AD216" s="23"/>
      <c r="AE216" s="23"/>
    </row>
    <row r="217" spans="1:31">
      <c r="A217" s="23"/>
      <c r="B217" s="64"/>
      <c r="C217" s="62"/>
      <c r="D217" s="65"/>
      <c r="E217" s="65"/>
      <c r="F217" s="65"/>
      <c r="G217" s="67"/>
      <c r="H217" s="67"/>
      <c r="I217" s="71"/>
      <c r="J217" s="70"/>
      <c r="K217" s="23"/>
      <c r="L217" s="70"/>
      <c r="M217" s="70"/>
      <c r="N217" s="70"/>
      <c r="O217" s="40"/>
      <c r="P217" s="23"/>
      <c r="Q217" s="23"/>
      <c r="R217" s="72"/>
      <c r="S217" s="72"/>
      <c r="T217" s="23"/>
      <c r="U217" s="40"/>
      <c r="V217" s="23"/>
      <c r="W217" s="72"/>
      <c r="X217" s="23"/>
      <c r="Y217" s="40"/>
      <c r="Z217" s="23"/>
      <c r="AA217" s="72"/>
      <c r="AB217" s="23"/>
      <c r="AC217" s="40"/>
      <c r="AD217" s="23"/>
      <c r="AE217" s="23"/>
    </row>
    <row r="218" spans="1:31">
      <c r="A218" s="23"/>
      <c r="B218" s="64"/>
      <c r="C218" s="62"/>
      <c r="D218" s="65"/>
      <c r="E218" s="65"/>
      <c r="F218" s="65"/>
      <c r="G218" s="67"/>
      <c r="H218" s="67"/>
      <c r="I218" s="71"/>
      <c r="J218" s="70"/>
      <c r="K218" s="23"/>
      <c r="L218" s="70"/>
      <c r="M218" s="70"/>
      <c r="N218" s="70"/>
      <c r="O218" s="40"/>
      <c r="P218" s="23"/>
      <c r="Q218" s="23"/>
      <c r="R218" s="72"/>
      <c r="S218" s="72"/>
      <c r="T218" s="23"/>
      <c r="U218" s="40"/>
      <c r="V218" s="23"/>
      <c r="W218" s="72"/>
      <c r="X218" s="23"/>
      <c r="Y218" s="40"/>
      <c r="Z218" s="23"/>
      <c r="AA218" s="72"/>
      <c r="AB218" s="23"/>
      <c r="AC218" s="40"/>
      <c r="AD218" s="23"/>
      <c r="AE218" s="23"/>
    </row>
    <row r="219" spans="1:31">
      <c r="A219" s="23"/>
      <c r="B219" s="64"/>
      <c r="C219" s="62"/>
      <c r="D219" s="65"/>
      <c r="E219" s="65"/>
      <c r="F219" s="65"/>
      <c r="G219" s="67"/>
      <c r="H219" s="67"/>
      <c r="I219" s="71"/>
      <c r="J219" s="70"/>
      <c r="K219" s="23"/>
      <c r="L219" s="70"/>
      <c r="M219" s="70"/>
      <c r="N219" s="70"/>
      <c r="O219" s="40"/>
      <c r="P219" s="23"/>
      <c r="Q219" s="23"/>
      <c r="R219" s="72"/>
      <c r="S219" s="72"/>
      <c r="T219" s="23"/>
      <c r="U219" s="40"/>
      <c r="V219" s="23"/>
      <c r="W219" s="72"/>
      <c r="X219" s="23"/>
      <c r="Y219" s="40"/>
      <c r="Z219" s="23"/>
      <c r="AA219" s="72"/>
      <c r="AB219" s="23"/>
      <c r="AC219" s="40"/>
      <c r="AD219" s="23"/>
      <c r="AE219" s="23"/>
    </row>
    <row r="220" spans="1:31">
      <c r="A220" s="23"/>
      <c r="B220" s="64"/>
      <c r="C220" s="62"/>
      <c r="D220" s="65"/>
      <c r="E220" s="65"/>
      <c r="F220" s="65"/>
      <c r="G220" s="67"/>
      <c r="H220" s="67"/>
      <c r="I220" s="71"/>
      <c r="J220" s="70"/>
      <c r="K220" s="23"/>
      <c r="L220" s="70"/>
      <c r="M220" s="70"/>
      <c r="N220" s="70"/>
      <c r="O220" s="40"/>
      <c r="P220" s="23"/>
      <c r="Q220" s="23"/>
      <c r="R220" s="72"/>
      <c r="S220" s="72"/>
      <c r="T220" s="23"/>
      <c r="U220" s="40"/>
      <c r="V220" s="23"/>
      <c r="W220" s="72"/>
      <c r="X220" s="23"/>
      <c r="Y220" s="40"/>
      <c r="Z220" s="23"/>
      <c r="AA220" s="72"/>
      <c r="AB220" s="23"/>
      <c r="AC220" s="40"/>
      <c r="AD220" s="23"/>
      <c r="AE220" s="23"/>
    </row>
    <row r="221" spans="1:31">
      <c r="A221" s="23"/>
      <c r="B221" s="64"/>
      <c r="C221" s="62"/>
      <c r="D221" s="65"/>
      <c r="E221" s="65"/>
      <c r="F221" s="65"/>
      <c r="G221" s="67"/>
      <c r="H221" s="67"/>
      <c r="I221" s="71"/>
      <c r="J221" s="70"/>
      <c r="K221" s="23"/>
      <c r="L221" s="70"/>
      <c r="M221" s="70"/>
      <c r="N221" s="70"/>
      <c r="O221" s="40"/>
      <c r="P221" s="23"/>
      <c r="Q221" s="23"/>
      <c r="R221" s="72"/>
      <c r="S221" s="72"/>
      <c r="T221" s="23"/>
      <c r="U221" s="40"/>
      <c r="V221" s="23"/>
      <c r="W221" s="72"/>
      <c r="X221" s="23"/>
      <c r="Y221" s="40"/>
      <c r="Z221" s="23"/>
      <c r="AA221" s="72"/>
      <c r="AB221" s="23"/>
      <c r="AC221" s="40"/>
      <c r="AD221" s="23"/>
      <c r="AE221" s="23"/>
    </row>
    <row r="222" spans="1:31">
      <c r="A222" s="23"/>
      <c r="B222" s="64"/>
      <c r="C222" s="62"/>
      <c r="D222" s="65"/>
      <c r="E222" s="65"/>
      <c r="F222" s="65"/>
      <c r="G222" s="67"/>
      <c r="H222" s="67"/>
      <c r="I222" s="71"/>
      <c r="J222" s="70"/>
      <c r="K222" s="23"/>
      <c r="L222" s="70"/>
      <c r="M222" s="70"/>
      <c r="N222" s="70"/>
      <c r="O222" s="40"/>
      <c r="P222" s="23"/>
      <c r="Q222" s="23"/>
      <c r="R222" s="72"/>
      <c r="S222" s="72"/>
      <c r="T222" s="23"/>
      <c r="U222" s="40"/>
      <c r="V222" s="23"/>
      <c r="W222" s="72"/>
      <c r="X222" s="23"/>
      <c r="Y222" s="40"/>
      <c r="Z222" s="23"/>
      <c r="AA222" s="72"/>
      <c r="AB222" s="23"/>
      <c r="AC222" s="40"/>
      <c r="AD222" s="23"/>
      <c r="AE222" s="23"/>
    </row>
    <row r="223" spans="1:31" ht="24" customHeight="1">
      <c r="A223" s="23"/>
      <c r="B223" s="64"/>
      <c r="C223" s="62"/>
      <c r="D223" s="65"/>
      <c r="E223" s="65"/>
      <c r="F223" s="65"/>
      <c r="G223" s="67"/>
      <c r="H223" s="83"/>
      <c r="I223" s="71"/>
      <c r="J223" s="70"/>
      <c r="K223" s="23"/>
      <c r="L223" s="70"/>
      <c r="M223" s="70"/>
      <c r="N223" s="70"/>
      <c r="O223" s="40"/>
      <c r="P223" s="23"/>
      <c r="Q223" s="23"/>
      <c r="R223" s="72"/>
      <c r="S223" s="72"/>
      <c r="T223" s="23"/>
      <c r="U223" s="40"/>
      <c r="V223" s="23"/>
      <c r="W223" s="72"/>
      <c r="X223" s="23"/>
      <c r="Y223" s="40"/>
      <c r="Z223" s="23"/>
      <c r="AA223" s="72"/>
      <c r="AB223" s="23"/>
      <c r="AC223" s="40"/>
      <c r="AD223" s="23"/>
      <c r="AE223" s="23"/>
    </row>
    <row r="224" spans="1:31">
      <c r="A224" s="23"/>
      <c r="B224" s="64"/>
      <c r="C224" s="62"/>
      <c r="D224" s="65"/>
      <c r="E224" s="65"/>
      <c r="F224" s="65"/>
      <c r="G224" s="67"/>
      <c r="H224" s="67"/>
      <c r="I224" s="71"/>
      <c r="J224" s="70"/>
      <c r="K224" s="23"/>
      <c r="L224" s="70"/>
      <c r="M224" s="70"/>
      <c r="N224" s="70"/>
      <c r="O224" s="40"/>
      <c r="P224" s="23"/>
      <c r="Q224" s="23"/>
      <c r="R224" s="72"/>
      <c r="S224" s="72"/>
      <c r="T224" s="23"/>
      <c r="U224" s="40"/>
      <c r="V224" s="23"/>
      <c r="W224" s="72"/>
      <c r="X224" s="23"/>
      <c r="Y224" s="40"/>
      <c r="Z224" s="23"/>
      <c r="AA224" s="72"/>
      <c r="AB224" s="23"/>
      <c r="AC224" s="40"/>
      <c r="AD224" s="23"/>
      <c r="AE224" s="23"/>
    </row>
    <row r="225" spans="1:31" ht="24" customHeight="1">
      <c r="A225" s="23"/>
      <c r="B225" s="64"/>
      <c r="C225" s="62"/>
      <c r="D225" s="65"/>
      <c r="E225" s="65"/>
      <c r="F225" s="65"/>
      <c r="G225" s="67"/>
      <c r="H225" s="83"/>
      <c r="I225" s="71"/>
      <c r="J225" s="70"/>
      <c r="K225" s="23"/>
      <c r="L225" s="70"/>
      <c r="M225" s="70"/>
      <c r="N225" s="70"/>
      <c r="O225" s="40"/>
      <c r="P225" s="23"/>
      <c r="Q225" s="23"/>
      <c r="R225" s="72"/>
      <c r="S225" s="72"/>
      <c r="T225" s="23"/>
      <c r="U225" s="40"/>
      <c r="V225" s="23"/>
      <c r="W225" s="72"/>
      <c r="X225" s="23"/>
      <c r="Y225" s="40"/>
      <c r="Z225" s="23"/>
      <c r="AA225" s="72"/>
      <c r="AB225" s="23"/>
      <c r="AC225" s="40"/>
      <c r="AD225" s="23"/>
      <c r="AE225" s="23"/>
    </row>
    <row r="226" spans="1:31">
      <c r="A226" s="23"/>
      <c r="B226" s="64"/>
      <c r="C226" s="62"/>
      <c r="D226" s="65"/>
      <c r="E226" s="65"/>
      <c r="F226" s="65"/>
      <c r="G226" s="67"/>
      <c r="H226" s="67"/>
      <c r="I226" s="71"/>
      <c r="J226" s="70"/>
      <c r="K226" s="23"/>
      <c r="L226" s="70"/>
      <c r="M226" s="70"/>
      <c r="N226" s="70"/>
      <c r="O226" s="40"/>
      <c r="P226" s="23"/>
      <c r="Q226" s="23"/>
      <c r="R226" s="72"/>
      <c r="S226" s="72"/>
      <c r="T226" s="23"/>
      <c r="U226" s="40"/>
      <c r="V226" s="23"/>
      <c r="W226" s="72"/>
      <c r="X226" s="23"/>
      <c r="Y226" s="40"/>
      <c r="Z226" s="23"/>
      <c r="AA226" s="72"/>
      <c r="AB226" s="23"/>
      <c r="AC226" s="40"/>
      <c r="AD226" s="23"/>
      <c r="AE226" s="23"/>
    </row>
    <row r="227" spans="1:31" ht="24" customHeight="1">
      <c r="A227" s="23"/>
      <c r="B227" s="64"/>
      <c r="C227" s="62"/>
      <c r="D227" s="65"/>
      <c r="E227" s="65"/>
      <c r="F227" s="65"/>
      <c r="G227" s="67"/>
      <c r="H227" s="83"/>
      <c r="I227" s="71"/>
      <c r="J227" s="70"/>
      <c r="K227" s="23"/>
      <c r="L227" s="70"/>
      <c r="M227" s="70"/>
      <c r="N227" s="70"/>
      <c r="O227" s="40"/>
      <c r="P227" s="23"/>
      <c r="Q227" s="23"/>
      <c r="R227" s="72"/>
      <c r="S227" s="72"/>
      <c r="T227" s="23"/>
      <c r="U227" s="40"/>
      <c r="V227" s="23"/>
      <c r="W227" s="72"/>
      <c r="X227" s="23"/>
      <c r="Y227" s="40"/>
      <c r="Z227" s="23"/>
      <c r="AA227" s="72"/>
      <c r="AB227" s="23"/>
      <c r="AC227" s="40"/>
      <c r="AD227" s="23"/>
      <c r="AE227" s="23"/>
    </row>
    <row r="228" spans="1:31">
      <c r="A228" s="23"/>
      <c r="B228" s="64"/>
      <c r="C228" s="62"/>
      <c r="D228" s="65"/>
      <c r="E228" s="65"/>
      <c r="F228" s="65"/>
      <c r="G228" s="67"/>
      <c r="H228" s="67"/>
      <c r="I228" s="71"/>
      <c r="J228" s="70"/>
      <c r="K228" s="23"/>
      <c r="L228" s="70"/>
      <c r="M228" s="70"/>
      <c r="N228" s="70"/>
      <c r="O228" s="40"/>
      <c r="P228" s="23"/>
      <c r="Q228" s="23"/>
      <c r="R228" s="72"/>
      <c r="S228" s="72"/>
      <c r="T228" s="23"/>
      <c r="U228" s="40"/>
      <c r="V228" s="23"/>
      <c r="W228" s="72"/>
      <c r="X228" s="23"/>
      <c r="Y228" s="40"/>
      <c r="Z228" s="23"/>
      <c r="AA228" s="72"/>
      <c r="AB228" s="23"/>
      <c r="AC228" s="40"/>
      <c r="AD228" s="23"/>
      <c r="AE228" s="23"/>
    </row>
    <row r="229" spans="1:31">
      <c r="A229" s="23"/>
      <c r="B229" s="64"/>
      <c r="C229" s="62"/>
      <c r="D229" s="65"/>
      <c r="E229" s="65"/>
      <c r="F229" s="65"/>
      <c r="G229" s="67"/>
      <c r="H229" s="67"/>
      <c r="I229" s="71"/>
      <c r="J229" s="70"/>
      <c r="K229" s="23"/>
      <c r="L229" s="70"/>
      <c r="M229" s="70"/>
      <c r="N229" s="70"/>
      <c r="O229" s="40"/>
      <c r="P229" s="23"/>
      <c r="Q229" s="23"/>
      <c r="R229" s="72"/>
      <c r="S229" s="72"/>
      <c r="T229" s="23"/>
      <c r="U229" s="40"/>
      <c r="V229" s="23"/>
      <c r="W229" s="72"/>
      <c r="X229" s="23"/>
      <c r="Y229" s="40"/>
      <c r="Z229" s="23"/>
      <c r="AA229" s="72"/>
      <c r="AB229" s="23"/>
      <c r="AC229" s="40"/>
      <c r="AD229" s="23"/>
      <c r="AE229" s="23"/>
    </row>
    <row r="230" spans="1:31">
      <c r="A230" s="23"/>
      <c r="B230" s="64"/>
      <c r="C230" s="62"/>
      <c r="D230" s="65"/>
      <c r="E230" s="65"/>
      <c r="F230" s="65"/>
      <c r="G230" s="67"/>
      <c r="H230" s="67"/>
      <c r="I230" s="71"/>
      <c r="J230" s="70"/>
      <c r="K230" s="23"/>
      <c r="L230" s="70"/>
      <c r="M230" s="70"/>
      <c r="N230" s="70"/>
      <c r="O230" s="40"/>
      <c r="P230" s="23"/>
      <c r="Q230" s="23"/>
      <c r="R230" s="72"/>
      <c r="S230" s="72"/>
      <c r="T230" s="23"/>
      <c r="U230" s="40"/>
      <c r="V230" s="23"/>
      <c r="W230" s="72"/>
      <c r="X230" s="23"/>
      <c r="Y230" s="40"/>
      <c r="Z230" s="23"/>
      <c r="AA230" s="72"/>
      <c r="AB230" s="23"/>
      <c r="AC230" s="40"/>
      <c r="AD230" s="23"/>
      <c r="AE230" s="23"/>
    </row>
    <row r="231" spans="1:31">
      <c r="A231" s="23"/>
      <c r="B231" s="64"/>
      <c r="C231" s="62"/>
      <c r="D231" s="65"/>
      <c r="E231" s="65"/>
      <c r="F231" s="65"/>
      <c r="G231" s="67"/>
      <c r="H231" s="67"/>
      <c r="I231" s="71"/>
      <c r="J231" s="70"/>
      <c r="K231" s="23"/>
      <c r="L231" s="70"/>
      <c r="M231" s="70"/>
      <c r="N231" s="70"/>
      <c r="O231" s="40"/>
      <c r="P231" s="23"/>
      <c r="Q231" s="23"/>
      <c r="R231" s="72"/>
      <c r="S231" s="72"/>
      <c r="T231" s="23"/>
      <c r="U231" s="40"/>
      <c r="V231" s="23"/>
      <c r="W231" s="72"/>
      <c r="X231" s="23"/>
      <c r="Y231" s="40"/>
      <c r="Z231" s="23"/>
      <c r="AA231" s="72"/>
      <c r="AB231" s="23"/>
      <c r="AC231" s="40"/>
      <c r="AD231" s="23"/>
      <c r="AE231" s="23"/>
    </row>
    <row r="232" spans="1:31">
      <c r="A232" s="23"/>
      <c r="B232" s="64"/>
      <c r="C232" s="62"/>
      <c r="D232" s="65"/>
      <c r="E232" s="65"/>
      <c r="F232" s="65"/>
      <c r="G232" s="67"/>
      <c r="H232" s="67"/>
      <c r="I232" s="71"/>
      <c r="J232" s="70"/>
      <c r="K232" s="23"/>
      <c r="L232" s="70"/>
      <c r="M232" s="70"/>
      <c r="N232" s="70"/>
      <c r="O232" s="40"/>
      <c r="P232" s="23"/>
      <c r="Q232" s="23"/>
      <c r="R232" s="72"/>
      <c r="S232" s="72"/>
      <c r="T232" s="23"/>
      <c r="U232" s="40"/>
      <c r="V232" s="23"/>
      <c r="W232" s="72"/>
      <c r="X232" s="23"/>
      <c r="Y232" s="40"/>
      <c r="Z232" s="23"/>
      <c r="AA232" s="72"/>
      <c r="AB232" s="23"/>
      <c r="AC232" s="40"/>
      <c r="AD232" s="23"/>
      <c r="AE232" s="23"/>
    </row>
    <row r="233" spans="1:31">
      <c r="A233" s="23"/>
      <c r="B233" s="64"/>
      <c r="C233" s="62"/>
      <c r="D233" s="65"/>
      <c r="E233" s="65"/>
      <c r="F233" s="65"/>
      <c r="G233" s="67"/>
      <c r="H233" s="67"/>
      <c r="I233" s="71"/>
      <c r="J233" s="70"/>
      <c r="K233" s="23"/>
      <c r="L233" s="70"/>
      <c r="M233" s="70"/>
      <c r="N233" s="70"/>
      <c r="O233" s="40"/>
      <c r="P233" s="23"/>
      <c r="Q233" s="23"/>
      <c r="R233" s="72"/>
      <c r="S233" s="72"/>
      <c r="T233" s="23"/>
      <c r="U233" s="40"/>
      <c r="V233" s="23"/>
      <c r="W233" s="72"/>
      <c r="X233" s="23"/>
      <c r="Y233" s="40"/>
      <c r="Z233" s="23"/>
      <c r="AA233" s="72"/>
      <c r="AB233" s="23"/>
      <c r="AC233" s="40"/>
      <c r="AD233" s="23"/>
      <c r="AE233" s="23"/>
    </row>
    <row r="234" spans="1:31">
      <c r="A234" s="23"/>
      <c r="B234" s="64"/>
      <c r="C234" s="62"/>
      <c r="D234" s="65"/>
      <c r="E234" s="65"/>
      <c r="F234" s="65"/>
      <c r="G234" s="67"/>
      <c r="H234" s="67"/>
      <c r="I234" s="71"/>
      <c r="J234" s="70"/>
      <c r="K234" s="23"/>
      <c r="L234" s="70"/>
      <c r="M234" s="70"/>
      <c r="N234" s="70"/>
      <c r="O234" s="40"/>
      <c r="P234" s="23"/>
      <c r="Q234" s="23"/>
      <c r="R234" s="72"/>
      <c r="S234" s="72"/>
      <c r="T234" s="23"/>
      <c r="U234" s="40"/>
      <c r="V234" s="23"/>
      <c r="W234" s="72"/>
      <c r="X234" s="23"/>
      <c r="Y234" s="40"/>
      <c r="Z234" s="23"/>
      <c r="AA234" s="72"/>
      <c r="AB234" s="23"/>
      <c r="AC234" s="40"/>
      <c r="AD234" s="23"/>
      <c r="AE234" s="23"/>
    </row>
    <row r="235" spans="1:31">
      <c r="A235" s="23"/>
      <c r="B235" s="64"/>
      <c r="C235" s="62"/>
      <c r="D235" s="65"/>
      <c r="E235" s="65"/>
      <c r="F235" s="65"/>
      <c r="G235" s="67"/>
      <c r="H235" s="67"/>
      <c r="I235" s="71"/>
      <c r="J235" s="70"/>
      <c r="K235" s="23"/>
      <c r="L235" s="70"/>
      <c r="M235" s="70"/>
      <c r="N235" s="70"/>
      <c r="O235" s="40"/>
      <c r="P235" s="23"/>
      <c r="Q235" s="23"/>
      <c r="R235" s="72"/>
      <c r="S235" s="72"/>
      <c r="T235" s="23"/>
      <c r="U235" s="40"/>
      <c r="V235" s="23"/>
      <c r="W235" s="72"/>
      <c r="X235" s="23"/>
      <c r="Y235" s="40"/>
      <c r="Z235" s="23"/>
      <c r="AA235" s="72"/>
      <c r="AB235" s="23"/>
      <c r="AC235" s="40"/>
      <c r="AD235" s="23"/>
      <c r="AE235" s="23"/>
    </row>
    <row r="236" spans="1:31">
      <c r="A236" s="23"/>
      <c r="B236" s="64"/>
      <c r="C236" s="62"/>
      <c r="D236" s="65"/>
      <c r="E236" s="65"/>
      <c r="F236" s="65"/>
      <c r="G236" s="67"/>
      <c r="H236" s="67"/>
      <c r="I236" s="71"/>
      <c r="J236" s="70"/>
      <c r="K236" s="23"/>
      <c r="L236" s="70"/>
      <c r="M236" s="70"/>
      <c r="N236" s="70"/>
      <c r="O236" s="40"/>
      <c r="P236" s="23"/>
      <c r="Q236" s="23"/>
      <c r="R236" s="72"/>
      <c r="S236" s="72"/>
      <c r="T236" s="23"/>
      <c r="U236" s="40"/>
      <c r="V236" s="23"/>
      <c r="W236" s="72"/>
      <c r="X236" s="23"/>
      <c r="Y236" s="40"/>
      <c r="Z236" s="23"/>
      <c r="AA236" s="72"/>
      <c r="AB236" s="23"/>
      <c r="AC236" s="40"/>
      <c r="AD236" s="23"/>
      <c r="AE236" s="23"/>
    </row>
    <row r="237" spans="1:31">
      <c r="A237" s="23"/>
      <c r="B237" s="64"/>
      <c r="C237" s="62"/>
      <c r="D237" s="65"/>
      <c r="E237" s="65"/>
      <c r="F237" s="65"/>
      <c r="G237" s="67"/>
      <c r="H237" s="67"/>
      <c r="I237" s="71"/>
      <c r="J237" s="70"/>
      <c r="K237" s="23"/>
      <c r="L237" s="70"/>
      <c r="M237" s="70"/>
      <c r="N237" s="70"/>
      <c r="O237" s="40"/>
      <c r="P237" s="23"/>
      <c r="Q237" s="23"/>
      <c r="R237" s="72"/>
      <c r="S237" s="72"/>
      <c r="T237" s="23"/>
      <c r="U237" s="40"/>
      <c r="V237" s="23"/>
      <c r="W237" s="72"/>
      <c r="X237" s="23"/>
      <c r="Y237" s="40"/>
      <c r="Z237" s="23"/>
      <c r="AA237" s="72"/>
      <c r="AB237" s="23"/>
      <c r="AC237" s="40"/>
      <c r="AD237" s="23"/>
      <c r="AE237" s="23"/>
    </row>
    <row r="238" spans="1:31">
      <c r="A238" s="23"/>
      <c r="B238" s="64"/>
      <c r="C238" s="62"/>
      <c r="D238" s="65"/>
      <c r="E238" s="65"/>
      <c r="F238" s="65"/>
      <c r="G238" s="67"/>
      <c r="H238" s="67"/>
      <c r="I238" s="71"/>
      <c r="J238" s="70"/>
      <c r="K238" s="23"/>
      <c r="L238" s="70"/>
      <c r="M238" s="70"/>
      <c r="N238" s="70"/>
      <c r="O238" s="40"/>
      <c r="P238" s="23"/>
      <c r="Q238" s="23"/>
      <c r="R238" s="72"/>
      <c r="S238" s="72"/>
      <c r="T238" s="23"/>
      <c r="U238" s="40"/>
      <c r="V238" s="23"/>
      <c r="W238" s="72"/>
      <c r="X238" s="23"/>
      <c r="Y238" s="40"/>
      <c r="Z238" s="23"/>
      <c r="AA238" s="72"/>
      <c r="AB238" s="23"/>
      <c r="AC238" s="40"/>
      <c r="AD238" s="23"/>
      <c r="AE238" s="23"/>
    </row>
    <row r="239" spans="1:31">
      <c r="A239" s="23"/>
      <c r="B239" s="64"/>
      <c r="C239" s="62"/>
      <c r="D239" s="65"/>
      <c r="E239" s="65"/>
      <c r="F239" s="65"/>
      <c r="G239" s="67"/>
      <c r="H239" s="67"/>
      <c r="I239" s="71"/>
      <c r="J239" s="70"/>
      <c r="K239" s="23"/>
      <c r="L239" s="70"/>
      <c r="M239" s="70"/>
      <c r="N239" s="70"/>
      <c r="O239" s="40"/>
      <c r="P239" s="23"/>
      <c r="Q239" s="23"/>
      <c r="R239" s="72"/>
      <c r="S239" s="72"/>
      <c r="T239" s="23"/>
      <c r="U239" s="40"/>
      <c r="V239" s="23"/>
      <c r="W239" s="72"/>
      <c r="X239" s="23"/>
      <c r="Y239" s="40"/>
      <c r="Z239" s="23"/>
      <c r="AA239" s="72"/>
      <c r="AB239" s="23"/>
      <c r="AC239" s="40"/>
      <c r="AD239" s="23"/>
      <c r="AE239" s="23"/>
    </row>
    <row r="240" spans="1:31">
      <c r="A240" s="23"/>
      <c r="B240" s="64"/>
      <c r="C240" s="62"/>
      <c r="D240" s="65"/>
      <c r="E240" s="65"/>
      <c r="F240" s="65"/>
      <c r="G240" s="67"/>
      <c r="H240" s="67"/>
      <c r="I240" s="71"/>
      <c r="J240" s="70"/>
      <c r="K240" s="23"/>
      <c r="L240" s="70"/>
      <c r="M240" s="70"/>
      <c r="N240" s="70"/>
      <c r="O240" s="40"/>
      <c r="P240" s="23"/>
      <c r="Q240" s="23"/>
      <c r="R240" s="72"/>
      <c r="S240" s="72"/>
      <c r="T240" s="23"/>
      <c r="U240" s="40"/>
      <c r="V240" s="23"/>
      <c r="W240" s="72"/>
      <c r="X240" s="23"/>
      <c r="Y240" s="40"/>
      <c r="Z240" s="23"/>
      <c r="AA240" s="72"/>
      <c r="AB240" s="23"/>
      <c r="AC240" s="40"/>
      <c r="AD240" s="23"/>
      <c r="AE240" s="23"/>
    </row>
    <row r="241" spans="1:31">
      <c r="A241" s="23"/>
      <c r="B241" s="64"/>
      <c r="C241" s="62"/>
      <c r="D241" s="65"/>
      <c r="E241" s="65"/>
      <c r="F241" s="65"/>
      <c r="G241" s="67"/>
      <c r="H241" s="67"/>
      <c r="I241" s="71"/>
      <c r="J241" s="70"/>
      <c r="K241" s="23"/>
      <c r="L241" s="70"/>
      <c r="M241" s="70"/>
      <c r="N241" s="70"/>
      <c r="O241" s="40"/>
      <c r="P241" s="23"/>
      <c r="Q241" s="23"/>
      <c r="R241" s="72" t="s">
        <v>63</v>
      </c>
      <c r="S241" s="72"/>
      <c r="T241" s="23"/>
      <c r="U241" s="40"/>
      <c r="V241" s="23"/>
      <c r="W241" s="72"/>
      <c r="X241" s="23"/>
      <c r="Y241" s="40"/>
      <c r="Z241" s="23"/>
      <c r="AA241" s="72"/>
      <c r="AB241" s="23"/>
      <c r="AC241" s="40"/>
      <c r="AD241" s="23"/>
      <c r="AE241" s="23"/>
    </row>
    <row r="242" spans="1:31">
      <c r="A242" s="23"/>
      <c r="B242" s="64"/>
      <c r="C242" s="62"/>
      <c r="D242" s="65"/>
      <c r="E242" s="65"/>
      <c r="F242" s="65"/>
      <c r="G242" s="67"/>
      <c r="H242" s="67"/>
      <c r="I242" s="71"/>
      <c r="J242" s="70"/>
      <c r="K242" s="23"/>
      <c r="L242" s="70"/>
      <c r="M242" s="70"/>
      <c r="N242" s="70"/>
      <c r="O242" s="40"/>
      <c r="P242" s="23"/>
      <c r="Q242" s="23"/>
      <c r="R242" s="72"/>
      <c r="S242" s="72"/>
      <c r="T242" s="23"/>
      <c r="U242" s="40"/>
      <c r="V242" s="23"/>
      <c r="W242" s="72"/>
      <c r="X242" s="23"/>
      <c r="Y242" s="40"/>
      <c r="Z242" s="23"/>
      <c r="AA242" s="72"/>
      <c r="AB242" s="23"/>
      <c r="AC242" s="40"/>
      <c r="AD242" s="23"/>
      <c r="AE242" s="23"/>
    </row>
    <row r="243" spans="1:31" ht="12.75">
      <c r="A243" s="23"/>
      <c r="B243" s="64"/>
      <c r="C243" s="62"/>
      <c r="D243" s="92"/>
      <c r="E243" s="65"/>
      <c r="F243" s="65"/>
      <c r="G243" s="67"/>
      <c r="H243" s="67"/>
      <c r="I243" s="71"/>
      <c r="J243" s="70"/>
      <c r="K243" s="23"/>
      <c r="L243" s="70"/>
      <c r="M243" s="70"/>
      <c r="N243" s="70"/>
      <c r="O243" s="40"/>
      <c r="P243" s="23"/>
      <c r="Q243" s="23"/>
      <c r="R243" s="72"/>
      <c r="S243" s="72"/>
      <c r="T243" s="23"/>
      <c r="U243" s="40"/>
      <c r="V243" s="23"/>
      <c r="W243" s="72"/>
      <c r="X243" s="23"/>
      <c r="Y243" s="40"/>
      <c r="Z243" s="23"/>
      <c r="AA243" s="72"/>
      <c r="AB243" s="23"/>
      <c r="AC243" s="40"/>
      <c r="AD243" s="23"/>
      <c r="AE243" s="23"/>
    </row>
    <row r="244" spans="1:31" ht="12.75">
      <c r="A244" s="23"/>
      <c r="B244" s="64"/>
      <c r="C244" s="62"/>
      <c r="D244" s="92"/>
      <c r="E244" s="65"/>
      <c r="F244" s="65"/>
      <c r="G244" s="67"/>
      <c r="H244" s="67"/>
      <c r="I244" s="71"/>
      <c r="J244" s="70"/>
      <c r="K244" s="23"/>
      <c r="L244" s="70"/>
      <c r="M244" s="70"/>
      <c r="N244" s="70"/>
      <c r="O244" s="40"/>
      <c r="P244" s="23"/>
      <c r="Q244" s="23"/>
      <c r="R244" s="72"/>
      <c r="S244" s="72"/>
      <c r="T244" s="23"/>
      <c r="U244" s="40"/>
      <c r="V244" s="23"/>
      <c r="W244" s="72"/>
      <c r="X244" s="23"/>
      <c r="Y244" s="40"/>
      <c r="Z244" s="23"/>
      <c r="AA244" s="72"/>
      <c r="AB244" s="23"/>
      <c r="AC244" s="40"/>
      <c r="AD244" s="23"/>
      <c r="AE244" s="23"/>
    </row>
    <row r="245" spans="1:31" ht="12.75">
      <c r="A245" s="23"/>
      <c r="B245" s="64"/>
      <c r="C245" s="62"/>
      <c r="D245" s="92"/>
      <c r="E245" s="65"/>
      <c r="F245" s="65"/>
      <c r="G245" s="67"/>
      <c r="H245" s="67"/>
      <c r="I245" s="71"/>
      <c r="J245" s="70"/>
      <c r="K245" s="23"/>
      <c r="L245" s="70"/>
      <c r="M245" s="70"/>
      <c r="N245" s="70"/>
      <c r="O245" s="40"/>
      <c r="P245" s="23"/>
      <c r="Q245" s="23"/>
      <c r="R245" s="72"/>
      <c r="S245" s="72"/>
      <c r="T245" s="23"/>
      <c r="U245" s="40"/>
      <c r="V245" s="23"/>
      <c r="W245" s="72"/>
      <c r="X245" s="23"/>
      <c r="Y245" s="40"/>
      <c r="Z245" s="23"/>
      <c r="AA245" s="72"/>
      <c r="AB245" s="23"/>
      <c r="AC245" s="40"/>
      <c r="AD245" s="23"/>
      <c r="AE245" s="23"/>
    </row>
    <row r="246" spans="1:31" ht="12.75">
      <c r="A246" s="23"/>
      <c r="B246" s="64"/>
      <c r="C246" s="62"/>
      <c r="D246" s="92"/>
      <c r="E246" s="65"/>
      <c r="F246" s="65"/>
      <c r="G246" s="67"/>
      <c r="H246" s="67"/>
      <c r="I246" s="71"/>
      <c r="J246" s="70"/>
      <c r="K246" s="23"/>
      <c r="L246" s="70"/>
      <c r="M246" s="70"/>
      <c r="N246" s="70"/>
      <c r="O246" s="40"/>
      <c r="P246" s="23"/>
      <c r="Q246" s="23"/>
      <c r="R246" s="72"/>
      <c r="S246" s="72"/>
      <c r="T246" s="23"/>
      <c r="U246" s="40"/>
      <c r="V246" s="23"/>
      <c r="W246" s="72"/>
      <c r="X246" s="23"/>
      <c r="Y246" s="40"/>
      <c r="Z246" s="23"/>
      <c r="AA246" s="72"/>
      <c r="AB246" s="23"/>
      <c r="AC246" s="40"/>
      <c r="AD246" s="23"/>
      <c r="AE246" s="23"/>
    </row>
    <row r="247" spans="1:31" ht="12.75">
      <c r="A247" s="23"/>
      <c r="B247" s="64"/>
      <c r="C247" s="62"/>
      <c r="D247" s="92"/>
      <c r="E247" s="65"/>
      <c r="F247" s="65"/>
      <c r="G247" s="67"/>
      <c r="H247" s="67"/>
      <c r="I247" s="71"/>
      <c r="J247" s="70"/>
      <c r="K247" s="23"/>
      <c r="L247" s="70"/>
      <c r="M247" s="70"/>
      <c r="N247" s="70"/>
      <c r="O247" s="40"/>
      <c r="P247" s="23"/>
      <c r="Q247" s="23"/>
      <c r="R247" s="72"/>
      <c r="S247" s="72"/>
      <c r="T247" s="23"/>
      <c r="U247" s="40"/>
      <c r="V247" s="23"/>
      <c r="W247" s="72"/>
      <c r="X247" s="23"/>
      <c r="Y247" s="40"/>
      <c r="Z247" s="23"/>
      <c r="AA247" s="72"/>
      <c r="AB247" s="23"/>
      <c r="AC247" s="40"/>
      <c r="AD247" s="23"/>
      <c r="AE247" s="23"/>
    </row>
    <row r="248" spans="1:31" ht="12.75">
      <c r="A248" s="23"/>
      <c r="B248" s="64"/>
      <c r="C248" s="62"/>
      <c r="D248" s="92"/>
      <c r="E248" s="65"/>
      <c r="F248" s="65"/>
      <c r="G248" s="67"/>
      <c r="H248" s="67"/>
      <c r="I248" s="71"/>
      <c r="J248" s="70"/>
      <c r="K248" s="23"/>
      <c r="L248" s="70"/>
      <c r="M248" s="70"/>
      <c r="N248" s="70"/>
      <c r="O248" s="40"/>
      <c r="P248" s="23"/>
      <c r="Q248" s="23"/>
      <c r="R248" s="72"/>
      <c r="S248" s="72"/>
      <c r="T248" s="23"/>
      <c r="U248" s="40"/>
      <c r="V248" s="23"/>
      <c r="W248" s="72"/>
      <c r="X248" s="23"/>
      <c r="Y248" s="40"/>
      <c r="Z248" s="23"/>
      <c r="AA248" s="72"/>
      <c r="AB248" s="23"/>
      <c r="AC248" s="40"/>
      <c r="AD248" s="23"/>
      <c r="AE248" s="23"/>
    </row>
    <row r="249" spans="1:31" ht="12.75">
      <c r="A249" s="23"/>
      <c r="B249" s="64"/>
      <c r="C249" s="62"/>
      <c r="D249" s="92"/>
      <c r="E249" s="65"/>
      <c r="F249" s="65"/>
      <c r="G249" s="67"/>
      <c r="H249" s="67"/>
      <c r="I249" s="71"/>
      <c r="J249" s="70"/>
      <c r="K249" s="23"/>
      <c r="L249" s="70"/>
      <c r="M249" s="70"/>
      <c r="N249" s="70"/>
      <c r="O249" s="40"/>
      <c r="P249" s="23"/>
      <c r="Q249" s="23"/>
      <c r="R249" s="72"/>
      <c r="S249" s="72"/>
      <c r="T249" s="23"/>
      <c r="U249" s="40"/>
      <c r="V249" s="23"/>
      <c r="W249" s="72"/>
      <c r="X249" s="23"/>
      <c r="Y249" s="40"/>
      <c r="Z249" s="23"/>
      <c r="AA249" s="72"/>
      <c r="AB249" s="23"/>
      <c r="AC249" s="40"/>
      <c r="AD249" s="23"/>
      <c r="AE249" s="23"/>
    </row>
    <row r="250" spans="1:31" ht="12.75">
      <c r="A250" s="23"/>
      <c r="B250" s="64"/>
      <c r="C250" s="62"/>
      <c r="D250" s="92"/>
      <c r="E250" s="65"/>
      <c r="F250" s="65"/>
      <c r="G250" s="67"/>
      <c r="H250" s="67"/>
      <c r="I250" s="71"/>
      <c r="J250" s="70"/>
      <c r="K250" s="23"/>
      <c r="L250" s="70"/>
      <c r="M250" s="70"/>
      <c r="N250" s="70"/>
      <c r="O250" s="40"/>
      <c r="P250" s="23"/>
      <c r="Q250" s="23"/>
      <c r="R250" s="72"/>
      <c r="S250" s="72"/>
      <c r="T250" s="23"/>
      <c r="U250" s="40"/>
      <c r="V250" s="23"/>
      <c r="W250" s="72"/>
      <c r="X250" s="23"/>
      <c r="Y250" s="40"/>
      <c r="Z250" s="23"/>
      <c r="AA250" s="72"/>
      <c r="AB250" s="23"/>
      <c r="AC250" s="40"/>
      <c r="AD250" s="23"/>
      <c r="AE250" s="23"/>
    </row>
    <row r="251" spans="1:31" ht="12.75">
      <c r="A251" s="23"/>
      <c r="B251" s="64"/>
      <c r="C251" s="62"/>
      <c r="D251" s="92"/>
      <c r="E251" s="65"/>
      <c r="F251" s="65"/>
      <c r="G251" s="67"/>
      <c r="H251" s="67"/>
      <c r="I251" s="71"/>
      <c r="J251" s="70"/>
      <c r="K251" s="23"/>
      <c r="L251" s="70"/>
      <c r="M251" s="70"/>
      <c r="N251" s="70"/>
      <c r="O251" s="40"/>
      <c r="P251" s="23"/>
      <c r="Q251" s="23"/>
      <c r="R251" s="72"/>
      <c r="S251" s="72"/>
      <c r="T251" s="23"/>
      <c r="U251" s="40"/>
      <c r="V251" s="23"/>
      <c r="W251" s="72"/>
      <c r="X251" s="23"/>
      <c r="Y251" s="40"/>
      <c r="Z251" s="23"/>
      <c r="AA251" s="72"/>
      <c r="AB251" s="23"/>
      <c r="AC251" s="40"/>
      <c r="AD251" s="23"/>
      <c r="AE251" s="23"/>
    </row>
    <row r="252" spans="1:31" ht="12.75">
      <c r="A252" s="23"/>
      <c r="B252" s="64"/>
      <c r="C252" s="62"/>
      <c r="D252" s="92"/>
      <c r="E252" s="65"/>
      <c r="F252" s="65"/>
      <c r="G252" s="67"/>
      <c r="H252" s="67"/>
      <c r="I252" s="71"/>
      <c r="J252" s="70"/>
      <c r="K252" s="23"/>
      <c r="L252" s="70"/>
      <c r="M252" s="70"/>
      <c r="N252" s="70"/>
      <c r="O252" s="40"/>
      <c r="P252" s="23"/>
      <c r="Q252" s="23"/>
      <c r="R252" s="72"/>
      <c r="S252" s="72"/>
      <c r="T252" s="23"/>
      <c r="U252" s="40"/>
      <c r="V252" s="23"/>
      <c r="W252" s="72"/>
      <c r="X252" s="23"/>
      <c r="Y252" s="40"/>
      <c r="Z252" s="23"/>
      <c r="AA252" s="72"/>
      <c r="AB252" s="23"/>
      <c r="AC252" s="40"/>
      <c r="AD252" s="23"/>
      <c r="AE252" s="23"/>
    </row>
    <row r="253" spans="1:31" ht="12.75">
      <c r="A253" s="23"/>
      <c r="B253" s="64"/>
      <c r="C253" s="62"/>
      <c r="D253" s="92"/>
      <c r="E253" s="65"/>
      <c r="F253" s="65"/>
      <c r="G253" s="67"/>
      <c r="H253" s="67"/>
      <c r="I253" s="71"/>
      <c r="J253" s="70"/>
      <c r="K253" s="23"/>
      <c r="L253" s="70"/>
      <c r="M253" s="70"/>
      <c r="N253" s="70"/>
      <c r="O253" s="40"/>
      <c r="P253" s="23"/>
      <c r="Q253" s="23"/>
      <c r="R253" s="72"/>
      <c r="S253" s="72"/>
      <c r="T253" s="23"/>
      <c r="U253" s="40"/>
      <c r="V253" s="23"/>
      <c r="W253" s="72"/>
      <c r="X253" s="23"/>
      <c r="Y253" s="40"/>
      <c r="Z253" s="23"/>
      <c r="AA253" s="72"/>
      <c r="AB253" s="23"/>
      <c r="AC253" s="40"/>
      <c r="AD253" s="23"/>
      <c r="AE253" s="23"/>
    </row>
    <row r="254" spans="1:31" ht="12.75">
      <c r="A254" s="23"/>
      <c r="B254" s="64"/>
      <c r="C254" s="62"/>
      <c r="D254" s="92"/>
      <c r="E254" s="65"/>
      <c r="F254" s="65"/>
      <c r="G254" s="67"/>
      <c r="H254" s="67"/>
      <c r="I254" s="71"/>
      <c r="J254" s="70"/>
      <c r="K254" s="23"/>
      <c r="L254" s="70"/>
      <c r="M254" s="70"/>
      <c r="N254" s="70"/>
      <c r="O254" s="40"/>
      <c r="P254" s="23"/>
      <c r="Q254" s="23"/>
      <c r="R254" s="72"/>
      <c r="S254" s="72"/>
      <c r="T254" s="23"/>
      <c r="U254" s="40"/>
      <c r="V254" s="23"/>
      <c r="W254" s="72"/>
      <c r="X254" s="23"/>
      <c r="Y254" s="40"/>
      <c r="Z254" s="23"/>
      <c r="AA254" s="72"/>
      <c r="AB254" s="23"/>
      <c r="AC254" s="40"/>
      <c r="AD254" s="23"/>
      <c r="AE254" s="23"/>
    </row>
    <row r="255" spans="1:31" ht="12.75">
      <c r="A255" s="23"/>
      <c r="B255" s="64"/>
      <c r="C255" s="62"/>
      <c r="D255" s="92"/>
      <c r="E255" s="65"/>
      <c r="F255" s="65"/>
      <c r="G255" s="67"/>
      <c r="H255" s="67"/>
      <c r="I255" s="71"/>
      <c r="J255" s="70"/>
      <c r="K255" s="23"/>
      <c r="L255" s="70"/>
      <c r="M255" s="70"/>
      <c r="N255" s="70"/>
      <c r="O255" s="40"/>
      <c r="P255" s="23"/>
      <c r="Q255" s="23"/>
      <c r="R255" s="72"/>
      <c r="S255" s="72"/>
      <c r="T255" s="23"/>
      <c r="U255" s="40"/>
      <c r="V255" s="23"/>
      <c r="W255" s="72"/>
      <c r="X255" s="23"/>
      <c r="Y255" s="40"/>
      <c r="Z255" s="23"/>
      <c r="AA255" s="72"/>
      <c r="AB255" s="23"/>
      <c r="AC255" s="40"/>
      <c r="AD255" s="23"/>
      <c r="AE255" s="23"/>
    </row>
    <row r="256" spans="1:31" ht="12.75">
      <c r="A256" s="23"/>
      <c r="B256" s="64"/>
      <c r="C256" s="62"/>
      <c r="D256" s="92"/>
      <c r="E256" s="65"/>
      <c r="F256" s="65"/>
      <c r="G256" s="67"/>
      <c r="H256" s="67"/>
      <c r="I256" s="71"/>
      <c r="J256" s="70"/>
      <c r="K256" s="23"/>
      <c r="L256" s="70"/>
      <c r="M256" s="70"/>
      <c r="N256" s="70"/>
      <c r="O256" s="40"/>
      <c r="P256" s="23"/>
      <c r="Q256" s="23"/>
      <c r="R256" s="72"/>
      <c r="S256" s="72"/>
      <c r="T256" s="23"/>
      <c r="U256" s="40"/>
      <c r="V256" s="23"/>
      <c r="W256" s="72"/>
      <c r="X256" s="23"/>
      <c r="Y256" s="40"/>
      <c r="Z256" s="23"/>
      <c r="AA256" s="72"/>
      <c r="AB256" s="23"/>
      <c r="AC256" s="40"/>
      <c r="AD256" s="23"/>
      <c r="AE256" s="23"/>
    </row>
    <row r="257" spans="1:31" ht="12.75">
      <c r="A257" s="23"/>
      <c r="B257" s="64"/>
      <c r="C257" s="62"/>
      <c r="D257" s="92"/>
      <c r="E257" s="65"/>
      <c r="F257" s="65"/>
      <c r="G257" s="67"/>
      <c r="H257" s="67"/>
      <c r="I257" s="71"/>
      <c r="J257" s="70"/>
      <c r="K257" s="23"/>
      <c r="L257" s="70"/>
      <c r="M257" s="70"/>
      <c r="N257" s="70"/>
      <c r="O257" s="40"/>
      <c r="P257" s="23"/>
      <c r="Q257" s="23"/>
      <c r="R257" s="72"/>
      <c r="S257" s="72"/>
      <c r="T257" s="23"/>
      <c r="U257" s="40"/>
      <c r="V257" s="23"/>
      <c r="W257" s="72"/>
      <c r="X257" s="23"/>
      <c r="Y257" s="40"/>
      <c r="Z257" s="23"/>
      <c r="AA257" s="72"/>
      <c r="AB257" s="23"/>
      <c r="AC257" s="40"/>
      <c r="AD257" s="23"/>
      <c r="AE257" s="23"/>
    </row>
    <row r="258" spans="1:31" ht="12.75">
      <c r="A258" s="23"/>
      <c r="B258" s="64"/>
      <c r="C258" s="62"/>
      <c r="D258" s="92"/>
      <c r="E258" s="65"/>
      <c r="F258" s="65"/>
      <c r="G258" s="67"/>
      <c r="H258" s="67"/>
      <c r="I258" s="71"/>
      <c r="J258" s="70"/>
      <c r="K258" s="23"/>
      <c r="L258" s="70"/>
      <c r="M258" s="70"/>
      <c r="N258" s="70"/>
      <c r="O258" s="40"/>
      <c r="P258" s="23"/>
      <c r="Q258" s="23"/>
      <c r="R258" s="72"/>
      <c r="S258" s="72"/>
      <c r="T258" s="23"/>
      <c r="U258" s="40"/>
      <c r="V258" s="23"/>
      <c r="W258" s="72"/>
      <c r="X258" s="23"/>
      <c r="Y258" s="40"/>
      <c r="Z258" s="23"/>
      <c r="AA258" s="72"/>
      <c r="AB258" s="23"/>
      <c r="AC258" s="40"/>
      <c r="AD258" s="23"/>
      <c r="AE258" s="23"/>
    </row>
    <row r="259" spans="1:31" ht="12.75">
      <c r="A259" s="23"/>
      <c r="B259" s="64"/>
      <c r="C259" s="62"/>
      <c r="D259" s="92"/>
      <c r="E259" s="65"/>
      <c r="F259" s="65"/>
      <c r="G259" s="67"/>
      <c r="H259" s="67"/>
      <c r="I259" s="71"/>
      <c r="J259" s="70"/>
      <c r="K259" s="23"/>
      <c r="L259" s="70"/>
      <c r="M259" s="70"/>
      <c r="N259" s="70"/>
      <c r="O259" s="40"/>
      <c r="P259" s="23"/>
      <c r="Q259" s="23"/>
      <c r="R259" s="72"/>
      <c r="S259" s="72"/>
      <c r="T259" s="23"/>
      <c r="U259" s="40"/>
      <c r="V259" s="23"/>
      <c r="W259" s="72"/>
      <c r="X259" s="23"/>
      <c r="Y259" s="40"/>
      <c r="Z259" s="23"/>
      <c r="AA259" s="72"/>
      <c r="AB259" s="23"/>
      <c r="AC259" s="40"/>
      <c r="AD259" s="23"/>
      <c r="AE259" s="23"/>
    </row>
    <row r="260" spans="1:31" ht="12.75">
      <c r="A260" s="23"/>
      <c r="B260" s="64"/>
      <c r="C260" s="62"/>
      <c r="D260" s="92"/>
      <c r="E260" s="65"/>
      <c r="F260" s="65"/>
      <c r="G260" s="67"/>
      <c r="H260" s="67"/>
      <c r="I260" s="71"/>
      <c r="J260" s="70"/>
      <c r="K260" s="23"/>
      <c r="L260" s="70"/>
      <c r="M260" s="70"/>
      <c r="N260" s="70"/>
      <c r="O260" s="40"/>
      <c r="P260" s="23"/>
      <c r="Q260" s="23"/>
      <c r="R260" s="72"/>
      <c r="S260" s="72"/>
      <c r="T260" s="23"/>
      <c r="U260" s="40"/>
      <c r="V260" s="23"/>
      <c r="W260" s="72"/>
      <c r="X260" s="23"/>
      <c r="Y260" s="40"/>
      <c r="Z260" s="23"/>
      <c r="AA260" s="72"/>
      <c r="AB260" s="23"/>
      <c r="AC260" s="40"/>
      <c r="AD260" s="23"/>
      <c r="AE260" s="23"/>
    </row>
    <row r="261" spans="1:31" ht="12.75">
      <c r="A261" s="23"/>
      <c r="B261" s="64"/>
      <c r="C261" s="62"/>
      <c r="D261" s="92"/>
      <c r="E261" s="65"/>
      <c r="F261" s="65"/>
      <c r="G261" s="67"/>
      <c r="H261" s="67"/>
      <c r="I261" s="71"/>
      <c r="J261" s="70"/>
      <c r="K261" s="23"/>
      <c r="L261" s="70"/>
      <c r="M261" s="70"/>
      <c r="N261" s="70"/>
      <c r="O261" s="40"/>
      <c r="P261" s="23"/>
      <c r="Q261" s="23"/>
      <c r="R261" s="72"/>
      <c r="S261" s="72"/>
      <c r="T261" s="23"/>
      <c r="U261" s="40"/>
      <c r="V261" s="23"/>
      <c r="W261" s="72"/>
      <c r="X261" s="23"/>
      <c r="Y261" s="40"/>
      <c r="Z261" s="23"/>
      <c r="AA261" s="72"/>
      <c r="AB261" s="23"/>
      <c r="AC261" s="40"/>
      <c r="AD261" s="23"/>
      <c r="AE261" s="23"/>
    </row>
    <row r="262" spans="1:31" ht="12.75">
      <c r="A262" s="23"/>
      <c r="B262" s="64"/>
      <c r="C262" s="62"/>
      <c r="D262" s="92"/>
      <c r="E262" s="65"/>
      <c r="F262" s="65"/>
      <c r="G262" s="67"/>
      <c r="H262" s="67"/>
      <c r="I262" s="71"/>
      <c r="J262" s="70"/>
      <c r="K262" s="23"/>
      <c r="L262" s="70"/>
      <c r="M262" s="70"/>
      <c r="N262" s="70"/>
      <c r="O262" s="40"/>
      <c r="P262" s="23"/>
      <c r="Q262" s="23"/>
      <c r="R262" s="72"/>
      <c r="S262" s="72"/>
      <c r="T262" s="23"/>
      <c r="U262" s="40"/>
      <c r="V262" s="23"/>
      <c r="W262" s="72"/>
      <c r="X262" s="23"/>
      <c r="Y262" s="40"/>
      <c r="Z262" s="23"/>
      <c r="AA262" s="72"/>
      <c r="AB262" s="23"/>
      <c r="AC262" s="40"/>
      <c r="AD262" s="23"/>
      <c r="AE262" s="23"/>
    </row>
    <row r="263" spans="1:31" ht="12.75">
      <c r="A263" s="23"/>
      <c r="B263" s="64"/>
      <c r="C263" s="62"/>
      <c r="D263" s="92"/>
      <c r="E263" s="65"/>
      <c r="F263" s="65"/>
      <c r="G263" s="67"/>
      <c r="H263" s="67"/>
      <c r="I263" s="71"/>
      <c r="J263" s="70"/>
      <c r="K263" s="23"/>
      <c r="L263" s="70"/>
      <c r="M263" s="70"/>
      <c r="N263" s="70"/>
      <c r="O263" s="40"/>
      <c r="P263" s="23"/>
      <c r="Q263" s="23"/>
      <c r="R263" s="72"/>
      <c r="S263" s="72"/>
      <c r="T263" s="23"/>
      <c r="U263" s="40"/>
      <c r="V263" s="23"/>
      <c r="W263" s="72"/>
      <c r="X263" s="23"/>
      <c r="Y263" s="40"/>
      <c r="Z263" s="23"/>
      <c r="AA263" s="72"/>
      <c r="AB263" s="23"/>
      <c r="AC263" s="40"/>
      <c r="AD263" s="23"/>
      <c r="AE263" s="23"/>
    </row>
    <row r="264" spans="1:31" ht="12.75">
      <c r="A264" s="23"/>
      <c r="B264" s="64"/>
      <c r="C264" s="62"/>
      <c r="D264" s="92"/>
      <c r="E264" s="65"/>
      <c r="F264" s="65"/>
      <c r="G264" s="67"/>
      <c r="H264" s="67"/>
      <c r="I264" s="71"/>
      <c r="J264" s="70"/>
      <c r="K264" s="23"/>
      <c r="L264" s="70"/>
      <c r="M264" s="70"/>
      <c r="N264" s="70"/>
      <c r="O264" s="40"/>
      <c r="P264" s="23"/>
      <c r="Q264" s="23"/>
      <c r="R264" s="72"/>
      <c r="S264" s="72"/>
      <c r="T264" s="23"/>
      <c r="U264" s="40"/>
      <c r="V264" s="23"/>
      <c r="W264" s="72"/>
      <c r="X264" s="23"/>
      <c r="Y264" s="40"/>
      <c r="Z264" s="23"/>
      <c r="AA264" s="72"/>
      <c r="AB264" s="23"/>
      <c r="AC264" s="40"/>
      <c r="AD264" s="23"/>
      <c r="AE264" s="23"/>
    </row>
    <row r="265" spans="1:31" ht="12.75">
      <c r="A265" s="23"/>
      <c r="B265" s="64"/>
      <c r="C265" s="62"/>
      <c r="D265" s="92"/>
      <c r="E265" s="65"/>
      <c r="F265" s="65"/>
      <c r="G265" s="67"/>
      <c r="H265" s="67"/>
      <c r="I265" s="71"/>
      <c r="J265" s="70"/>
      <c r="K265" s="23"/>
      <c r="L265" s="70"/>
      <c r="M265" s="70"/>
      <c r="N265" s="70"/>
      <c r="O265" s="40"/>
      <c r="P265" s="23"/>
      <c r="Q265" s="23"/>
      <c r="R265" s="72"/>
      <c r="S265" s="72"/>
      <c r="T265" s="23"/>
      <c r="U265" s="40"/>
      <c r="V265" s="23"/>
      <c r="W265" s="72"/>
      <c r="X265" s="23"/>
      <c r="Y265" s="40"/>
      <c r="Z265" s="23"/>
      <c r="AA265" s="72"/>
      <c r="AB265" s="23"/>
      <c r="AC265" s="40"/>
      <c r="AD265" s="23"/>
      <c r="AE265" s="23"/>
    </row>
    <row r="266" spans="1:31" ht="39" customHeight="1">
      <c r="A266" s="23"/>
      <c r="B266" s="64"/>
      <c r="C266" s="62"/>
      <c r="D266" s="92"/>
      <c r="E266" s="65"/>
      <c r="F266" s="65"/>
      <c r="G266" s="67"/>
      <c r="H266" s="67"/>
      <c r="I266" s="71"/>
      <c r="J266" s="70"/>
      <c r="K266" s="23"/>
      <c r="L266" s="70"/>
      <c r="M266" s="70"/>
      <c r="N266" s="70"/>
      <c r="O266" s="40"/>
      <c r="P266" s="23"/>
      <c r="Q266" s="23"/>
      <c r="R266" s="72"/>
      <c r="S266" s="72"/>
      <c r="T266" s="23"/>
      <c r="U266" s="40"/>
      <c r="V266" s="23"/>
      <c r="W266" s="72"/>
      <c r="X266" s="23"/>
      <c r="Y266" s="40"/>
      <c r="Z266" s="23"/>
      <c r="AA266" s="72"/>
      <c r="AB266" s="23"/>
      <c r="AC266" s="40"/>
      <c r="AD266" s="23"/>
      <c r="AE266" s="23"/>
    </row>
    <row r="267" spans="1:31" ht="39" customHeight="1">
      <c r="A267" s="23"/>
      <c r="B267" s="64"/>
      <c r="C267" s="62"/>
      <c r="D267" s="92"/>
      <c r="E267" s="65"/>
      <c r="F267" s="65"/>
      <c r="G267" s="67"/>
      <c r="H267" s="67"/>
      <c r="I267" s="71"/>
      <c r="J267" s="70"/>
      <c r="K267" s="23"/>
      <c r="L267" s="70"/>
      <c r="M267" s="70"/>
      <c r="N267" s="70"/>
      <c r="O267" s="40"/>
      <c r="P267" s="23"/>
      <c r="Q267" s="23"/>
      <c r="R267" s="72"/>
      <c r="S267" s="72"/>
      <c r="T267" s="23"/>
      <c r="U267" s="40"/>
      <c r="V267" s="23"/>
      <c r="W267" s="72"/>
      <c r="X267" s="23"/>
      <c r="Y267" s="40"/>
      <c r="Z267" s="23"/>
      <c r="AA267" s="72"/>
      <c r="AB267" s="23"/>
      <c r="AC267" s="40"/>
      <c r="AD267" s="23"/>
      <c r="AE267" s="23"/>
    </row>
    <row r="268" spans="1:31" ht="39" customHeight="1">
      <c r="A268" s="23"/>
      <c r="B268" s="64"/>
      <c r="C268" s="62"/>
      <c r="D268" s="92"/>
      <c r="E268" s="65"/>
      <c r="F268" s="65"/>
      <c r="G268" s="67"/>
      <c r="H268" s="67"/>
      <c r="I268" s="71"/>
      <c r="J268" s="70"/>
      <c r="K268" s="23"/>
      <c r="L268" s="70"/>
      <c r="M268" s="70"/>
      <c r="N268" s="70"/>
      <c r="O268" s="40"/>
      <c r="P268" s="23"/>
      <c r="Q268" s="23"/>
      <c r="R268" s="72"/>
      <c r="S268" s="72"/>
      <c r="T268" s="23"/>
      <c r="U268" s="40"/>
      <c r="V268" s="23"/>
      <c r="W268" s="72"/>
      <c r="X268" s="23"/>
      <c r="Y268" s="40"/>
      <c r="Z268" s="23"/>
      <c r="AA268" s="72"/>
      <c r="AB268" s="23"/>
      <c r="AC268" s="40"/>
      <c r="AD268" s="23"/>
      <c r="AE268" s="23"/>
    </row>
    <row r="269" spans="1:31" ht="12.75">
      <c r="A269" s="23"/>
      <c r="B269" s="64"/>
      <c r="C269" s="62"/>
      <c r="D269" s="92"/>
      <c r="E269" s="65"/>
      <c r="F269" s="65"/>
      <c r="G269" s="67"/>
      <c r="H269" s="67"/>
      <c r="I269" s="71"/>
      <c r="J269" s="70"/>
      <c r="K269" s="23"/>
      <c r="L269" s="70"/>
      <c r="M269" s="70"/>
      <c r="N269" s="70"/>
      <c r="O269" s="40"/>
      <c r="P269" s="23"/>
      <c r="Q269" s="23"/>
      <c r="R269" s="72"/>
      <c r="S269" s="72"/>
      <c r="T269" s="23"/>
      <c r="U269" s="40"/>
      <c r="V269" s="23"/>
      <c r="W269" s="72"/>
      <c r="X269" s="23"/>
      <c r="Y269" s="40"/>
      <c r="Z269" s="23"/>
      <c r="AA269" s="72"/>
      <c r="AB269" s="23"/>
      <c r="AC269" s="40"/>
      <c r="AD269" s="23"/>
      <c r="AE269" s="23"/>
    </row>
    <row r="270" spans="1:31" ht="12.75">
      <c r="A270" s="23"/>
      <c r="B270" s="64"/>
      <c r="C270" s="62"/>
      <c r="D270" s="92"/>
      <c r="E270" s="65"/>
      <c r="F270" s="65"/>
      <c r="G270" s="67"/>
      <c r="H270" s="67"/>
      <c r="I270" s="71"/>
      <c r="J270" s="70"/>
      <c r="K270" s="23"/>
      <c r="L270" s="70"/>
      <c r="M270" s="70"/>
      <c r="N270" s="70"/>
      <c r="O270" s="40"/>
      <c r="P270" s="23"/>
      <c r="Q270" s="23"/>
      <c r="R270" s="72"/>
      <c r="S270" s="72"/>
      <c r="T270" s="23"/>
      <c r="U270" s="40"/>
      <c r="V270" s="23"/>
      <c r="W270" s="72"/>
      <c r="X270" s="23"/>
      <c r="Y270" s="40"/>
      <c r="Z270" s="23"/>
      <c r="AA270" s="72"/>
      <c r="AB270" s="23"/>
      <c r="AC270" s="40"/>
      <c r="AD270" s="23"/>
      <c r="AE270" s="23"/>
    </row>
    <row r="271" spans="1:31" ht="12.75">
      <c r="A271" s="23"/>
      <c r="B271" s="64"/>
      <c r="C271" s="62"/>
      <c r="D271" s="92"/>
      <c r="E271" s="65"/>
      <c r="F271" s="65"/>
      <c r="G271" s="67"/>
      <c r="H271" s="67"/>
      <c r="I271" s="71"/>
      <c r="J271" s="70"/>
      <c r="K271" s="23"/>
      <c r="L271" s="70"/>
      <c r="M271" s="70"/>
      <c r="N271" s="70"/>
      <c r="O271" s="40"/>
      <c r="P271" s="23"/>
      <c r="Q271" s="23"/>
      <c r="R271" s="72"/>
      <c r="S271" s="72"/>
      <c r="T271" s="23"/>
      <c r="U271" s="40"/>
      <c r="V271" s="23"/>
      <c r="W271" s="72"/>
      <c r="X271" s="23"/>
      <c r="Y271" s="40"/>
      <c r="Z271" s="23"/>
      <c r="AA271" s="72"/>
      <c r="AB271" s="23"/>
      <c r="AC271" s="40"/>
      <c r="AD271" s="23"/>
      <c r="AE271" s="23"/>
    </row>
    <row r="272" spans="1:31" ht="12.75">
      <c r="A272" s="23"/>
      <c r="B272" s="64"/>
      <c r="C272" s="62"/>
      <c r="D272" s="92"/>
      <c r="E272" s="65"/>
      <c r="F272" s="65"/>
      <c r="G272" s="67"/>
      <c r="H272" s="67"/>
      <c r="I272" s="71"/>
      <c r="J272" s="70"/>
      <c r="K272" s="23"/>
      <c r="L272" s="70"/>
      <c r="M272" s="70"/>
      <c r="N272" s="70"/>
      <c r="O272" s="40"/>
      <c r="P272" s="23"/>
      <c r="Q272" s="23"/>
      <c r="R272" s="72"/>
      <c r="S272" s="72"/>
      <c r="T272" s="23"/>
      <c r="U272" s="40"/>
      <c r="V272" s="23"/>
      <c r="W272" s="72"/>
      <c r="X272" s="23"/>
      <c r="Y272" s="40"/>
      <c r="Z272" s="23"/>
      <c r="AA272" s="72"/>
      <c r="AB272" s="23"/>
      <c r="AC272" s="40"/>
      <c r="AD272" s="23"/>
      <c r="AE272" s="23"/>
    </row>
    <row r="273" spans="1:32" ht="12.75">
      <c r="A273" s="23"/>
      <c r="B273" s="64"/>
      <c r="C273" s="62"/>
      <c r="D273" s="92"/>
      <c r="E273" s="65"/>
      <c r="F273" s="65"/>
      <c r="G273" s="67"/>
      <c r="H273" s="67"/>
      <c r="I273" s="71"/>
      <c r="J273" s="70"/>
      <c r="K273" s="23"/>
      <c r="L273" s="70"/>
      <c r="M273" s="70"/>
      <c r="N273" s="70"/>
      <c r="O273" s="40"/>
      <c r="P273" s="23"/>
      <c r="Q273" s="23"/>
      <c r="R273" s="72"/>
      <c r="S273" s="72"/>
      <c r="T273" s="23"/>
      <c r="U273" s="40"/>
      <c r="V273" s="23"/>
      <c r="W273" s="72"/>
      <c r="X273" s="23"/>
      <c r="Y273" s="40"/>
      <c r="Z273" s="23"/>
      <c r="AA273" s="72"/>
      <c r="AB273" s="23"/>
      <c r="AC273" s="40"/>
      <c r="AD273" s="23"/>
      <c r="AE273" s="23"/>
    </row>
    <row r="274" spans="1:32" ht="12.75">
      <c r="A274" s="23"/>
      <c r="B274" s="64"/>
      <c r="C274" s="62"/>
      <c r="D274" s="92"/>
      <c r="E274" s="65"/>
      <c r="F274" s="65"/>
      <c r="G274" s="67"/>
      <c r="H274" s="67"/>
      <c r="I274" s="71"/>
      <c r="J274" s="70"/>
      <c r="K274" s="23"/>
      <c r="L274" s="70"/>
      <c r="M274" s="70"/>
      <c r="N274" s="70"/>
      <c r="O274" s="40"/>
      <c r="P274" s="23"/>
      <c r="Q274" s="23"/>
      <c r="R274" s="72"/>
      <c r="S274" s="72"/>
      <c r="T274" s="23"/>
      <c r="U274" s="40"/>
      <c r="V274" s="23"/>
      <c r="W274" s="72"/>
      <c r="X274" s="23"/>
      <c r="Y274" s="40"/>
      <c r="Z274" s="23"/>
      <c r="AA274" s="72"/>
      <c r="AB274" s="23"/>
      <c r="AC274" s="40"/>
      <c r="AD274" s="23"/>
      <c r="AE274" s="23"/>
    </row>
    <row r="275" spans="1:32" ht="12.75">
      <c r="A275" s="23"/>
      <c r="B275" s="64"/>
      <c r="C275" s="62"/>
      <c r="D275" s="92"/>
      <c r="E275" s="65"/>
      <c r="F275" s="65"/>
      <c r="G275" s="67"/>
      <c r="H275" s="67"/>
      <c r="I275" s="71"/>
      <c r="J275" s="70"/>
      <c r="K275" s="23"/>
      <c r="L275" s="70"/>
      <c r="M275" s="70"/>
      <c r="N275" s="70"/>
      <c r="O275" s="40"/>
      <c r="P275" s="23"/>
      <c r="Q275" s="23"/>
      <c r="R275" s="72"/>
      <c r="S275" s="72"/>
      <c r="T275" s="23"/>
      <c r="U275" s="40"/>
      <c r="V275" s="23"/>
      <c r="W275" s="72"/>
      <c r="X275" s="23"/>
      <c r="Y275" s="40"/>
      <c r="Z275" s="23"/>
      <c r="AA275" s="72"/>
      <c r="AB275" s="23"/>
      <c r="AC275" s="40"/>
      <c r="AD275" s="23"/>
      <c r="AE275" s="23"/>
    </row>
    <row r="276" spans="1:32" ht="12.75">
      <c r="A276" s="23"/>
      <c r="B276" s="64"/>
      <c r="C276" s="62"/>
      <c r="D276" s="92"/>
      <c r="E276" s="65"/>
      <c r="F276" s="65"/>
      <c r="G276" s="67"/>
      <c r="H276" s="67"/>
      <c r="I276" s="71"/>
      <c r="J276" s="70"/>
      <c r="K276" s="23"/>
      <c r="L276" s="70"/>
      <c r="M276" s="70"/>
      <c r="N276" s="70"/>
      <c r="O276" s="40"/>
      <c r="P276" s="23"/>
      <c r="Q276" s="23"/>
      <c r="R276" s="72"/>
      <c r="S276" s="72"/>
      <c r="T276" s="23"/>
      <c r="U276" s="40"/>
      <c r="V276" s="23"/>
      <c r="W276" s="72"/>
      <c r="X276" s="23"/>
      <c r="Y276" s="40"/>
      <c r="Z276" s="23"/>
      <c r="AA276" s="72"/>
      <c r="AB276" s="23"/>
      <c r="AC276" s="40"/>
      <c r="AD276" s="23"/>
      <c r="AE276" s="23"/>
    </row>
    <row r="277" spans="1:32" ht="12.75">
      <c r="A277" s="23"/>
      <c r="B277" s="64"/>
      <c r="C277" s="62"/>
      <c r="D277" s="92"/>
      <c r="E277" s="65"/>
      <c r="F277" s="65"/>
      <c r="G277" s="67"/>
      <c r="H277" s="67"/>
      <c r="I277" s="71"/>
      <c r="J277" s="70"/>
      <c r="K277" s="23"/>
      <c r="L277" s="70"/>
      <c r="M277" s="70"/>
      <c r="N277" s="70"/>
      <c r="O277" s="40"/>
      <c r="P277" s="23"/>
      <c r="Q277" s="23"/>
      <c r="R277" s="72"/>
      <c r="S277" s="72"/>
      <c r="T277" s="23"/>
      <c r="U277" s="40"/>
      <c r="V277" s="23"/>
      <c r="W277" s="72"/>
      <c r="X277" s="23"/>
      <c r="Y277" s="40"/>
      <c r="Z277" s="23"/>
      <c r="AA277" s="72"/>
      <c r="AB277" s="23"/>
      <c r="AC277" s="40"/>
      <c r="AD277" s="23"/>
      <c r="AE277" s="23"/>
    </row>
    <row r="278" spans="1:32" ht="12.75">
      <c r="A278" s="23"/>
      <c r="B278" s="64"/>
      <c r="C278" s="62"/>
      <c r="D278" s="92"/>
      <c r="E278" s="65"/>
      <c r="F278" s="65"/>
      <c r="G278" s="67"/>
      <c r="H278" s="67"/>
      <c r="I278" s="71"/>
      <c r="J278" s="70"/>
      <c r="K278" s="23"/>
      <c r="L278" s="70"/>
      <c r="M278" s="70"/>
      <c r="N278" s="70"/>
      <c r="O278" s="40"/>
      <c r="P278" s="23"/>
      <c r="Q278" s="23"/>
      <c r="R278" s="72"/>
      <c r="S278" s="72"/>
      <c r="T278" s="23"/>
      <c r="U278" s="40"/>
      <c r="V278" s="23"/>
      <c r="W278" s="72"/>
      <c r="X278" s="23"/>
      <c r="Y278" s="40"/>
      <c r="Z278" s="23"/>
      <c r="AA278" s="72"/>
      <c r="AB278" s="23"/>
      <c r="AC278" s="40"/>
      <c r="AD278" s="23"/>
      <c r="AE278" s="23"/>
    </row>
    <row r="279" spans="1:32" ht="12.75">
      <c r="A279" s="23"/>
      <c r="B279" s="64"/>
      <c r="C279" s="62"/>
      <c r="D279" s="92"/>
      <c r="E279" s="65"/>
      <c r="F279" s="65"/>
      <c r="G279" s="67"/>
      <c r="H279" s="67"/>
      <c r="I279" s="71"/>
      <c r="J279" s="70"/>
      <c r="K279" s="23"/>
      <c r="L279" s="70"/>
      <c r="M279" s="70"/>
      <c r="N279" s="70"/>
      <c r="O279" s="40"/>
      <c r="P279" s="23"/>
      <c r="Q279" s="23"/>
      <c r="R279" s="72"/>
      <c r="S279" s="72"/>
      <c r="T279" s="23"/>
      <c r="U279" s="40"/>
      <c r="V279" s="23"/>
      <c r="W279" s="72"/>
      <c r="X279" s="23"/>
      <c r="Y279" s="40"/>
      <c r="Z279" s="23"/>
      <c r="AA279" s="72"/>
      <c r="AB279" s="23"/>
      <c r="AC279" s="40"/>
      <c r="AD279" s="23"/>
      <c r="AE279" s="23"/>
    </row>
    <row r="280" spans="1:32" ht="12.75">
      <c r="A280" s="23"/>
      <c r="B280" s="64"/>
      <c r="C280" s="62"/>
      <c r="D280" s="92"/>
      <c r="E280" s="65"/>
      <c r="F280" s="65"/>
      <c r="G280" s="67"/>
      <c r="H280" s="67"/>
      <c r="I280" s="71"/>
      <c r="J280" s="70"/>
      <c r="K280" s="23"/>
      <c r="L280" s="70"/>
      <c r="M280" s="70"/>
      <c r="N280" s="70"/>
      <c r="O280" s="40"/>
      <c r="P280" s="23"/>
      <c r="Q280" s="23"/>
      <c r="R280" s="72"/>
      <c r="S280" s="72"/>
      <c r="T280" s="23"/>
      <c r="U280" s="40"/>
      <c r="V280" s="23"/>
      <c r="W280" s="72"/>
      <c r="X280" s="23"/>
      <c r="Y280" s="40"/>
      <c r="Z280" s="23"/>
      <c r="AA280" s="72"/>
      <c r="AB280" s="23"/>
      <c r="AC280" s="40"/>
      <c r="AD280" s="23"/>
      <c r="AE280" s="23"/>
    </row>
    <row r="281" spans="1:32" ht="12.75">
      <c r="A281" s="23"/>
      <c r="B281" s="64"/>
      <c r="C281" s="62"/>
      <c r="D281" s="92"/>
      <c r="E281" s="65"/>
      <c r="F281" s="65"/>
      <c r="G281" s="67"/>
      <c r="H281" s="67"/>
      <c r="I281" s="71"/>
      <c r="J281" s="70"/>
      <c r="K281" s="23"/>
      <c r="L281" s="70"/>
      <c r="M281" s="70"/>
      <c r="N281" s="70"/>
      <c r="O281" s="40"/>
      <c r="P281" s="23"/>
      <c r="Q281" s="23"/>
      <c r="R281" s="72"/>
      <c r="S281" s="72"/>
      <c r="T281" s="23"/>
      <c r="U281" s="40"/>
      <c r="V281" s="23"/>
      <c r="W281" s="72"/>
      <c r="X281" s="23"/>
      <c r="Y281" s="40"/>
      <c r="Z281" s="23"/>
      <c r="AA281" s="72"/>
      <c r="AB281" s="23"/>
      <c r="AC281" s="40"/>
      <c r="AD281" s="23"/>
      <c r="AE281" s="23"/>
    </row>
    <row r="282" spans="1:32" ht="12.75">
      <c r="A282" s="23"/>
      <c r="B282" s="64"/>
      <c r="C282" s="62"/>
      <c r="D282" s="92"/>
      <c r="E282" s="65"/>
      <c r="F282" s="65"/>
      <c r="G282" s="67"/>
      <c r="H282" s="67"/>
      <c r="I282" s="71"/>
      <c r="J282" s="70"/>
      <c r="K282" s="23"/>
      <c r="L282" s="70"/>
      <c r="M282" s="70"/>
      <c r="N282" s="70"/>
      <c r="O282" s="40"/>
      <c r="P282" s="23"/>
      <c r="Q282" s="23"/>
      <c r="R282" s="72"/>
      <c r="S282" s="72"/>
      <c r="T282" s="23"/>
      <c r="U282" s="40"/>
      <c r="V282" s="23"/>
      <c r="W282" s="72"/>
      <c r="X282" s="23"/>
      <c r="Y282" s="40"/>
      <c r="Z282" s="23"/>
      <c r="AA282" s="72"/>
      <c r="AB282" s="23"/>
      <c r="AC282" s="40"/>
      <c r="AD282" s="23"/>
      <c r="AE282" s="23"/>
    </row>
    <row r="283" spans="1:32" s="23" customFormat="1" ht="12.75">
      <c r="B283" s="64"/>
      <c r="C283" s="62"/>
      <c r="D283" s="92"/>
      <c r="E283" s="65"/>
      <c r="F283" s="65"/>
      <c r="G283" s="67"/>
      <c r="H283" s="67"/>
      <c r="I283" s="71"/>
      <c r="J283" s="70"/>
      <c r="L283" s="70"/>
      <c r="M283" s="70"/>
      <c r="N283" s="70"/>
      <c r="O283" s="40"/>
      <c r="R283" s="72"/>
      <c r="S283" s="72"/>
      <c r="U283" s="40"/>
      <c r="W283" s="72"/>
      <c r="Y283" s="40"/>
      <c r="AA283" s="72"/>
      <c r="AC283" s="40"/>
      <c r="AF283" s="93"/>
    </row>
    <row r="284" spans="1:32" s="23" customFormat="1" ht="12.75">
      <c r="B284" s="64"/>
      <c r="C284" s="62"/>
      <c r="D284" s="92"/>
      <c r="E284" s="65"/>
      <c r="F284" s="65"/>
      <c r="G284" s="67"/>
      <c r="H284" s="67"/>
      <c r="I284" s="71"/>
      <c r="J284" s="70"/>
      <c r="L284" s="70"/>
      <c r="M284" s="70"/>
      <c r="N284" s="70"/>
      <c r="O284" s="40"/>
      <c r="R284" s="72"/>
      <c r="S284" s="72"/>
      <c r="U284" s="40"/>
      <c r="W284" s="72"/>
      <c r="Y284" s="40"/>
      <c r="AA284" s="72"/>
      <c r="AC284" s="40"/>
      <c r="AF284" s="93"/>
    </row>
    <row r="285" spans="1:32" s="23" customFormat="1" ht="12.75">
      <c r="B285" s="64"/>
      <c r="C285" s="62"/>
      <c r="D285" s="92"/>
      <c r="E285" s="65"/>
      <c r="F285" s="65"/>
      <c r="G285" s="67"/>
      <c r="H285" s="67"/>
      <c r="I285" s="71"/>
      <c r="J285" s="70"/>
      <c r="L285" s="70"/>
      <c r="M285" s="70"/>
      <c r="O285" s="40"/>
      <c r="R285" s="72"/>
      <c r="S285" s="72"/>
      <c r="U285" s="40"/>
      <c r="W285" s="72"/>
      <c r="Y285" s="40"/>
      <c r="AA285" s="72"/>
      <c r="AC285" s="40"/>
      <c r="AF285" s="93"/>
    </row>
    <row r="286" spans="1:32" s="23" customFormat="1" ht="12.75">
      <c r="B286" s="64"/>
      <c r="C286" s="62"/>
      <c r="D286" s="92"/>
      <c r="E286" s="65"/>
      <c r="F286" s="65"/>
      <c r="G286" s="67"/>
      <c r="H286" s="67"/>
      <c r="I286" s="71"/>
      <c r="J286" s="70"/>
      <c r="L286" s="70"/>
      <c r="M286" s="70"/>
      <c r="N286" s="70"/>
      <c r="O286" s="40"/>
      <c r="R286" s="72"/>
      <c r="S286" s="72"/>
      <c r="U286" s="40"/>
      <c r="W286" s="72"/>
      <c r="Y286" s="40"/>
      <c r="AA286" s="72"/>
      <c r="AC286" s="40"/>
      <c r="AF286" s="93"/>
    </row>
    <row r="287" spans="1:32" s="23" customFormat="1" ht="12.75">
      <c r="B287" s="64"/>
      <c r="C287" s="62"/>
      <c r="D287" s="92"/>
      <c r="E287" s="65"/>
      <c r="F287" s="65"/>
      <c r="G287" s="67"/>
      <c r="H287" s="67"/>
      <c r="I287" s="71"/>
      <c r="J287" s="70"/>
      <c r="L287" s="70"/>
      <c r="M287" s="70"/>
      <c r="N287" s="70"/>
      <c r="O287" s="40"/>
      <c r="R287" s="72"/>
      <c r="S287" s="72"/>
      <c r="U287" s="40"/>
      <c r="W287" s="72"/>
      <c r="Y287" s="40"/>
      <c r="AA287" s="72"/>
      <c r="AC287" s="40"/>
      <c r="AF287" s="93"/>
    </row>
    <row r="288" spans="1:32" s="23" customFormat="1" ht="12.75">
      <c r="B288" s="64"/>
      <c r="C288" s="62"/>
      <c r="D288" s="92"/>
      <c r="E288" s="65"/>
      <c r="F288" s="65"/>
      <c r="G288" s="67"/>
      <c r="H288" s="67"/>
      <c r="I288" s="71"/>
      <c r="J288" s="70"/>
      <c r="L288" s="70"/>
      <c r="M288" s="70"/>
      <c r="N288" s="70"/>
      <c r="O288" s="40"/>
      <c r="R288" s="72"/>
      <c r="S288" s="72"/>
      <c r="U288" s="40"/>
      <c r="W288" s="72"/>
      <c r="Y288" s="40"/>
      <c r="AA288" s="72"/>
      <c r="AC288" s="40"/>
      <c r="AF288" s="93"/>
    </row>
    <row r="289" spans="1:32" s="23" customFormat="1" ht="12.75">
      <c r="B289" s="64"/>
      <c r="C289" s="62"/>
      <c r="D289" s="92"/>
      <c r="E289" s="65"/>
      <c r="F289" s="65"/>
      <c r="G289" s="67"/>
      <c r="H289" s="67"/>
      <c r="I289" s="71"/>
      <c r="J289" s="70"/>
      <c r="L289" s="70"/>
      <c r="M289" s="70"/>
      <c r="N289" s="70"/>
      <c r="O289" s="40"/>
      <c r="R289" s="72"/>
      <c r="S289" s="72"/>
      <c r="U289" s="40"/>
      <c r="W289" s="72"/>
      <c r="Y289" s="40"/>
      <c r="AA289" s="72"/>
      <c r="AC289" s="40"/>
      <c r="AF289" s="93"/>
    </row>
    <row r="290" spans="1:32" s="23" customFormat="1" ht="12.75">
      <c r="B290" s="64"/>
      <c r="C290" s="62"/>
      <c r="D290" s="92"/>
      <c r="E290" s="65"/>
      <c r="F290" s="65"/>
      <c r="G290" s="67"/>
      <c r="H290" s="67"/>
      <c r="I290" s="71"/>
      <c r="J290" s="70"/>
      <c r="L290" s="70"/>
      <c r="M290" s="70"/>
      <c r="N290" s="70"/>
      <c r="O290" s="40"/>
      <c r="R290" s="72"/>
      <c r="S290" s="72"/>
      <c r="U290" s="40"/>
      <c r="W290" s="72"/>
      <c r="Y290" s="40"/>
      <c r="AA290" s="72"/>
      <c r="AC290" s="40"/>
      <c r="AF290" s="93"/>
    </row>
    <row r="291" spans="1:32" s="23" customFormat="1" ht="12.75">
      <c r="B291" s="64"/>
      <c r="C291" s="62"/>
      <c r="D291" s="92"/>
      <c r="E291" s="65"/>
      <c r="F291" s="65"/>
      <c r="G291" s="67"/>
      <c r="H291" s="67"/>
      <c r="I291" s="71"/>
      <c r="J291" s="70"/>
      <c r="L291" s="70"/>
      <c r="M291" s="70"/>
      <c r="N291" s="70"/>
      <c r="O291" s="40"/>
      <c r="R291" s="72"/>
      <c r="S291" s="72"/>
      <c r="U291" s="40"/>
      <c r="W291" s="72"/>
      <c r="Y291" s="40"/>
      <c r="AA291" s="72"/>
      <c r="AC291" s="40"/>
      <c r="AF291" s="93"/>
    </row>
    <row r="292" spans="1:32" s="23" customFormat="1" ht="12.75">
      <c r="B292" s="64"/>
      <c r="C292" s="62"/>
      <c r="D292" s="92"/>
      <c r="E292" s="65"/>
      <c r="F292" s="65"/>
      <c r="G292" s="67"/>
      <c r="H292" s="67"/>
      <c r="I292" s="71"/>
      <c r="J292" s="70"/>
      <c r="L292" s="70"/>
      <c r="M292" s="70"/>
      <c r="N292" s="70"/>
      <c r="O292" s="40"/>
      <c r="R292" s="72"/>
      <c r="S292" s="72"/>
      <c r="U292" s="40"/>
      <c r="W292" s="72"/>
      <c r="Y292" s="40"/>
      <c r="AA292" s="72"/>
      <c r="AC292" s="40"/>
      <c r="AF292" s="93"/>
    </row>
    <row r="293" spans="1:32" s="23" customFormat="1" ht="12.75">
      <c r="B293" s="64"/>
      <c r="C293" s="62"/>
      <c r="D293" s="92"/>
      <c r="E293" s="65"/>
      <c r="F293" s="65"/>
      <c r="G293" s="67"/>
      <c r="H293" s="67"/>
      <c r="I293" s="71"/>
      <c r="J293" s="70"/>
      <c r="L293" s="70"/>
      <c r="M293" s="70"/>
      <c r="N293" s="70"/>
      <c r="O293" s="40"/>
      <c r="R293" s="72"/>
      <c r="S293" s="72"/>
      <c r="U293" s="40"/>
      <c r="W293" s="72"/>
      <c r="Y293" s="40"/>
      <c r="AA293" s="72"/>
      <c r="AC293" s="40"/>
      <c r="AF293" s="93"/>
    </row>
    <row r="294" spans="1:32" s="23" customFormat="1" ht="12.75">
      <c r="B294" s="64"/>
      <c r="C294" s="62"/>
      <c r="D294" s="92"/>
      <c r="E294" s="65"/>
      <c r="F294" s="65"/>
      <c r="G294" s="67"/>
      <c r="H294" s="67"/>
      <c r="I294" s="71"/>
      <c r="J294" s="70"/>
      <c r="L294" s="70"/>
      <c r="M294" s="70"/>
      <c r="N294" s="70"/>
      <c r="O294" s="40"/>
      <c r="R294" s="72"/>
      <c r="S294" s="72"/>
      <c r="U294" s="40"/>
      <c r="W294" s="72"/>
      <c r="Y294" s="40"/>
      <c r="AA294" s="72"/>
      <c r="AC294" s="40"/>
      <c r="AF294" s="93"/>
    </row>
    <row r="295" spans="1:32" s="23" customFormat="1" ht="12.75">
      <c r="B295" s="64"/>
      <c r="C295" s="62"/>
      <c r="D295" s="92"/>
      <c r="E295" s="65"/>
      <c r="F295" s="65"/>
      <c r="G295" s="67"/>
      <c r="H295" s="67"/>
      <c r="I295" s="71"/>
      <c r="J295" s="70"/>
      <c r="L295" s="70"/>
      <c r="M295" s="70"/>
      <c r="N295" s="70"/>
      <c r="O295" s="40"/>
      <c r="R295" s="72"/>
      <c r="S295" s="72"/>
      <c r="U295" s="40"/>
      <c r="W295" s="72"/>
      <c r="Y295" s="40"/>
      <c r="AA295" s="72"/>
      <c r="AC295" s="40"/>
      <c r="AF295" s="93"/>
    </row>
    <row r="296" spans="1:32" s="23" customFormat="1" ht="12.75">
      <c r="B296" s="64"/>
      <c r="C296" s="62"/>
      <c r="D296" s="92"/>
      <c r="E296" s="65"/>
      <c r="F296" s="65"/>
      <c r="G296" s="67"/>
      <c r="H296" s="67"/>
      <c r="I296" s="71"/>
      <c r="J296" s="70"/>
      <c r="L296" s="70"/>
      <c r="M296" s="70"/>
      <c r="N296" s="70"/>
      <c r="O296" s="40"/>
      <c r="R296" s="72"/>
      <c r="S296" s="72"/>
      <c r="U296" s="40"/>
      <c r="W296" s="72"/>
      <c r="Y296" s="40"/>
      <c r="AA296" s="72"/>
      <c r="AC296" s="40"/>
      <c r="AF296" s="93"/>
    </row>
    <row r="297" spans="1:32" s="23" customFormat="1" ht="12.75">
      <c r="B297" s="64"/>
      <c r="C297" s="62"/>
      <c r="D297" s="92"/>
      <c r="E297" s="65"/>
      <c r="F297" s="65"/>
      <c r="G297" s="67"/>
      <c r="H297" s="67"/>
      <c r="I297" s="71"/>
      <c r="J297" s="70"/>
      <c r="L297" s="70"/>
      <c r="M297" s="70"/>
      <c r="N297" s="70"/>
      <c r="O297" s="40"/>
      <c r="R297" s="72"/>
      <c r="S297" s="72"/>
      <c r="U297" s="40"/>
      <c r="W297" s="72"/>
      <c r="Y297" s="40"/>
      <c r="AA297" s="72"/>
      <c r="AC297" s="40"/>
      <c r="AF297" s="93"/>
    </row>
    <row r="298" spans="1:32" s="23" customFormat="1" ht="12.75">
      <c r="B298" s="64"/>
      <c r="C298" s="62"/>
      <c r="D298" s="92"/>
      <c r="E298" s="65"/>
      <c r="F298" s="65"/>
      <c r="G298" s="67"/>
      <c r="H298" s="67"/>
      <c r="I298" s="71"/>
      <c r="J298" s="70"/>
      <c r="L298" s="70"/>
      <c r="M298" s="70"/>
      <c r="N298" s="70"/>
      <c r="O298" s="40"/>
      <c r="R298" s="72"/>
      <c r="S298" s="72"/>
      <c r="U298" s="40"/>
      <c r="W298" s="72"/>
      <c r="Y298" s="40"/>
      <c r="AA298" s="72"/>
      <c r="AC298" s="40"/>
      <c r="AF298" s="93"/>
    </row>
    <row r="299" spans="1:32" s="23" customFormat="1" ht="12.75">
      <c r="B299" s="64"/>
      <c r="C299" s="62"/>
      <c r="D299" s="92"/>
      <c r="E299" s="65"/>
      <c r="F299" s="65"/>
      <c r="G299" s="67"/>
      <c r="H299" s="67"/>
      <c r="I299" s="71"/>
      <c r="J299" s="70"/>
      <c r="L299" s="70"/>
      <c r="M299" s="70"/>
      <c r="N299" s="70"/>
      <c r="O299" s="40"/>
      <c r="R299" s="72"/>
      <c r="S299" s="72"/>
      <c r="U299" s="40"/>
      <c r="W299" s="72"/>
      <c r="Y299" s="40"/>
      <c r="AA299" s="72"/>
      <c r="AC299" s="40"/>
      <c r="AF299" s="93"/>
    </row>
    <row r="300" spans="1:32" s="23" customFormat="1" ht="12.75">
      <c r="B300" s="64"/>
      <c r="C300" s="62"/>
      <c r="D300" s="92"/>
      <c r="E300" s="65"/>
      <c r="F300" s="65"/>
      <c r="G300" s="67"/>
      <c r="H300" s="67"/>
      <c r="I300" s="71"/>
      <c r="J300" s="70"/>
      <c r="L300" s="70"/>
      <c r="M300" s="70"/>
      <c r="N300" s="70"/>
      <c r="O300" s="40"/>
      <c r="R300" s="72"/>
      <c r="S300" s="72"/>
      <c r="U300" s="40"/>
      <c r="W300" s="72"/>
      <c r="Y300" s="40"/>
      <c r="AA300" s="72"/>
      <c r="AC300" s="40"/>
      <c r="AF300" s="93"/>
    </row>
    <row r="301" spans="1:32" ht="12.75">
      <c r="A301" s="23"/>
      <c r="B301" s="64"/>
      <c r="C301" s="62"/>
      <c r="D301" s="92"/>
      <c r="E301" s="65"/>
      <c r="F301" s="65"/>
      <c r="G301" s="67"/>
      <c r="H301" s="67"/>
      <c r="I301" s="71"/>
      <c r="J301" s="70"/>
      <c r="K301" s="23"/>
      <c r="L301" s="70"/>
      <c r="M301" s="70"/>
      <c r="N301" s="70"/>
      <c r="O301" s="40"/>
      <c r="P301" s="23"/>
      <c r="Q301" s="23"/>
      <c r="R301" s="72"/>
      <c r="S301" s="72"/>
      <c r="T301" s="23"/>
      <c r="U301" s="40"/>
      <c r="V301" s="23"/>
      <c r="W301" s="72"/>
      <c r="X301" s="23"/>
      <c r="Y301" s="40"/>
      <c r="Z301" s="23"/>
      <c r="AA301" s="72"/>
      <c r="AB301" s="23"/>
      <c r="AC301" s="40"/>
      <c r="AD301" s="23"/>
      <c r="AE301" s="23"/>
    </row>
    <row r="302" spans="1:32" ht="12.75">
      <c r="A302" s="23"/>
      <c r="B302" s="64"/>
      <c r="C302" s="62"/>
      <c r="D302" s="92"/>
      <c r="E302" s="65"/>
      <c r="F302" s="65"/>
      <c r="G302" s="67"/>
      <c r="H302" s="67"/>
      <c r="I302" s="71"/>
      <c r="J302" s="70"/>
      <c r="K302" s="23"/>
      <c r="L302" s="70"/>
      <c r="M302" s="70"/>
      <c r="N302" s="70"/>
      <c r="O302" s="40"/>
      <c r="P302" s="23"/>
      <c r="Q302" s="23"/>
      <c r="R302" s="72"/>
      <c r="S302" s="72"/>
      <c r="T302" s="23"/>
      <c r="U302" s="40"/>
      <c r="V302" s="23"/>
      <c r="W302" s="72"/>
      <c r="X302" s="23"/>
      <c r="Y302" s="40"/>
      <c r="Z302" s="23"/>
      <c r="AA302" s="72"/>
      <c r="AB302" s="23"/>
      <c r="AC302" s="40"/>
      <c r="AD302" s="23"/>
      <c r="AE302" s="23"/>
    </row>
    <row r="303" spans="1:32" ht="12.75">
      <c r="A303" s="23"/>
      <c r="B303" s="64"/>
      <c r="C303" s="62"/>
      <c r="D303" s="92"/>
      <c r="E303" s="65"/>
      <c r="F303" s="65"/>
      <c r="G303" s="67"/>
      <c r="H303" s="67"/>
      <c r="I303" s="71"/>
      <c r="J303" s="70"/>
      <c r="K303" s="23"/>
      <c r="L303" s="70"/>
      <c r="M303" s="70"/>
      <c r="N303" s="70"/>
      <c r="O303" s="40"/>
      <c r="P303" s="23"/>
      <c r="Q303" s="23"/>
      <c r="R303" s="72"/>
      <c r="S303" s="72"/>
      <c r="T303" s="23"/>
      <c r="U303" s="40"/>
      <c r="V303" s="23"/>
      <c r="W303" s="72"/>
      <c r="X303" s="23"/>
      <c r="Y303" s="40"/>
      <c r="Z303" s="23"/>
      <c r="AA303" s="72"/>
      <c r="AB303" s="23"/>
      <c r="AC303" s="40"/>
      <c r="AD303" s="23"/>
      <c r="AE303" s="23"/>
    </row>
    <row r="304" spans="1:32" ht="12.75">
      <c r="A304" s="23"/>
      <c r="B304" s="64"/>
      <c r="C304" s="62"/>
      <c r="D304" s="92"/>
      <c r="E304" s="65"/>
      <c r="F304" s="65"/>
      <c r="G304" s="67"/>
      <c r="H304" s="67"/>
      <c r="I304" s="71"/>
      <c r="J304" s="70"/>
      <c r="K304" s="23"/>
      <c r="L304" s="70"/>
      <c r="M304" s="70"/>
      <c r="N304" s="70"/>
      <c r="O304" s="40"/>
      <c r="P304" s="23"/>
      <c r="Q304" s="23"/>
      <c r="R304" s="72"/>
      <c r="S304" s="72"/>
      <c r="T304" s="23"/>
      <c r="U304" s="40"/>
      <c r="V304" s="23"/>
      <c r="W304" s="72"/>
      <c r="X304" s="23"/>
      <c r="Y304" s="40"/>
      <c r="Z304" s="23"/>
      <c r="AA304" s="72"/>
      <c r="AB304" s="23"/>
      <c r="AC304" s="40"/>
      <c r="AD304" s="23"/>
      <c r="AE304" s="23"/>
    </row>
    <row r="305" spans="1:31" ht="12.75">
      <c r="A305" s="23"/>
      <c r="B305" s="64"/>
      <c r="C305" s="62"/>
      <c r="D305" s="92"/>
      <c r="E305" s="65"/>
      <c r="F305" s="65"/>
      <c r="G305" s="67"/>
      <c r="H305" s="67"/>
      <c r="I305" s="71"/>
      <c r="J305" s="70"/>
      <c r="K305" s="23"/>
      <c r="L305" s="70"/>
      <c r="M305" s="70"/>
      <c r="N305" s="70"/>
      <c r="O305" s="40"/>
      <c r="P305" s="23"/>
      <c r="Q305" s="23"/>
      <c r="R305" s="72"/>
      <c r="S305" s="72"/>
      <c r="T305" s="23"/>
      <c r="U305" s="40"/>
      <c r="V305" s="23"/>
      <c r="W305" s="72"/>
      <c r="X305" s="23"/>
      <c r="Y305" s="40"/>
      <c r="Z305" s="23"/>
      <c r="AA305" s="72"/>
      <c r="AB305" s="23"/>
      <c r="AC305" s="40"/>
      <c r="AD305" s="23"/>
      <c r="AE305" s="23"/>
    </row>
    <row r="306" spans="1:31" ht="12.75">
      <c r="A306" s="23"/>
      <c r="B306" s="64"/>
      <c r="C306" s="62"/>
      <c r="D306" s="92"/>
      <c r="E306" s="65"/>
      <c r="F306" s="65"/>
      <c r="G306" s="67"/>
      <c r="H306" s="67"/>
      <c r="I306" s="71"/>
      <c r="J306" s="70"/>
      <c r="K306" s="23"/>
      <c r="L306" s="70"/>
      <c r="M306" s="70"/>
      <c r="N306" s="70"/>
      <c r="O306" s="40"/>
      <c r="P306" s="23"/>
      <c r="Q306" s="23"/>
      <c r="R306" s="72"/>
      <c r="S306" s="72"/>
      <c r="T306" s="23"/>
      <c r="U306" s="40"/>
      <c r="V306" s="23"/>
      <c r="W306" s="72"/>
      <c r="X306" s="23"/>
      <c r="Y306" s="40"/>
      <c r="Z306" s="23"/>
      <c r="AA306" s="72"/>
      <c r="AB306" s="23"/>
      <c r="AC306" s="40"/>
      <c r="AD306" s="23"/>
      <c r="AE306" s="23"/>
    </row>
    <row r="307" spans="1:31" ht="12.75">
      <c r="A307" s="23"/>
      <c r="B307" s="64"/>
      <c r="C307" s="62"/>
      <c r="D307" s="92"/>
      <c r="E307" s="65"/>
      <c r="F307" s="65"/>
      <c r="G307" s="67"/>
      <c r="H307" s="67"/>
      <c r="I307" s="71"/>
      <c r="J307" s="70"/>
      <c r="K307" s="23"/>
      <c r="L307" s="70"/>
      <c r="M307" s="70"/>
      <c r="N307" s="70"/>
      <c r="O307" s="40"/>
      <c r="P307" s="23"/>
      <c r="Q307" s="23"/>
      <c r="R307" s="72"/>
      <c r="S307" s="72"/>
      <c r="T307" s="23"/>
      <c r="U307" s="40"/>
      <c r="V307" s="23"/>
      <c r="W307" s="72"/>
      <c r="X307" s="23"/>
      <c r="Y307" s="40"/>
      <c r="Z307" s="23"/>
      <c r="AA307" s="72"/>
      <c r="AB307" s="23"/>
      <c r="AC307" s="40"/>
      <c r="AD307" s="23"/>
      <c r="AE307" s="23"/>
    </row>
    <row r="308" spans="1:31" ht="12.75">
      <c r="A308" s="23"/>
      <c r="B308" s="64"/>
      <c r="C308" s="62"/>
      <c r="D308" s="92"/>
      <c r="E308" s="65"/>
      <c r="F308" s="65"/>
      <c r="G308" s="67"/>
      <c r="H308" s="67"/>
      <c r="I308" s="71"/>
      <c r="J308" s="70"/>
      <c r="K308" s="23"/>
      <c r="L308" s="70"/>
      <c r="M308" s="70"/>
      <c r="N308" s="70"/>
      <c r="O308" s="40"/>
      <c r="P308" s="23"/>
      <c r="Q308" s="23"/>
      <c r="R308" s="72"/>
      <c r="S308" s="72"/>
      <c r="T308" s="23"/>
      <c r="U308" s="40"/>
      <c r="V308" s="23"/>
      <c r="W308" s="72"/>
      <c r="X308" s="23"/>
      <c r="Y308" s="40"/>
      <c r="Z308" s="23"/>
      <c r="AA308" s="72"/>
      <c r="AB308" s="23"/>
      <c r="AC308" s="40"/>
      <c r="AD308" s="23"/>
      <c r="AE308" s="23"/>
    </row>
    <row r="309" spans="1:31" ht="12.75">
      <c r="A309" s="23"/>
      <c r="B309" s="64"/>
      <c r="C309" s="62"/>
      <c r="D309" s="92"/>
      <c r="E309" s="65"/>
      <c r="F309" s="65"/>
      <c r="G309" s="67"/>
      <c r="H309" s="67"/>
      <c r="I309" s="71"/>
      <c r="J309" s="70"/>
      <c r="K309" s="23"/>
      <c r="L309" s="70"/>
      <c r="M309" s="70"/>
      <c r="N309" s="70"/>
      <c r="O309" s="40"/>
      <c r="P309" s="23"/>
      <c r="Q309" s="23"/>
      <c r="R309" s="72"/>
      <c r="S309" s="72"/>
      <c r="T309" s="23"/>
      <c r="U309" s="40"/>
      <c r="V309" s="23"/>
      <c r="W309" s="72"/>
      <c r="X309" s="23"/>
      <c r="Y309" s="40"/>
      <c r="Z309" s="23"/>
      <c r="AA309" s="72"/>
      <c r="AB309" s="23"/>
      <c r="AC309" s="40"/>
      <c r="AD309" s="23"/>
      <c r="AE309" s="23"/>
    </row>
    <row r="310" spans="1:31" ht="12.75">
      <c r="A310" s="23"/>
      <c r="B310" s="64"/>
      <c r="C310" s="62"/>
      <c r="D310" s="92"/>
      <c r="E310" s="65"/>
      <c r="F310" s="65"/>
      <c r="G310" s="67"/>
      <c r="H310" s="67"/>
      <c r="I310" s="71"/>
      <c r="J310" s="70"/>
      <c r="K310" s="23"/>
      <c r="L310" s="70"/>
      <c r="M310" s="70"/>
      <c r="N310" s="70"/>
      <c r="O310" s="40"/>
      <c r="P310" s="23"/>
      <c r="Q310" s="23"/>
      <c r="R310" s="72"/>
      <c r="S310" s="72"/>
      <c r="T310" s="23"/>
      <c r="U310" s="40"/>
      <c r="V310" s="23"/>
      <c r="W310" s="72"/>
      <c r="X310" s="23"/>
      <c r="Y310" s="40"/>
      <c r="Z310" s="23"/>
      <c r="AA310" s="72"/>
      <c r="AB310" s="23"/>
      <c r="AC310" s="40"/>
      <c r="AD310" s="23"/>
      <c r="AE310" s="23"/>
    </row>
    <row r="311" spans="1:31" ht="12.75">
      <c r="A311" s="23"/>
      <c r="B311" s="64"/>
      <c r="C311" s="62"/>
      <c r="D311" s="92"/>
      <c r="E311" s="65"/>
      <c r="F311" s="65"/>
      <c r="G311" s="67"/>
      <c r="H311" s="67"/>
      <c r="I311" s="71"/>
      <c r="J311" s="70"/>
      <c r="K311" s="23"/>
      <c r="L311" s="70"/>
      <c r="M311" s="70"/>
      <c r="N311" s="70"/>
      <c r="O311" s="40"/>
      <c r="P311" s="23"/>
      <c r="Q311" s="23"/>
      <c r="R311" s="72"/>
      <c r="S311" s="72"/>
      <c r="T311" s="23"/>
      <c r="U311" s="40"/>
      <c r="V311" s="23"/>
      <c r="W311" s="72"/>
      <c r="X311" s="23"/>
      <c r="Y311" s="40"/>
      <c r="Z311" s="23"/>
      <c r="AA311" s="72"/>
      <c r="AB311" s="23"/>
      <c r="AC311" s="40"/>
      <c r="AD311" s="23"/>
      <c r="AE311" s="23"/>
    </row>
    <row r="312" spans="1:31" ht="12.75">
      <c r="A312" s="23"/>
      <c r="B312" s="64"/>
      <c r="C312" s="62"/>
      <c r="D312" s="92"/>
      <c r="E312" s="65"/>
      <c r="F312" s="65"/>
      <c r="G312" s="67"/>
      <c r="H312" s="67"/>
      <c r="I312" s="71"/>
      <c r="J312" s="70"/>
      <c r="K312" s="23"/>
      <c r="L312" s="70"/>
      <c r="M312" s="70"/>
      <c r="N312" s="70"/>
      <c r="O312" s="40"/>
      <c r="P312" s="23"/>
      <c r="Q312" s="23"/>
      <c r="R312" s="72"/>
      <c r="S312" s="72"/>
      <c r="T312" s="23"/>
      <c r="U312" s="40"/>
      <c r="V312" s="23"/>
      <c r="W312" s="72"/>
      <c r="X312" s="23"/>
      <c r="Y312" s="40"/>
      <c r="Z312" s="23"/>
      <c r="AA312" s="72"/>
      <c r="AB312" s="23"/>
      <c r="AC312" s="40"/>
      <c r="AD312" s="23"/>
      <c r="AE312" s="23"/>
    </row>
    <row r="313" spans="1:31" ht="12.75">
      <c r="A313" s="23"/>
      <c r="B313" s="64"/>
      <c r="C313" s="62"/>
      <c r="D313" s="92"/>
      <c r="E313" s="65"/>
      <c r="F313" s="65"/>
      <c r="G313" s="67"/>
      <c r="H313" s="67"/>
      <c r="I313" s="71"/>
      <c r="J313" s="70"/>
      <c r="K313" s="23"/>
      <c r="L313" s="70"/>
      <c r="M313" s="70"/>
      <c r="N313" s="70"/>
      <c r="O313" s="40"/>
      <c r="P313" s="23"/>
      <c r="Q313" s="23"/>
      <c r="R313" s="72"/>
      <c r="S313" s="72"/>
      <c r="T313" s="23"/>
      <c r="U313" s="40"/>
      <c r="V313" s="23"/>
      <c r="W313" s="72"/>
      <c r="X313" s="23"/>
      <c r="Y313" s="40"/>
      <c r="Z313" s="23"/>
      <c r="AA313" s="72"/>
      <c r="AB313" s="23"/>
      <c r="AC313" s="40"/>
      <c r="AD313" s="23"/>
      <c r="AE313" s="23"/>
    </row>
    <row r="314" spans="1:31" ht="12.75">
      <c r="A314" s="23"/>
      <c r="B314" s="64"/>
      <c r="C314" s="62"/>
      <c r="D314" s="92"/>
      <c r="E314" s="65"/>
      <c r="F314" s="65"/>
      <c r="G314" s="67"/>
      <c r="H314" s="67"/>
      <c r="I314" s="71"/>
      <c r="J314" s="70"/>
      <c r="K314" s="23"/>
      <c r="L314" s="70"/>
      <c r="M314" s="70"/>
      <c r="N314" s="70"/>
      <c r="O314" s="40"/>
      <c r="P314" s="23"/>
      <c r="Q314" s="23"/>
      <c r="R314" s="72"/>
      <c r="S314" s="72"/>
      <c r="T314" s="23"/>
      <c r="U314" s="40"/>
      <c r="V314" s="23"/>
      <c r="W314" s="72"/>
      <c r="X314" s="23"/>
      <c r="Y314" s="40"/>
      <c r="Z314" s="23"/>
      <c r="AA314" s="72"/>
      <c r="AB314" s="23"/>
      <c r="AC314" s="40"/>
      <c r="AD314" s="23"/>
      <c r="AE314" s="23"/>
    </row>
    <row r="315" spans="1:31" ht="12.75">
      <c r="A315" s="23"/>
      <c r="B315" s="64"/>
      <c r="C315" s="62"/>
      <c r="D315" s="92"/>
      <c r="E315" s="65"/>
      <c r="F315" s="65"/>
      <c r="G315" s="67"/>
      <c r="H315" s="67"/>
      <c r="I315" s="71"/>
      <c r="J315" s="70"/>
      <c r="K315" s="23"/>
      <c r="L315" s="70"/>
      <c r="M315" s="70"/>
      <c r="N315" s="70"/>
      <c r="O315" s="40"/>
      <c r="P315" s="23"/>
      <c r="Q315" s="23"/>
      <c r="R315" s="72"/>
      <c r="S315" s="72"/>
      <c r="T315" s="23"/>
      <c r="U315" s="40"/>
      <c r="V315" s="23"/>
      <c r="W315" s="72"/>
      <c r="X315" s="23"/>
      <c r="Y315" s="40"/>
      <c r="Z315" s="23"/>
      <c r="AA315" s="72"/>
      <c r="AB315" s="23"/>
      <c r="AC315" s="40"/>
      <c r="AD315" s="23"/>
      <c r="AE315" s="23"/>
    </row>
    <row r="316" spans="1:31" ht="12.75">
      <c r="A316" s="23"/>
      <c r="B316" s="64"/>
      <c r="C316" s="62"/>
      <c r="D316" s="92"/>
      <c r="E316" s="65"/>
      <c r="F316" s="65"/>
      <c r="G316" s="67"/>
      <c r="H316" s="67"/>
      <c r="I316" s="71"/>
      <c r="J316" s="70"/>
      <c r="K316" s="23"/>
      <c r="L316" s="70"/>
      <c r="M316" s="70"/>
      <c r="N316" s="70"/>
      <c r="O316" s="40"/>
      <c r="P316" s="23"/>
      <c r="Q316" s="23"/>
      <c r="R316" s="72"/>
      <c r="S316" s="72"/>
      <c r="T316" s="23"/>
      <c r="U316" s="40"/>
      <c r="V316" s="23"/>
      <c r="W316" s="72"/>
      <c r="X316" s="23"/>
      <c r="Y316" s="40"/>
      <c r="Z316" s="23"/>
      <c r="AA316" s="72"/>
      <c r="AB316" s="23"/>
      <c r="AC316" s="40"/>
      <c r="AD316" s="23"/>
      <c r="AE316" s="23"/>
    </row>
    <row r="317" spans="1:31" ht="12.75">
      <c r="A317" s="23"/>
      <c r="B317" s="64"/>
      <c r="C317" s="62"/>
      <c r="D317" s="92"/>
      <c r="E317" s="65"/>
      <c r="F317" s="65"/>
      <c r="G317" s="67"/>
      <c r="H317" s="67"/>
      <c r="I317" s="71"/>
      <c r="J317" s="70"/>
      <c r="K317" s="23"/>
      <c r="L317" s="70"/>
      <c r="M317" s="70"/>
      <c r="N317" s="70"/>
      <c r="O317" s="40"/>
      <c r="P317" s="23"/>
      <c r="Q317" s="23"/>
      <c r="R317" s="72"/>
      <c r="S317" s="72"/>
      <c r="T317" s="23"/>
      <c r="U317" s="40"/>
      <c r="V317" s="23"/>
      <c r="W317" s="72"/>
      <c r="X317" s="23"/>
      <c r="Y317" s="40"/>
      <c r="Z317" s="23"/>
      <c r="AA317" s="72"/>
      <c r="AB317" s="23"/>
      <c r="AC317" s="40"/>
      <c r="AD317" s="23"/>
      <c r="AE317" s="23"/>
    </row>
    <row r="318" spans="1:31" ht="12.75">
      <c r="A318" s="23"/>
      <c r="B318" s="64"/>
      <c r="C318" s="62"/>
      <c r="D318" s="92"/>
      <c r="E318" s="65"/>
      <c r="F318" s="65"/>
      <c r="G318" s="67"/>
      <c r="H318" s="67"/>
      <c r="I318" s="71"/>
      <c r="J318" s="70"/>
      <c r="K318" s="23"/>
      <c r="L318" s="70"/>
      <c r="M318" s="70"/>
      <c r="N318" s="70"/>
      <c r="O318" s="40"/>
      <c r="P318" s="23"/>
      <c r="Q318" s="23"/>
      <c r="R318" s="72"/>
      <c r="S318" s="72"/>
      <c r="T318" s="23"/>
      <c r="U318" s="40"/>
      <c r="V318" s="23"/>
      <c r="W318" s="72"/>
      <c r="X318" s="23"/>
      <c r="Y318" s="40"/>
      <c r="Z318" s="23"/>
      <c r="AA318" s="72"/>
      <c r="AB318" s="23"/>
      <c r="AC318" s="40"/>
      <c r="AD318" s="23"/>
      <c r="AE318" s="23"/>
    </row>
    <row r="319" spans="1:31" ht="12.75">
      <c r="A319" s="23"/>
      <c r="B319" s="64"/>
      <c r="C319" s="62"/>
      <c r="D319" s="92"/>
      <c r="E319" s="65"/>
      <c r="F319" s="65"/>
      <c r="G319" s="67"/>
      <c r="H319" s="67"/>
      <c r="I319" s="71"/>
      <c r="J319" s="70"/>
      <c r="K319" s="23"/>
      <c r="L319" s="70"/>
      <c r="M319" s="70"/>
      <c r="N319" s="70"/>
      <c r="O319" s="40"/>
      <c r="P319" s="23"/>
      <c r="Q319" s="23"/>
      <c r="R319" s="72"/>
      <c r="S319" s="72"/>
      <c r="T319" s="23"/>
      <c r="U319" s="40"/>
      <c r="V319" s="23"/>
      <c r="W319" s="72"/>
      <c r="X319" s="23"/>
      <c r="Y319" s="40"/>
      <c r="Z319" s="23"/>
      <c r="AA319" s="72"/>
      <c r="AB319" s="23"/>
      <c r="AC319" s="40"/>
      <c r="AD319" s="23"/>
      <c r="AE319" s="23"/>
    </row>
    <row r="320" spans="1:31" ht="12.75">
      <c r="A320" s="23"/>
      <c r="B320" s="64"/>
      <c r="C320" s="62"/>
      <c r="D320" s="92"/>
      <c r="E320" s="65"/>
      <c r="F320" s="65"/>
      <c r="G320" s="67"/>
      <c r="H320" s="67"/>
      <c r="I320" s="71"/>
      <c r="J320" s="70"/>
      <c r="K320" s="23"/>
      <c r="L320" s="70"/>
      <c r="M320" s="70"/>
      <c r="N320" s="70"/>
      <c r="O320" s="40"/>
      <c r="P320" s="23"/>
      <c r="Q320" s="23"/>
      <c r="R320" s="72"/>
      <c r="S320" s="72"/>
      <c r="T320" s="23"/>
      <c r="U320" s="40"/>
      <c r="V320" s="23"/>
      <c r="W320" s="72"/>
      <c r="X320" s="23"/>
      <c r="Y320" s="40"/>
      <c r="Z320" s="23"/>
      <c r="AA320" s="72"/>
      <c r="AB320" s="23"/>
      <c r="AC320" s="40"/>
      <c r="AD320" s="23"/>
      <c r="AE320" s="23"/>
    </row>
    <row r="321" spans="1:31" ht="12.75">
      <c r="A321" s="23"/>
      <c r="B321" s="64"/>
      <c r="C321" s="62"/>
      <c r="D321" s="92"/>
      <c r="E321" s="65"/>
      <c r="F321" s="65"/>
      <c r="G321" s="67"/>
      <c r="H321" s="67"/>
      <c r="I321" s="71"/>
      <c r="J321" s="70"/>
      <c r="K321" s="23"/>
      <c r="L321" s="70"/>
      <c r="M321" s="70"/>
      <c r="N321" s="70"/>
      <c r="O321" s="40"/>
      <c r="P321" s="23"/>
      <c r="Q321" s="23"/>
      <c r="R321" s="72"/>
      <c r="S321" s="72"/>
      <c r="T321" s="23"/>
      <c r="U321" s="40"/>
      <c r="V321" s="23"/>
      <c r="W321" s="72"/>
      <c r="X321" s="23"/>
      <c r="Y321" s="40"/>
      <c r="Z321" s="23"/>
      <c r="AA321" s="72"/>
      <c r="AB321" s="23"/>
      <c r="AC321" s="40"/>
      <c r="AD321" s="23"/>
      <c r="AE321" s="23"/>
    </row>
    <row r="322" spans="1:31" ht="12.75">
      <c r="A322" s="23"/>
      <c r="B322" s="64"/>
      <c r="C322" s="62"/>
      <c r="D322" s="92"/>
      <c r="E322" s="65"/>
      <c r="F322" s="65"/>
      <c r="G322" s="67"/>
      <c r="H322" s="67"/>
      <c r="I322" s="71"/>
      <c r="J322" s="70"/>
      <c r="K322" s="23"/>
      <c r="L322" s="70"/>
      <c r="M322" s="70"/>
      <c r="N322" s="70"/>
      <c r="O322" s="40"/>
      <c r="P322" s="23"/>
      <c r="Q322" s="23"/>
      <c r="R322" s="72"/>
      <c r="S322" s="72"/>
      <c r="T322" s="23"/>
      <c r="U322" s="40"/>
      <c r="V322" s="23"/>
      <c r="W322" s="72"/>
      <c r="X322" s="23"/>
      <c r="Y322" s="40"/>
      <c r="Z322" s="23"/>
      <c r="AA322" s="72"/>
      <c r="AB322" s="23"/>
      <c r="AC322" s="40"/>
      <c r="AD322" s="23"/>
      <c r="AE322" s="23"/>
    </row>
    <row r="323" spans="1:31" ht="12.75">
      <c r="A323" s="23"/>
      <c r="B323" s="64"/>
      <c r="C323" s="62"/>
      <c r="D323" s="92"/>
      <c r="E323" s="65"/>
      <c r="F323" s="65"/>
      <c r="G323" s="67"/>
      <c r="H323" s="67"/>
      <c r="I323" s="71"/>
      <c r="J323" s="70"/>
      <c r="K323" s="23"/>
      <c r="L323" s="70"/>
      <c r="M323" s="70"/>
      <c r="N323" s="70"/>
      <c r="O323" s="40"/>
      <c r="P323" s="23"/>
      <c r="Q323" s="23"/>
      <c r="R323" s="72"/>
      <c r="S323" s="72"/>
      <c r="T323" s="23"/>
      <c r="U323" s="40"/>
      <c r="V323" s="23"/>
      <c r="W323" s="72"/>
      <c r="X323" s="23"/>
      <c r="Y323" s="40"/>
      <c r="Z323" s="23"/>
      <c r="AA323" s="72"/>
      <c r="AB323" s="23"/>
      <c r="AC323" s="40"/>
      <c r="AD323" s="23"/>
      <c r="AE323" s="23"/>
    </row>
    <row r="324" spans="1:31" ht="12.75">
      <c r="A324" s="23"/>
      <c r="B324" s="64"/>
      <c r="C324" s="62"/>
      <c r="D324" s="92"/>
      <c r="E324" s="65"/>
      <c r="F324" s="65"/>
      <c r="G324" s="67"/>
      <c r="H324" s="67"/>
      <c r="I324" s="71"/>
      <c r="J324" s="70"/>
      <c r="K324" s="23"/>
      <c r="L324" s="70"/>
      <c r="M324" s="70"/>
      <c r="N324" s="70"/>
      <c r="O324" s="40"/>
      <c r="P324" s="23"/>
      <c r="Q324" s="23"/>
      <c r="R324" s="72"/>
      <c r="S324" s="72"/>
      <c r="T324" s="23"/>
      <c r="U324" s="40"/>
      <c r="V324" s="23"/>
      <c r="W324" s="72"/>
      <c r="X324" s="23"/>
      <c r="Y324" s="40"/>
      <c r="Z324" s="23"/>
      <c r="AA324" s="72"/>
      <c r="AB324" s="23"/>
      <c r="AC324" s="40"/>
      <c r="AD324" s="23"/>
      <c r="AE324" s="23"/>
    </row>
    <row r="325" spans="1:31" ht="12.75">
      <c r="A325" s="23"/>
      <c r="B325" s="64"/>
      <c r="C325" s="62"/>
      <c r="D325" s="92"/>
      <c r="E325" s="65"/>
      <c r="F325" s="65"/>
      <c r="G325" s="67"/>
      <c r="H325" s="67"/>
      <c r="I325" s="71"/>
      <c r="J325" s="70"/>
      <c r="K325" s="23"/>
      <c r="L325" s="70"/>
      <c r="M325" s="70"/>
      <c r="N325" s="70"/>
      <c r="O325" s="40"/>
      <c r="P325" s="23"/>
      <c r="Q325" s="23"/>
      <c r="R325" s="72"/>
      <c r="S325" s="72"/>
      <c r="T325" s="23"/>
      <c r="U325" s="40"/>
      <c r="V325" s="23"/>
      <c r="W325" s="72"/>
      <c r="X325" s="23"/>
      <c r="Y325" s="40"/>
      <c r="Z325" s="23"/>
      <c r="AA325" s="72"/>
      <c r="AB325" s="23"/>
      <c r="AC325" s="40"/>
      <c r="AD325" s="23"/>
      <c r="AE325" s="23"/>
    </row>
    <row r="326" spans="1:31" ht="12.75">
      <c r="A326" s="23"/>
      <c r="B326" s="64"/>
      <c r="C326" s="62"/>
      <c r="D326" s="92"/>
      <c r="E326" s="65"/>
      <c r="F326" s="65"/>
      <c r="G326" s="67"/>
      <c r="H326" s="67"/>
      <c r="I326" s="71"/>
      <c r="J326" s="70"/>
      <c r="K326" s="23"/>
      <c r="L326" s="70"/>
      <c r="M326" s="70"/>
      <c r="N326" s="70"/>
      <c r="O326" s="40"/>
      <c r="P326" s="23"/>
      <c r="Q326" s="23"/>
      <c r="R326" s="72"/>
      <c r="S326" s="72"/>
      <c r="T326" s="23"/>
      <c r="U326" s="40"/>
      <c r="V326" s="23"/>
      <c r="W326" s="72"/>
      <c r="X326" s="23"/>
      <c r="Y326" s="40"/>
      <c r="Z326" s="23"/>
      <c r="AA326" s="72"/>
      <c r="AB326" s="23"/>
      <c r="AC326" s="40"/>
      <c r="AD326" s="23"/>
      <c r="AE326" s="23"/>
    </row>
    <row r="327" spans="1:31" ht="12.75">
      <c r="A327" s="23"/>
      <c r="B327" s="64"/>
      <c r="C327" s="62"/>
      <c r="D327" s="92"/>
      <c r="E327" s="65"/>
      <c r="F327" s="65"/>
      <c r="G327" s="67"/>
      <c r="H327" s="67"/>
      <c r="I327" s="71"/>
      <c r="J327" s="70"/>
      <c r="K327" s="23"/>
      <c r="L327" s="70"/>
      <c r="M327" s="70"/>
      <c r="N327" s="70"/>
      <c r="O327" s="40"/>
      <c r="P327" s="23"/>
      <c r="Q327" s="23"/>
      <c r="R327" s="72"/>
      <c r="S327" s="72"/>
      <c r="T327" s="23"/>
      <c r="U327" s="40"/>
      <c r="V327" s="23"/>
      <c r="W327" s="72"/>
      <c r="X327" s="23"/>
      <c r="Y327" s="40"/>
      <c r="Z327" s="23"/>
      <c r="AA327" s="72"/>
      <c r="AB327" s="23"/>
      <c r="AC327" s="40"/>
      <c r="AD327" s="23"/>
      <c r="AE327" s="23"/>
    </row>
    <row r="328" spans="1:31" ht="12.75">
      <c r="A328" s="23"/>
      <c r="B328" s="64"/>
      <c r="C328" s="62"/>
      <c r="D328" s="92"/>
      <c r="E328" s="65"/>
      <c r="F328" s="65"/>
      <c r="G328" s="67"/>
      <c r="H328" s="67"/>
      <c r="I328" s="71"/>
      <c r="J328" s="70"/>
      <c r="K328" s="23"/>
      <c r="L328" s="70"/>
      <c r="M328" s="70"/>
      <c r="N328" s="70"/>
      <c r="O328" s="40"/>
      <c r="P328" s="23"/>
      <c r="Q328" s="23"/>
      <c r="R328" s="72"/>
      <c r="S328" s="72"/>
      <c r="T328" s="23"/>
      <c r="U328" s="40"/>
      <c r="V328" s="23"/>
      <c r="W328" s="72"/>
      <c r="X328" s="23"/>
      <c r="Y328" s="40"/>
      <c r="Z328" s="23"/>
      <c r="AA328" s="72"/>
      <c r="AB328" s="23"/>
      <c r="AC328" s="40"/>
      <c r="AD328" s="23"/>
      <c r="AE328" s="23"/>
    </row>
    <row r="329" spans="1:31" ht="12.75">
      <c r="A329" s="23"/>
      <c r="B329" s="64"/>
      <c r="C329" s="62"/>
      <c r="D329" s="92"/>
      <c r="E329" s="65"/>
      <c r="F329" s="65"/>
      <c r="G329" s="67"/>
      <c r="H329" s="67"/>
      <c r="I329" s="71"/>
      <c r="J329" s="70"/>
      <c r="K329" s="23"/>
      <c r="L329" s="70"/>
      <c r="M329" s="70"/>
      <c r="N329" s="70"/>
      <c r="O329" s="40"/>
      <c r="P329" s="23"/>
      <c r="Q329" s="23"/>
      <c r="R329" s="72"/>
      <c r="S329" s="72"/>
      <c r="T329" s="23"/>
      <c r="U329" s="40"/>
      <c r="V329" s="23"/>
      <c r="W329" s="72"/>
      <c r="X329" s="23"/>
      <c r="Y329" s="40"/>
      <c r="Z329" s="23"/>
      <c r="AA329" s="72"/>
      <c r="AB329" s="23"/>
      <c r="AC329" s="40"/>
      <c r="AD329" s="23"/>
      <c r="AE329" s="23"/>
    </row>
    <row r="330" spans="1:31" ht="12.75">
      <c r="A330" s="23"/>
      <c r="B330" s="64"/>
      <c r="C330" s="62"/>
      <c r="D330" s="92"/>
      <c r="E330" s="65"/>
      <c r="F330" s="65"/>
      <c r="G330" s="67"/>
      <c r="H330" s="67"/>
      <c r="I330" s="71"/>
      <c r="J330" s="70"/>
      <c r="K330" s="23"/>
      <c r="L330" s="70"/>
      <c r="M330" s="70"/>
      <c r="N330" s="70"/>
      <c r="O330" s="40"/>
      <c r="P330" s="23"/>
      <c r="Q330" s="23"/>
      <c r="R330" s="72"/>
      <c r="S330" s="72"/>
      <c r="T330" s="23"/>
      <c r="U330" s="40"/>
      <c r="V330" s="23"/>
      <c r="W330" s="72"/>
      <c r="X330" s="23"/>
      <c r="Y330" s="40"/>
      <c r="Z330" s="23"/>
      <c r="AA330" s="72"/>
      <c r="AB330" s="23"/>
      <c r="AC330" s="40"/>
      <c r="AD330" s="23"/>
      <c r="AE330" s="23"/>
    </row>
    <row r="331" spans="1:31" ht="12.75">
      <c r="A331" s="23"/>
      <c r="B331" s="64"/>
      <c r="C331" s="62"/>
      <c r="D331" s="92"/>
      <c r="E331" s="65"/>
      <c r="F331" s="65"/>
      <c r="G331" s="67"/>
      <c r="H331" s="67"/>
      <c r="I331" s="71"/>
      <c r="J331" s="70"/>
      <c r="K331" s="23"/>
      <c r="L331" s="70"/>
      <c r="M331" s="70"/>
      <c r="N331" s="70"/>
      <c r="O331" s="40"/>
      <c r="P331" s="23"/>
      <c r="Q331" s="23"/>
      <c r="R331" s="72"/>
      <c r="S331" s="72"/>
      <c r="T331" s="23"/>
      <c r="U331" s="40"/>
      <c r="V331" s="23"/>
      <c r="W331" s="72"/>
      <c r="X331" s="23"/>
      <c r="Y331" s="40"/>
      <c r="Z331" s="23"/>
      <c r="AA331" s="72"/>
      <c r="AB331" s="23"/>
      <c r="AC331" s="40"/>
      <c r="AD331" s="23"/>
      <c r="AE331" s="23"/>
    </row>
    <row r="332" spans="1:31" ht="12.75">
      <c r="A332" s="23"/>
      <c r="B332" s="64"/>
      <c r="C332" s="62"/>
      <c r="D332" s="92"/>
      <c r="E332" s="65"/>
      <c r="F332" s="65"/>
      <c r="G332" s="67"/>
      <c r="H332" s="67"/>
      <c r="I332" s="71"/>
      <c r="J332" s="70"/>
      <c r="K332" s="23"/>
      <c r="L332" s="70"/>
      <c r="M332" s="70"/>
      <c r="N332" s="70"/>
      <c r="O332" s="40"/>
      <c r="P332" s="23"/>
      <c r="Q332" s="23"/>
      <c r="R332" s="72"/>
      <c r="S332" s="72"/>
      <c r="T332" s="23"/>
      <c r="U332" s="40"/>
      <c r="V332" s="23"/>
      <c r="W332" s="72"/>
      <c r="X332" s="23"/>
      <c r="Y332" s="40"/>
      <c r="Z332" s="23"/>
      <c r="AA332" s="72"/>
      <c r="AB332" s="23"/>
      <c r="AC332" s="40"/>
      <c r="AD332" s="23"/>
      <c r="AE332" s="23"/>
    </row>
    <row r="333" spans="1:31" ht="12.75">
      <c r="A333" s="23"/>
      <c r="B333" s="64"/>
      <c r="C333" s="62"/>
      <c r="D333" s="92"/>
      <c r="E333" s="65"/>
      <c r="F333" s="65"/>
      <c r="G333" s="67"/>
      <c r="H333" s="67"/>
      <c r="I333" s="71"/>
      <c r="J333" s="70"/>
      <c r="K333" s="23"/>
      <c r="L333" s="70"/>
      <c r="M333" s="70"/>
      <c r="N333" s="70"/>
      <c r="O333" s="40"/>
      <c r="P333" s="23"/>
      <c r="Q333" s="23"/>
      <c r="R333" s="72"/>
      <c r="S333" s="72"/>
      <c r="T333" s="23"/>
      <c r="U333" s="40"/>
      <c r="V333" s="23"/>
      <c r="W333" s="72"/>
      <c r="X333" s="23"/>
      <c r="Y333" s="40"/>
      <c r="Z333" s="23"/>
      <c r="AA333" s="72"/>
      <c r="AB333" s="23"/>
      <c r="AC333" s="40"/>
      <c r="AD333" s="23"/>
      <c r="AE333" s="23"/>
    </row>
    <row r="334" spans="1:31" ht="12.75">
      <c r="A334" s="23"/>
      <c r="B334" s="64"/>
      <c r="C334" s="62"/>
      <c r="D334" s="92"/>
      <c r="E334" s="65"/>
      <c r="F334" s="65"/>
      <c r="G334" s="67"/>
      <c r="H334" s="67"/>
      <c r="I334" s="71"/>
      <c r="J334" s="70"/>
      <c r="K334" s="23"/>
      <c r="L334" s="70"/>
      <c r="M334" s="70"/>
      <c r="N334" s="70"/>
      <c r="O334" s="40"/>
      <c r="P334" s="23"/>
      <c r="Q334" s="23"/>
      <c r="R334" s="72"/>
      <c r="S334" s="72"/>
      <c r="T334" s="23"/>
      <c r="U334" s="40"/>
      <c r="V334" s="23"/>
      <c r="W334" s="72"/>
      <c r="X334" s="23"/>
      <c r="Y334" s="40"/>
      <c r="Z334" s="23"/>
      <c r="AA334" s="72"/>
      <c r="AB334" s="23"/>
      <c r="AC334" s="40"/>
      <c r="AD334" s="23"/>
      <c r="AE334" s="23"/>
    </row>
    <row r="335" spans="1:31" ht="12.75">
      <c r="A335" s="23"/>
      <c r="B335" s="64"/>
      <c r="C335" s="62"/>
      <c r="D335" s="92"/>
      <c r="E335" s="65"/>
      <c r="F335" s="65"/>
      <c r="G335" s="67"/>
      <c r="H335" s="67"/>
      <c r="I335" s="71"/>
      <c r="J335" s="70"/>
      <c r="K335" s="23"/>
      <c r="L335" s="70"/>
      <c r="M335" s="70"/>
      <c r="N335" s="70"/>
      <c r="O335" s="40"/>
      <c r="P335" s="23"/>
      <c r="Q335" s="23"/>
      <c r="R335" s="72"/>
      <c r="S335" s="72"/>
      <c r="T335" s="23"/>
      <c r="U335" s="40"/>
      <c r="V335" s="23"/>
      <c r="W335" s="72"/>
      <c r="X335" s="23"/>
      <c r="Y335" s="40"/>
      <c r="Z335" s="23"/>
      <c r="AA335" s="72"/>
      <c r="AB335" s="23"/>
      <c r="AC335" s="40"/>
      <c r="AD335" s="23"/>
      <c r="AE335" s="23"/>
    </row>
    <row r="336" spans="1:31" ht="12.75">
      <c r="A336" s="23"/>
      <c r="B336" s="64"/>
      <c r="C336" s="62"/>
      <c r="D336" s="92"/>
      <c r="E336" s="65"/>
      <c r="F336" s="65"/>
      <c r="G336" s="67"/>
      <c r="H336" s="67"/>
      <c r="I336" s="71"/>
      <c r="J336" s="70"/>
      <c r="K336" s="23"/>
      <c r="L336" s="70"/>
      <c r="M336" s="70"/>
      <c r="N336" s="70"/>
      <c r="O336" s="40"/>
      <c r="P336" s="23"/>
      <c r="Q336" s="23"/>
      <c r="R336" s="72"/>
      <c r="S336" s="72"/>
      <c r="T336" s="23"/>
      <c r="U336" s="40"/>
      <c r="V336" s="23"/>
      <c r="W336" s="72"/>
      <c r="X336" s="23"/>
      <c r="Y336" s="40"/>
      <c r="Z336" s="23"/>
      <c r="AA336" s="72"/>
      <c r="AB336" s="23"/>
      <c r="AC336" s="40"/>
      <c r="AD336" s="23"/>
      <c r="AE336" s="23"/>
    </row>
    <row r="337" spans="1:31" ht="12.75">
      <c r="A337" s="23"/>
      <c r="B337" s="64"/>
      <c r="C337" s="62"/>
      <c r="D337" s="92"/>
      <c r="E337" s="65"/>
      <c r="F337" s="65"/>
      <c r="G337" s="67"/>
      <c r="H337" s="67"/>
      <c r="I337" s="71"/>
      <c r="J337" s="70"/>
      <c r="K337" s="23"/>
      <c r="L337" s="70"/>
      <c r="M337" s="70"/>
      <c r="N337" s="70"/>
      <c r="O337" s="40"/>
      <c r="P337" s="23"/>
      <c r="Q337" s="23"/>
      <c r="R337" s="72"/>
      <c r="S337" s="72"/>
      <c r="T337" s="23"/>
      <c r="U337" s="40"/>
      <c r="V337" s="23"/>
      <c r="W337" s="72"/>
      <c r="X337" s="23"/>
      <c r="Y337" s="40"/>
      <c r="Z337" s="23"/>
      <c r="AA337" s="72"/>
      <c r="AB337" s="23"/>
      <c r="AC337" s="40"/>
      <c r="AD337" s="23"/>
      <c r="AE337" s="23"/>
    </row>
    <row r="338" spans="1:31" ht="12.75">
      <c r="A338" s="23"/>
      <c r="B338" s="64"/>
      <c r="C338" s="62"/>
      <c r="D338" s="92"/>
      <c r="E338" s="65"/>
      <c r="F338" s="65"/>
      <c r="G338" s="67"/>
      <c r="H338" s="67"/>
      <c r="I338" s="71"/>
      <c r="J338" s="70"/>
      <c r="K338" s="23"/>
      <c r="L338" s="70"/>
      <c r="M338" s="70"/>
      <c r="N338" s="70"/>
      <c r="O338" s="40"/>
      <c r="P338" s="23"/>
      <c r="Q338" s="23"/>
      <c r="R338" s="72"/>
      <c r="S338" s="72"/>
      <c r="T338" s="23"/>
      <c r="U338" s="40"/>
      <c r="V338" s="23"/>
      <c r="W338" s="72"/>
      <c r="X338" s="23"/>
      <c r="Y338" s="40"/>
      <c r="Z338" s="23"/>
      <c r="AA338" s="72"/>
      <c r="AB338" s="23"/>
      <c r="AC338" s="40"/>
      <c r="AD338" s="23"/>
      <c r="AE338" s="23"/>
    </row>
    <row r="339" spans="1:31" ht="12.75">
      <c r="A339" s="23"/>
      <c r="B339" s="64"/>
      <c r="C339" s="62"/>
      <c r="D339" s="92"/>
      <c r="E339" s="65"/>
      <c r="F339" s="65"/>
      <c r="G339" s="67"/>
      <c r="H339" s="67"/>
      <c r="I339" s="71"/>
      <c r="J339" s="70"/>
      <c r="K339" s="23"/>
      <c r="L339" s="70"/>
      <c r="M339" s="70"/>
      <c r="N339" s="70"/>
      <c r="O339" s="40"/>
      <c r="P339" s="23"/>
      <c r="Q339" s="23"/>
      <c r="R339" s="72"/>
      <c r="S339" s="72"/>
      <c r="T339" s="23"/>
      <c r="U339" s="40"/>
      <c r="V339" s="23"/>
      <c r="W339" s="72"/>
      <c r="X339" s="23"/>
      <c r="Y339" s="40"/>
      <c r="Z339" s="23"/>
      <c r="AA339" s="72"/>
      <c r="AB339" s="23"/>
      <c r="AC339" s="40"/>
      <c r="AD339" s="23"/>
      <c r="AE339" s="23"/>
    </row>
    <row r="340" spans="1:31" ht="12.75">
      <c r="A340" s="23"/>
      <c r="B340" s="64"/>
      <c r="C340" s="62"/>
      <c r="D340" s="92"/>
      <c r="E340" s="65"/>
      <c r="F340" s="65"/>
      <c r="G340" s="67"/>
      <c r="H340" s="67"/>
      <c r="I340" s="71"/>
      <c r="J340" s="70"/>
      <c r="K340" s="23"/>
      <c r="L340" s="70"/>
      <c r="M340" s="70"/>
      <c r="N340" s="70"/>
      <c r="O340" s="40"/>
      <c r="P340" s="23"/>
      <c r="Q340" s="23"/>
      <c r="R340" s="72"/>
      <c r="S340" s="72"/>
      <c r="T340" s="23"/>
      <c r="U340" s="40"/>
      <c r="V340" s="23"/>
      <c r="W340" s="72"/>
      <c r="X340" s="23"/>
      <c r="Y340" s="40"/>
      <c r="Z340" s="23"/>
      <c r="AA340" s="72"/>
      <c r="AB340" s="23"/>
      <c r="AC340" s="40"/>
      <c r="AD340" s="23"/>
      <c r="AE340" s="23"/>
    </row>
    <row r="341" spans="1:31" ht="12.75">
      <c r="A341" s="23"/>
      <c r="B341" s="64"/>
      <c r="C341" s="62"/>
      <c r="D341" s="92"/>
      <c r="E341" s="65"/>
      <c r="F341" s="65"/>
      <c r="G341" s="67"/>
      <c r="H341" s="67"/>
      <c r="I341" s="71"/>
      <c r="J341" s="70"/>
      <c r="K341" s="23"/>
      <c r="L341" s="70"/>
      <c r="M341" s="70"/>
      <c r="N341" s="70"/>
      <c r="O341" s="40"/>
      <c r="P341" s="23"/>
      <c r="Q341" s="23"/>
      <c r="R341" s="72"/>
      <c r="S341" s="72"/>
      <c r="T341" s="23"/>
      <c r="U341" s="40"/>
      <c r="V341" s="23"/>
      <c r="W341" s="72"/>
      <c r="X341" s="23"/>
      <c r="Y341" s="40"/>
      <c r="Z341" s="23"/>
      <c r="AA341" s="72"/>
      <c r="AB341" s="23"/>
      <c r="AC341" s="40"/>
      <c r="AD341" s="23"/>
      <c r="AE341" s="23"/>
    </row>
    <row r="342" spans="1:31" ht="12.75">
      <c r="A342" s="23"/>
      <c r="B342" s="64"/>
      <c r="C342" s="62"/>
      <c r="D342" s="92"/>
      <c r="E342" s="65"/>
      <c r="F342" s="65"/>
      <c r="G342" s="67"/>
      <c r="H342" s="67"/>
      <c r="I342" s="71"/>
      <c r="J342" s="70"/>
      <c r="K342" s="23"/>
      <c r="L342" s="70"/>
      <c r="M342" s="70"/>
      <c r="N342" s="70"/>
      <c r="O342" s="40"/>
      <c r="P342" s="23"/>
      <c r="Q342" s="23"/>
      <c r="R342" s="72"/>
      <c r="S342" s="72"/>
      <c r="T342" s="23"/>
      <c r="U342" s="40"/>
      <c r="V342" s="23"/>
      <c r="W342" s="72"/>
      <c r="X342" s="23"/>
      <c r="Y342" s="40"/>
      <c r="Z342" s="23"/>
      <c r="AA342" s="72"/>
      <c r="AB342" s="23"/>
      <c r="AC342" s="40"/>
      <c r="AD342" s="23"/>
      <c r="AE342" s="23"/>
    </row>
    <row r="343" spans="1:31" ht="12.75">
      <c r="A343" s="23"/>
      <c r="B343" s="64"/>
      <c r="C343" s="62"/>
      <c r="D343" s="92"/>
      <c r="E343" s="65"/>
      <c r="F343" s="65"/>
      <c r="G343" s="67"/>
      <c r="H343" s="67"/>
      <c r="I343" s="71"/>
      <c r="J343" s="70"/>
      <c r="K343" s="23"/>
      <c r="L343" s="70"/>
      <c r="M343" s="70"/>
      <c r="N343" s="70"/>
      <c r="O343" s="40"/>
      <c r="P343" s="23"/>
      <c r="Q343" s="23"/>
      <c r="R343" s="72"/>
      <c r="S343" s="72"/>
      <c r="T343" s="23"/>
      <c r="U343" s="40"/>
      <c r="V343" s="23"/>
      <c r="W343" s="72"/>
      <c r="X343" s="23"/>
      <c r="Y343" s="40"/>
      <c r="Z343" s="23"/>
      <c r="AA343" s="72"/>
      <c r="AB343" s="23"/>
      <c r="AC343" s="40"/>
      <c r="AD343" s="23"/>
      <c r="AE343" s="23"/>
    </row>
    <row r="344" spans="1:31" ht="12.75">
      <c r="A344" s="23"/>
      <c r="B344" s="64"/>
      <c r="C344" s="62"/>
      <c r="D344" s="92"/>
      <c r="E344" s="65"/>
      <c r="F344" s="65"/>
      <c r="G344" s="67"/>
      <c r="H344" s="67"/>
      <c r="I344" s="71"/>
      <c r="J344" s="70"/>
      <c r="K344" s="23"/>
      <c r="L344" s="70"/>
      <c r="M344" s="70"/>
      <c r="N344" s="70"/>
      <c r="O344" s="40"/>
      <c r="P344" s="23"/>
      <c r="Q344" s="23"/>
      <c r="R344" s="72"/>
      <c r="S344" s="72"/>
      <c r="T344" s="23"/>
      <c r="U344" s="40"/>
      <c r="V344" s="23"/>
      <c r="W344" s="72"/>
      <c r="X344" s="23"/>
      <c r="Y344" s="40"/>
      <c r="Z344" s="23"/>
      <c r="AA344" s="72"/>
      <c r="AB344" s="23"/>
      <c r="AC344" s="40"/>
      <c r="AD344" s="23"/>
      <c r="AE344" s="23"/>
    </row>
    <row r="345" spans="1:31" ht="12.75">
      <c r="A345" s="23"/>
      <c r="B345" s="64"/>
      <c r="C345" s="62"/>
      <c r="D345" s="92"/>
      <c r="E345" s="65"/>
      <c r="F345" s="65"/>
      <c r="G345" s="67"/>
      <c r="H345" s="67"/>
      <c r="I345" s="71"/>
      <c r="J345" s="70"/>
      <c r="K345" s="23"/>
      <c r="L345" s="70"/>
      <c r="M345" s="70"/>
      <c r="N345" s="70"/>
      <c r="O345" s="40"/>
      <c r="P345" s="23"/>
      <c r="Q345" s="23"/>
      <c r="R345" s="72"/>
      <c r="S345" s="72"/>
      <c r="T345" s="23"/>
      <c r="U345" s="40"/>
      <c r="V345" s="23"/>
      <c r="W345" s="72"/>
      <c r="X345" s="23"/>
      <c r="Y345" s="40"/>
      <c r="Z345" s="23"/>
      <c r="AA345" s="72"/>
      <c r="AB345" s="23"/>
      <c r="AC345" s="40"/>
      <c r="AD345" s="23"/>
      <c r="AE345" s="23"/>
    </row>
    <row r="346" spans="1:31" ht="12.75">
      <c r="A346" s="23"/>
      <c r="B346" s="64"/>
      <c r="C346" s="62"/>
      <c r="D346" s="92"/>
      <c r="E346" s="65"/>
      <c r="F346" s="65"/>
      <c r="G346" s="67"/>
      <c r="H346" s="67"/>
      <c r="I346" s="71"/>
      <c r="J346" s="70"/>
      <c r="K346" s="23"/>
      <c r="L346" s="70"/>
      <c r="M346" s="70"/>
      <c r="N346" s="70"/>
      <c r="O346" s="40"/>
      <c r="P346" s="23"/>
      <c r="Q346" s="23"/>
      <c r="R346" s="72"/>
      <c r="S346" s="72"/>
      <c r="T346" s="23"/>
      <c r="U346" s="40"/>
      <c r="V346" s="23"/>
      <c r="W346" s="72"/>
      <c r="X346" s="23"/>
      <c r="Y346" s="40"/>
      <c r="Z346" s="23"/>
      <c r="AA346" s="72"/>
      <c r="AB346" s="23"/>
      <c r="AC346" s="40"/>
      <c r="AD346" s="23"/>
      <c r="AE346" s="23"/>
    </row>
    <row r="347" spans="1:31" ht="12.75">
      <c r="A347" s="23"/>
      <c r="B347" s="64"/>
      <c r="C347" s="62"/>
      <c r="D347" s="92"/>
      <c r="E347" s="65"/>
      <c r="F347" s="65"/>
      <c r="G347" s="67"/>
      <c r="H347" s="67"/>
      <c r="I347" s="71"/>
      <c r="J347" s="70"/>
      <c r="K347" s="23"/>
      <c r="L347" s="70"/>
      <c r="M347" s="70"/>
      <c r="N347" s="70"/>
      <c r="O347" s="40"/>
      <c r="P347" s="23"/>
      <c r="Q347" s="23"/>
      <c r="R347" s="72"/>
      <c r="S347" s="72"/>
      <c r="T347" s="23"/>
      <c r="U347" s="40"/>
      <c r="V347" s="23"/>
      <c r="W347" s="72"/>
      <c r="X347" s="23"/>
      <c r="Y347" s="40"/>
      <c r="Z347" s="23"/>
      <c r="AA347" s="72"/>
      <c r="AB347" s="23"/>
      <c r="AC347" s="40"/>
      <c r="AD347" s="23"/>
      <c r="AE347" s="23"/>
    </row>
    <row r="348" spans="1:31" ht="12.75">
      <c r="A348" s="23"/>
      <c r="B348" s="64"/>
      <c r="C348" s="62"/>
      <c r="D348" s="92"/>
      <c r="E348" s="65"/>
      <c r="F348" s="65"/>
      <c r="G348" s="67"/>
      <c r="H348" s="67"/>
      <c r="I348" s="71"/>
      <c r="J348" s="70"/>
      <c r="K348" s="23"/>
      <c r="L348" s="70"/>
      <c r="M348" s="70"/>
      <c r="N348" s="70"/>
      <c r="O348" s="40"/>
      <c r="P348" s="23"/>
      <c r="Q348" s="23"/>
      <c r="R348" s="72"/>
      <c r="S348" s="72"/>
      <c r="T348" s="23"/>
      <c r="U348" s="40"/>
      <c r="V348" s="23"/>
      <c r="W348" s="72"/>
      <c r="X348" s="23"/>
      <c r="Y348" s="40"/>
      <c r="Z348" s="23"/>
      <c r="AA348" s="72"/>
      <c r="AB348" s="23"/>
      <c r="AC348" s="40"/>
      <c r="AD348" s="23"/>
      <c r="AE348" s="23"/>
    </row>
    <row r="349" spans="1:31" ht="12.75">
      <c r="A349" s="23"/>
      <c r="B349" s="64"/>
      <c r="C349" s="62"/>
      <c r="D349" s="92"/>
      <c r="E349" s="65"/>
      <c r="F349" s="65"/>
      <c r="G349" s="67"/>
      <c r="H349" s="67"/>
      <c r="I349" s="71"/>
      <c r="J349" s="70"/>
      <c r="K349" s="23"/>
      <c r="L349" s="70"/>
      <c r="M349" s="70"/>
      <c r="N349" s="70"/>
      <c r="O349" s="40"/>
      <c r="P349" s="23"/>
      <c r="Q349" s="23"/>
      <c r="R349" s="72"/>
      <c r="S349" s="72"/>
      <c r="T349" s="23"/>
      <c r="U349" s="40"/>
      <c r="V349" s="23"/>
      <c r="W349" s="72"/>
      <c r="X349" s="23"/>
      <c r="Y349" s="40"/>
      <c r="Z349" s="23"/>
      <c r="AA349" s="72"/>
      <c r="AB349" s="23"/>
      <c r="AC349" s="40"/>
      <c r="AD349" s="23"/>
      <c r="AE349" s="23"/>
    </row>
    <row r="350" spans="1:31" ht="12.75">
      <c r="A350" s="23"/>
      <c r="B350" s="64"/>
      <c r="C350" s="62"/>
      <c r="D350" s="92"/>
      <c r="E350" s="65"/>
      <c r="F350" s="65"/>
      <c r="G350" s="67"/>
      <c r="H350" s="67"/>
      <c r="I350" s="71"/>
      <c r="J350" s="70"/>
      <c r="K350" s="23"/>
      <c r="L350" s="70"/>
      <c r="M350" s="70"/>
      <c r="N350" s="70"/>
      <c r="O350" s="40"/>
      <c r="P350" s="23"/>
      <c r="Q350" s="23"/>
      <c r="R350" s="72"/>
      <c r="S350" s="72"/>
      <c r="T350" s="23"/>
      <c r="U350" s="40"/>
      <c r="V350" s="23"/>
      <c r="W350" s="72"/>
      <c r="X350" s="23"/>
      <c r="Y350" s="40"/>
      <c r="Z350" s="23"/>
      <c r="AA350" s="72"/>
      <c r="AB350" s="23"/>
      <c r="AC350" s="40"/>
      <c r="AD350" s="23"/>
      <c r="AE350" s="23"/>
    </row>
    <row r="351" spans="1:31" ht="12.75">
      <c r="A351" s="23"/>
      <c r="B351" s="64"/>
      <c r="C351" s="62"/>
      <c r="D351" s="92"/>
      <c r="E351" s="65"/>
      <c r="F351" s="65"/>
      <c r="G351" s="67"/>
      <c r="H351" s="67"/>
      <c r="I351" s="71"/>
      <c r="J351" s="70"/>
      <c r="K351" s="23"/>
      <c r="L351" s="70"/>
      <c r="M351" s="70"/>
      <c r="N351" s="70"/>
      <c r="O351" s="40"/>
      <c r="P351" s="23"/>
      <c r="Q351" s="23"/>
      <c r="R351" s="72"/>
      <c r="S351" s="72"/>
      <c r="T351" s="23"/>
      <c r="U351" s="40"/>
      <c r="V351" s="23"/>
      <c r="W351" s="72"/>
      <c r="X351" s="23"/>
      <c r="Y351" s="40"/>
      <c r="Z351" s="23"/>
      <c r="AA351" s="72"/>
      <c r="AB351" s="23"/>
      <c r="AC351" s="40"/>
      <c r="AD351" s="23"/>
      <c r="AE351" s="23"/>
    </row>
    <row r="352" spans="1:31" ht="12.75">
      <c r="A352" s="23"/>
      <c r="B352" s="64"/>
      <c r="C352" s="62"/>
      <c r="D352" s="92"/>
      <c r="E352" s="65"/>
      <c r="F352" s="65"/>
      <c r="G352" s="67"/>
      <c r="H352" s="67"/>
      <c r="I352" s="71"/>
      <c r="J352" s="70"/>
      <c r="K352" s="23"/>
      <c r="L352" s="70"/>
      <c r="M352" s="70"/>
      <c r="N352" s="70"/>
      <c r="O352" s="40"/>
      <c r="P352" s="23"/>
      <c r="Q352" s="23"/>
      <c r="R352" s="72"/>
      <c r="S352" s="72"/>
      <c r="T352" s="23"/>
      <c r="U352" s="40"/>
      <c r="V352" s="23"/>
      <c r="W352" s="72"/>
      <c r="X352" s="23"/>
      <c r="Y352" s="40"/>
      <c r="Z352" s="23"/>
      <c r="AA352" s="72"/>
      <c r="AB352" s="23"/>
      <c r="AC352" s="40"/>
      <c r="AD352" s="23"/>
      <c r="AE352" s="23"/>
    </row>
    <row r="353" spans="1:31" ht="12.75">
      <c r="A353" s="23"/>
      <c r="B353" s="64"/>
      <c r="C353" s="62"/>
      <c r="D353" s="92"/>
      <c r="E353" s="65"/>
      <c r="F353" s="65"/>
      <c r="G353" s="67"/>
      <c r="H353" s="67"/>
      <c r="I353" s="71"/>
      <c r="J353" s="70"/>
      <c r="K353" s="23"/>
      <c r="L353" s="70"/>
      <c r="M353" s="70"/>
      <c r="N353" s="70"/>
      <c r="O353" s="40"/>
      <c r="P353" s="23"/>
      <c r="Q353" s="23"/>
      <c r="R353" s="72"/>
      <c r="S353" s="72"/>
      <c r="T353" s="23"/>
      <c r="U353" s="40"/>
      <c r="V353" s="23"/>
      <c r="W353" s="72"/>
      <c r="X353" s="23"/>
      <c r="Y353" s="40"/>
      <c r="Z353" s="23"/>
      <c r="AA353" s="72"/>
      <c r="AB353" s="23"/>
      <c r="AC353" s="40"/>
      <c r="AD353" s="23"/>
      <c r="AE353" s="23"/>
    </row>
    <row r="354" spans="1:31" ht="12.75">
      <c r="A354" s="23"/>
      <c r="B354" s="64"/>
      <c r="C354" s="62"/>
      <c r="D354" s="92"/>
      <c r="E354" s="65"/>
      <c r="F354" s="65"/>
      <c r="G354" s="67"/>
      <c r="H354" s="67"/>
      <c r="I354" s="71"/>
      <c r="J354" s="70"/>
      <c r="K354" s="23"/>
      <c r="L354" s="70"/>
      <c r="M354" s="70"/>
      <c r="N354" s="70"/>
      <c r="O354" s="40"/>
      <c r="P354" s="23"/>
      <c r="Q354" s="23"/>
      <c r="R354" s="72"/>
      <c r="S354" s="72"/>
      <c r="T354" s="23"/>
      <c r="U354" s="40"/>
      <c r="V354" s="23"/>
      <c r="W354" s="72"/>
      <c r="X354" s="23"/>
      <c r="Y354" s="40"/>
      <c r="Z354" s="23"/>
      <c r="AA354" s="72"/>
      <c r="AB354" s="23"/>
      <c r="AC354" s="40"/>
      <c r="AD354" s="23"/>
      <c r="AE354" s="23"/>
    </row>
    <row r="355" spans="1:31" ht="12.75">
      <c r="A355" s="23"/>
      <c r="B355" s="64"/>
      <c r="C355" s="62"/>
      <c r="D355" s="92"/>
      <c r="E355" s="65"/>
      <c r="F355" s="65"/>
      <c r="G355" s="67"/>
      <c r="H355" s="67"/>
      <c r="I355" s="71"/>
      <c r="J355" s="70"/>
      <c r="K355" s="23"/>
      <c r="L355" s="70"/>
      <c r="M355" s="70"/>
      <c r="N355" s="70"/>
      <c r="O355" s="40"/>
      <c r="P355" s="23"/>
      <c r="Q355" s="23"/>
      <c r="R355" s="72"/>
      <c r="S355" s="72"/>
      <c r="T355" s="23"/>
      <c r="U355" s="40"/>
      <c r="V355" s="23"/>
      <c r="W355" s="72"/>
      <c r="X355" s="23"/>
      <c r="Y355" s="40"/>
      <c r="Z355" s="23"/>
      <c r="AA355" s="72"/>
      <c r="AB355" s="23"/>
      <c r="AC355" s="40"/>
      <c r="AD355" s="23"/>
      <c r="AE355" s="23"/>
    </row>
    <row r="356" spans="1:31" ht="12.75">
      <c r="A356" s="23"/>
      <c r="B356" s="40"/>
      <c r="C356" s="40"/>
      <c r="D356" s="92"/>
      <c r="E356" s="65"/>
      <c r="F356" s="65"/>
      <c r="G356" s="67"/>
      <c r="H356" s="67"/>
      <c r="I356" s="71"/>
      <c r="J356" s="70"/>
      <c r="K356" s="23"/>
      <c r="L356" s="70"/>
      <c r="M356" s="70"/>
      <c r="N356" s="70"/>
      <c r="O356" s="23"/>
      <c r="P356" s="23"/>
      <c r="Q356" s="23"/>
      <c r="R356" s="72"/>
      <c r="S356" s="23"/>
      <c r="T356" s="23"/>
      <c r="U356" s="23"/>
      <c r="V356" s="23"/>
      <c r="W356" s="23"/>
      <c r="X356" s="23"/>
      <c r="Y356" s="23"/>
      <c r="Z356" s="23"/>
      <c r="AA356" s="23"/>
      <c r="AB356" s="23"/>
      <c r="AC356" s="23"/>
      <c r="AD356" s="23"/>
      <c r="AE356" s="23"/>
    </row>
    <row r="357" spans="1:31" ht="12.75">
      <c r="A357" s="23"/>
      <c r="B357" s="40"/>
      <c r="C357" s="40"/>
      <c r="D357" s="92"/>
      <c r="E357" s="65"/>
      <c r="F357" s="65"/>
      <c r="G357" s="67"/>
      <c r="H357" s="67"/>
      <c r="I357" s="71"/>
      <c r="J357" s="70"/>
      <c r="K357" s="23"/>
      <c r="L357" s="70"/>
      <c r="M357" s="70"/>
      <c r="N357" s="70"/>
      <c r="O357" s="23"/>
      <c r="P357" s="23"/>
      <c r="Q357" s="23"/>
      <c r="R357" s="72"/>
      <c r="S357" s="23"/>
      <c r="T357" s="23"/>
      <c r="U357" s="23"/>
      <c r="V357" s="23"/>
      <c r="W357" s="23"/>
      <c r="X357" s="23"/>
      <c r="Y357" s="23"/>
      <c r="Z357" s="23"/>
      <c r="AA357" s="23"/>
      <c r="AB357" s="23"/>
      <c r="AC357" s="23"/>
      <c r="AD357" s="23"/>
      <c r="AE357" s="23"/>
    </row>
    <row r="358" spans="1:31" ht="12" customHeight="1">
      <c r="A358" s="23"/>
      <c r="B358" s="40"/>
      <c r="C358" s="40"/>
      <c r="D358" s="92"/>
      <c r="E358" s="65"/>
      <c r="F358" s="65"/>
      <c r="G358" s="67"/>
      <c r="H358" s="67"/>
      <c r="I358" s="71"/>
      <c r="J358" s="70"/>
      <c r="K358" s="23"/>
      <c r="L358" s="70"/>
      <c r="M358" s="70"/>
      <c r="N358" s="70"/>
      <c r="O358" s="23"/>
      <c r="P358" s="23"/>
      <c r="Q358" s="23"/>
      <c r="R358" s="72"/>
      <c r="S358" s="23"/>
      <c r="T358" s="23"/>
      <c r="U358" s="23"/>
      <c r="V358" s="23"/>
      <c r="W358" s="23"/>
      <c r="X358" s="23"/>
      <c r="Y358" s="23"/>
      <c r="Z358" s="23"/>
      <c r="AA358" s="23"/>
      <c r="AB358" s="23"/>
      <c r="AC358" s="23"/>
      <c r="AD358" s="23"/>
      <c r="AE358" s="23"/>
    </row>
    <row r="359" spans="1:31" ht="12" customHeight="1">
      <c r="A359" s="23"/>
      <c r="B359" s="40"/>
      <c r="C359" s="40"/>
      <c r="D359" s="92"/>
      <c r="E359" s="65"/>
      <c r="F359" s="65"/>
      <c r="G359" s="67"/>
      <c r="H359" s="67"/>
      <c r="I359" s="71"/>
      <c r="J359" s="70"/>
      <c r="K359" s="23"/>
      <c r="L359" s="70"/>
      <c r="M359" s="70"/>
      <c r="N359" s="70"/>
      <c r="O359" s="23"/>
      <c r="P359" s="23"/>
      <c r="Q359" s="23"/>
      <c r="R359" s="72"/>
      <c r="S359" s="23"/>
      <c r="T359" s="23"/>
      <c r="U359" s="23"/>
      <c r="V359" s="23"/>
      <c r="W359" s="23"/>
      <c r="X359" s="23"/>
      <c r="Y359" s="23"/>
      <c r="Z359" s="23"/>
      <c r="AA359" s="23"/>
      <c r="AB359" s="23"/>
      <c r="AC359" s="23"/>
      <c r="AD359" s="23"/>
      <c r="AE359" s="23"/>
    </row>
    <row r="360" spans="1:31" ht="12" customHeight="1">
      <c r="A360" s="23"/>
      <c r="B360" s="40"/>
      <c r="C360" s="40"/>
      <c r="D360" s="92"/>
      <c r="E360" s="65"/>
      <c r="F360" s="65"/>
      <c r="G360" s="67"/>
      <c r="H360" s="67"/>
      <c r="I360" s="71"/>
      <c r="J360" s="70"/>
      <c r="K360" s="23"/>
      <c r="L360" s="70"/>
      <c r="M360" s="70"/>
      <c r="N360" s="70"/>
      <c r="O360" s="23"/>
      <c r="P360" s="23"/>
      <c r="Q360" s="23"/>
      <c r="R360" s="72"/>
      <c r="S360" s="23"/>
      <c r="T360" s="23"/>
      <c r="U360" s="23"/>
      <c r="V360" s="23"/>
      <c r="W360" s="23"/>
      <c r="X360" s="23"/>
      <c r="Y360" s="23"/>
      <c r="Z360" s="23"/>
      <c r="AA360" s="23"/>
      <c r="AB360" s="23"/>
      <c r="AC360" s="23"/>
      <c r="AD360" s="23"/>
      <c r="AE360" s="23"/>
    </row>
    <row r="361" spans="1:31" ht="12" customHeight="1">
      <c r="A361" s="23"/>
      <c r="B361" s="40"/>
      <c r="C361" s="40"/>
      <c r="D361" s="92"/>
      <c r="E361" s="65"/>
      <c r="F361" s="65"/>
      <c r="G361" s="67"/>
      <c r="H361" s="67"/>
      <c r="I361" s="71"/>
      <c r="J361" s="70"/>
      <c r="K361" s="23"/>
      <c r="L361" s="70"/>
      <c r="M361" s="70"/>
      <c r="N361" s="70"/>
      <c r="O361" s="23"/>
      <c r="P361" s="23"/>
      <c r="Q361" s="23"/>
      <c r="R361" s="72"/>
      <c r="S361" s="23"/>
      <c r="T361" s="23"/>
      <c r="U361" s="23"/>
      <c r="V361" s="23"/>
      <c r="W361" s="23"/>
      <c r="X361" s="23"/>
      <c r="Y361" s="23"/>
      <c r="Z361" s="23"/>
      <c r="AA361" s="23"/>
      <c r="AB361" s="23"/>
      <c r="AC361" s="23"/>
      <c r="AD361" s="23"/>
      <c r="AE361" s="23"/>
    </row>
    <row r="362" spans="1:31" ht="12.75">
      <c r="A362" s="23"/>
      <c r="B362" s="64"/>
      <c r="C362" s="62"/>
      <c r="D362" s="92"/>
      <c r="E362" s="65"/>
      <c r="F362" s="65"/>
      <c r="G362" s="67"/>
      <c r="H362" s="67"/>
      <c r="I362" s="71"/>
      <c r="J362" s="70"/>
      <c r="K362" s="23"/>
      <c r="L362" s="70"/>
      <c r="M362" s="70"/>
      <c r="N362" s="70"/>
      <c r="O362" s="40"/>
      <c r="P362" s="23"/>
      <c r="Q362" s="23"/>
      <c r="R362" s="72"/>
      <c r="S362" s="72"/>
      <c r="T362" s="23"/>
      <c r="U362" s="40"/>
      <c r="V362" s="23"/>
      <c r="W362" s="72"/>
      <c r="X362" s="23"/>
      <c r="Y362" s="40"/>
      <c r="Z362" s="23"/>
      <c r="AA362" s="72"/>
      <c r="AB362" s="23"/>
      <c r="AC362" s="40"/>
      <c r="AD362" s="23"/>
      <c r="AE362" s="23"/>
    </row>
    <row r="363" spans="1:31" ht="12.75">
      <c r="A363" s="23"/>
      <c r="B363" s="64"/>
      <c r="C363" s="62"/>
      <c r="D363" s="92"/>
      <c r="E363" s="65"/>
      <c r="F363" s="65"/>
      <c r="G363" s="67"/>
      <c r="H363" s="67"/>
      <c r="I363" s="71"/>
      <c r="J363" s="70"/>
      <c r="K363" s="23"/>
      <c r="L363" s="70"/>
      <c r="M363" s="70"/>
      <c r="N363" s="70"/>
      <c r="O363" s="40"/>
      <c r="P363" s="23"/>
      <c r="Q363" s="23"/>
      <c r="R363" s="72"/>
      <c r="S363" s="72"/>
      <c r="T363" s="23"/>
      <c r="U363" s="40"/>
      <c r="V363" s="23"/>
      <c r="W363" s="72"/>
      <c r="X363" s="23"/>
      <c r="Y363" s="40"/>
      <c r="Z363" s="23"/>
      <c r="AA363" s="72"/>
      <c r="AB363" s="23"/>
      <c r="AC363" s="40"/>
      <c r="AD363" s="23"/>
      <c r="AE363" s="23"/>
    </row>
    <row r="364" spans="1:31" ht="12.75">
      <c r="A364" s="23"/>
      <c r="B364" s="64"/>
      <c r="C364" s="62"/>
      <c r="D364" s="92"/>
      <c r="E364" s="65"/>
      <c r="F364" s="65"/>
      <c r="G364" s="67"/>
      <c r="H364" s="67"/>
      <c r="I364" s="71"/>
      <c r="J364" s="70"/>
      <c r="K364" s="23"/>
      <c r="L364" s="70"/>
      <c r="M364" s="70"/>
      <c r="N364" s="70"/>
      <c r="O364" s="40"/>
      <c r="P364" s="23"/>
      <c r="Q364" s="23"/>
      <c r="R364" s="72"/>
      <c r="S364" s="72"/>
      <c r="T364" s="23"/>
      <c r="U364" s="40"/>
      <c r="V364" s="23"/>
      <c r="W364" s="72"/>
      <c r="X364" s="23"/>
      <c r="Y364" s="40"/>
      <c r="Z364" s="23"/>
      <c r="AA364" s="72"/>
      <c r="AB364" s="23"/>
      <c r="AC364" s="40"/>
      <c r="AD364" s="23"/>
      <c r="AE364" s="23"/>
    </row>
    <row r="365" spans="1:31" ht="12.75">
      <c r="A365" s="23"/>
      <c r="B365" s="64"/>
      <c r="C365" s="62"/>
      <c r="D365" s="92"/>
      <c r="E365" s="65"/>
      <c r="F365" s="65"/>
      <c r="G365" s="67"/>
      <c r="H365" s="67"/>
      <c r="I365" s="71"/>
      <c r="J365" s="70"/>
      <c r="K365" s="23"/>
      <c r="L365" s="70"/>
      <c r="M365" s="70"/>
      <c r="N365" s="70"/>
      <c r="O365" s="40"/>
      <c r="P365" s="23"/>
      <c r="Q365" s="23"/>
      <c r="R365" s="72"/>
      <c r="S365" s="72"/>
      <c r="T365" s="23"/>
      <c r="U365" s="40"/>
      <c r="V365" s="23"/>
      <c r="W365" s="72"/>
      <c r="X365" s="23"/>
      <c r="Y365" s="40"/>
      <c r="Z365" s="23"/>
      <c r="AA365" s="72"/>
      <c r="AB365" s="23"/>
      <c r="AC365" s="40"/>
      <c r="AD365" s="23"/>
      <c r="AE365" s="23"/>
    </row>
    <row r="366" spans="1:31" ht="12.75">
      <c r="A366" s="23"/>
      <c r="B366" s="64"/>
      <c r="C366" s="62"/>
      <c r="D366" s="92"/>
      <c r="E366" s="65"/>
      <c r="F366" s="65"/>
      <c r="G366" s="67"/>
      <c r="H366" s="67"/>
      <c r="I366" s="71"/>
      <c r="J366" s="70"/>
      <c r="K366" s="23"/>
      <c r="L366" s="70"/>
      <c r="M366" s="70"/>
      <c r="N366" s="70"/>
      <c r="O366" s="40"/>
      <c r="P366" s="23"/>
      <c r="Q366" s="23"/>
      <c r="R366" s="72"/>
      <c r="S366" s="72"/>
      <c r="T366" s="23"/>
      <c r="U366" s="40"/>
      <c r="V366" s="23"/>
      <c r="W366" s="72"/>
      <c r="X366" s="23"/>
      <c r="Y366" s="40"/>
      <c r="Z366" s="23"/>
      <c r="AA366" s="72"/>
      <c r="AB366" s="23"/>
      <c r="AC366" s="40"/>
      <c r="AD366" s="23"/>
      <c r="AE366" s="23"/>
    </row>
    <row r="367" spans="1:31" ht="12.75">
      <c r="A367" s="23"/>
      <c r="B367" s="64"/>
      <c r="C367" s="62"/>
      <c r="D367" s="92"/>
      <c r="E367" s="65"/>
      <c r="F367" s="65"/>
      <c r="G367" s="67"/>
      <c r="H367" s="67"/>
      <c r="I367" s="71"/>
      <c r="J367" s="70"/>
      <c r="K367" s="23"/>
      <c r="L367" s="70"/>
      <c r="M367" s="70"/>
      <c r="N367" s="70"/>
      <c r="O367" s="40"/>
      <c r="P367" s="23"/>
      <c r="Q367" s="23"/>
      <c r="R367" s="72"/>
      <c r="S367" s="72"/>
      <c r="T367" s="23"/>
      <c r="U367" s="40"/>
      <c r="V367" s="23"/>
      <c r="W367" s="72"/>
      <c r="X367" s="23"/>
      <c r="Y367" s="40"/>
      <c r="Z367" s="23"/>
      <c r="AA367" s="72"/>
      <c r="AB367" s="23"/>
      <c r="AC367" s="40"/>
      <c r="AD367" s="23"/>
      <c r="AE367" s="23"/>
    </row>
    <row r="368" spans="1:31" ht="12.75">
      <c r="A368" s="23"/>
      <c r="B368" s="64"/>
      <c r="C368" s="62"/>
      <c r="D368" s="92"/>
      <c r="E368" s="65"/>
      <c r="F368" s="65"/>
      <c r="G368" s="67"/>
      <c r="H368" s="67"/>
      <c r="I368" s="71"/>
      <c r="J368" s="70"/>
      <c r="K368" s="23"/>
      <c r="L368" s="70"/>
      <c r="M368" s="70"/>
      <c r="N368" s="70"/>
      <c r="O368" s="40"/>
      <c r="P368" s="23"/>
      <c r="Q368" s="23"/>
      <c r="R368" s="72"/>
      <c r="S368" s="72"/>
      <c r="T368" s="23"/>
      <c r="U368" s="40"/>
      <c r="V368" s="23"/>
      <c r="W368" s="72"/>
      <c r="X368" s="23"/>
      <c r="Y368" s="40"/>
      <c r="Z368" s="23"/>
      <c r="AA368" s="72"/>
      <c r="AB368" s="23"/>
      <c r="AC368" s="40"/>
      <c r="AD368" s="23"/>
      <c r="AE368" s="23"/>
    </row>
    <row r="369" spans="1:31" ht="12.75">
      <c r="A369" s="23"/>
      <c r="B369" s="64"/>
      <c r="C369" s="62"/>
      <c r="D369" s="92"/>
      <c r="E369" s="65"/>
      <c r="F369" s="65"/>
      <c r="G369" s="67"/>
      <c r="H369" s="67"/>
      <c r="I369" s="71"/>
      <c r="J369" s="70"/>
      <c r="K369" s="23"/>
      <c r="L369" s="70"/>
      <c r="M369" s="70"/>
      <c r="N369" s="70"/>
      <c r="O369" s="40"/>
      <c r="P369" s="23"/>
      <c r="Q369" s="23"/>
      <c r="R369" s="72"/>
      <c r="S369" s="72"/>
      <c r="T369" s="23"/>
      <c r="U369" s="40"/>
      <c r="V369" s="23"/>
      <c r="W369" s="72"/>
      <c r="X369" s="23"/>
      <c r="Y369" s="40"/>
      <c r="Z369" s="23"/>
      <c r="AA369" s="72"/>
      <c r="AB369" s="23"/>
      <c r="AC369" s="40"/>
      <c r="AD369" s="23"/>
      <c r="AE369" s="23"/>
    </row>
    <row r="370" spans="1:31" ht="12.75">
      <c r="A370" s="23"/>
      <c r="B370" s="64"/>
      <c r="C370" s="62"/>
      <c r="D370" s="92"/>
      <c r="E370" s="65"/>
      <c r="F370" s="65"/>
      <c r="G370" s="67"/>
      <c r="H370" s="67"/>
      <c r="I370" s="71"/>
      <c r="J370" s="70"/>
      <c r="K370" s="23"/>
      <c r="L370" s="70"/>
      <c r="M370" s="70"/>
      <c r="N370" s="70"/>
      <c r="O370" s="40"/>
      <c r="P370" s="23"/>
      <c r="Q370" s="23"/>
      <c r="R370" s="72"/>
      <c r="S370" s="72"/>
      <c r="T370" s="23"/>
      <c r="U370" s="40"/>
      <c r="V370" s="23"/>
      <c r="W370" s="72"/>
      <c r="X370" s="23"/>
      <c r="Y370" s="40"/>
      <c r="Z370" s="23"/>
      <c r="AA370" s="72"/>
      <c r="AB370" s="23"/>
      <c r="AC370" s="40"/>
      <c r="AD370" s="23"/>
      <c r="AE370" s="23"/>
    </row>
    <row r="371" spans="1:31" ht="12.75">
      <c r="A371" s="23"/>
      <c r="B371" s="64"/>
      <c r="C371" s="62"/>
      <c r="D371" s="92"/>
      <c r="E371" s="65"/>
      <c r="F371" s="65"/>
      <c r="G371" s="67"/>
      <c r="H371" s="67"/>
      <c r="I371" s="71"/>
      <c r="J371" s="70"/>
      <c r="K371" s="23"/>
      <c r="L371" s="70"/>
      <c r="M371" s="70"/>
      <c r="N371" s="70"/>
      <c r="O371" s="40"/>
      <c r="P371" s="23"/>
      <c r="Q371" s="23"/>
      <c r="R371" s="72"/>
      <c r="S371" s="72"/>
      <c r="T371" s="23"/>
      <c r="U371" s="40"/>
      <c r="V371" s="23"/>
      <c r="W371" s="72"/>
      <c r="X371" s="23"/>
      <c r="Y371" s="40"/>
      <c r="Z371" s="23"/>
      <c r="AA371" s="72"/>
      <c r="AB371" s="23"/>
      <c r="AC371" s="40"/>
      <c r="AD371" s="23"/>
      <c r="AE371" s="23"/>
    </row>
    <row r="372" spans="1:31" ht="12.75">
      <c r="A372" s="23"/>
      <c r="B372" s="64"/>
      <c r="C372" s="62"/>
      <c r="D372" s="92"/>
      <c r="E372" s="65"/>
      <c r="F372" s="65"/>
      <c r="G372" s="67"/>
      <c r="H372" s="67"/>
      <c r="I372" s="71"/>
      <c r="J372" s="70"/>
      <c r="K372" s="23"/>
      <c r="L372" s="70"/>
      <c r="M372" s="70"/>
      <c r="N372" s="70"/>
      <c r="O372" s="40"/>
      <c r="P372" s="23"/>
      <c r="Q372" s="23"/>
      <c r="R372" s="72"/>
      <c r="S372" s="72"/>
      <c r="T372" s="23"/>
      <c r="U372" s="40"/>
      <c r="V372" s="23"/>
      <c r="W372" s="72"/>
      <c r="X372" s="23"/>
      <c r="Y372" s="40"/>
      <c r="Z372" s="23"/>
      <c r="AA372" s="72"/>
      <c r="AB372" s="23"/>
      <c r="AC372" s="40"/>
      <c r="AD372" s="23"/>
      <c r="AE372" s="23"/>
    </row>
    <row r="373" spans="1:31" ht="12.75">
      <c r="A373" s="23"/>
      <c r="B373" s="64"/>
      <c r="C373" s="62"/>
      <c r="D373" s="92"/>
      <c r="E373" s="65"/>
      <c r="F373" s="65"/>
      <c r="G373" s="67"/>
      <c r="H373" s="67"/>
      <c r="I373" s="71"/>
      <c r="J373" s="70"/>
      <c r="K373" s="23"/>
      <c r="L373" s="70"/>
      <c r="M373" s="70"/>
      <c r="N373" s="70"/>
      <c r="O373" s="40"/>
      <c r="P373" s="23"/>
      <c r="Q373" s="23"/>
      <c r="R373" s="72"/>
      <c r="S373" s="72"/>
      <c r="T373" s="23"/>
      <c r="U373" s="40"/>
      <c r="V373" s="23"/>
      <c r="W373" s="72"/>
      <c r="X373" s="23"/>
      <c r="Y373" s="40"/>
      <c r="Z373" s="23"/>
      <c r="AA373" s="72"/>
      <c r="AB373" s="23"/>
      <c r="AC373" s="40"/>
      <c r="AD373" s="23"/>
      <c r="AE373" s="23"/>
    </row>
    <row r="374" spans="1:31" ht="12.75">
      <c r="A374" s="23"/>
      <c r="B374" s="64"/>
      <c r="C374" s="62"/>
      <c r="D374" s="92"/>
      <c r="E374" s="65"/>
      <c r="F374" s="65"/>
      <c r="G374" s="67"/>
      <c r="H374" s="67"/>
      <c r="I374" s="71"/>
      <c r="J374" s="70"/>
      <c r="K374" s="23"/>
      <c r="L374" s="70"/>
      <c r="M374" s="70"/>
      <c r="N374" s="70"/>
      <c r="O374" s="40"/>
      <c r="P374" s="23"/>
      <c r="Q374" s="23"/>
      <c r="R374" s="72"/>
      <c r="S374" s="72"/>
      <c r="T374" s="23"/>
      <c r="U374" s="40"/>
      <c r="V374" s="23"/>
      <c r="W374" s="72"/>
      <c r="X374" s="23"/>
      <c r="Y374" s="40"/>
      <c r="Z374" s="23"/>
      <c r="AA374" s="72"/>
      <c r="AB374" s="23"/>
      <c r="AC374" s="40"/>
      <c r="AD374" s="23"/>
      <c r="AE374" s="23"/>
    </row>
    <row r="375" spans="1:31" ht="12" customHeight="1">
      <c r="A375" s="23"/>
      <c r="B375" s="40"/>
      <c r="C375" s="40"/>
      <c r="D375" s="92"/>
      <c r="E375" s="65"/>
      <c r="F375" s="65"/>
      <c r="G375" s="67"/>
      <c r="H375" s="67"/>
      <c r="I375" s="71"/>
      <c r="J375" s="70"/>
      <c r="K375" s="23"/>
      <c r="L375" s="70"/>
      <c r="M375" s="70"/>
      <c r="N375" s="70"/>
      <c r="O375" s="23"/>
      <c r="P375" s="23"/>
      <c r="Q375" s="23"/>
      <c r="R375" s="72"/>
      <c r="S375" s="23"/>
      <c r="T375" s="23"/>
      <c r="U375" s="23"/>
      <c r="V375" s="23"/>
      <c r="W375" s="23"/>
      <c r="X375" s="23"/>
      <c r="Y375" s="23"/>
      <c r="Z375" s="23"/>
      <c r="AA375" s="23"/>
      <c r="AB375" s="23"/>
      <c r="AC375" s="23"/>
      <c r="AD375" s="23"/>
      <c r="AE375" s="23"/>
    </row>
    <row r="376" spans="1:31" ht="12" customHeight="1">
      <c r="A376" s="23"/>
      <c r="B376" s="40"/>
      <c r="C376" s="40"/>
      <c r="D376" s="92"/>
      <c r="E376" s="65"/>
      <c r="F376" s="65"/>
      <c r="G376" s="67"/>
      <c r="H376" s="67"/>
      <c r="I376" s="71"/>
      <c r="J376" s="70"/>
      <c r="K376" s="23"/>
      <c r="L376" s="70"/>
      <c r="M376" s="70"/>
      <c r="N376" s="70"/>
      <c r="O376" s="23"/>
      <c r="P376" s="23"/>
      <c r="Q376" s="23"/>
      <c r="R376" s="72"/>
      <c r="S376" s="23"/>
      <c r="T376" s="23"/>
      <c r="U376" s="23"/>
      <c r="V376" s="23"/>
      <c r="W376" s="23"/>
      <c r="X376" s="23"/>
      <c r="Y376" s="23"/>
      <c r="Z376" s="23"/>
      <c r="AA376" s="23"/>
      <c r="AB376" s="23"/>
      <c r="AC376" s="23"/>
      <c r="AD376" s="23"/>
      <c r="AE376" s="23"/>
    </row>
    <row r="377" spans="1:31" ht="12" customHeight="1">
      <c r="A377" s="23"/>
      <c r="B377" s="40"/>
      <c r="C377" s="40"/>
      <c r="D377" s="92"/>
      <c r="E377" s="65"/>
      <c r="F377" s="65"/>
      <c r="G377" s="67"/>
      <c r="H377" s="67"/>
      <c r="I377" s="71"/>
      <c r="J377" s="70"/>
      <c r="K377" s="23"/>
      <c r="L377" s="70"/>
      <c r="M377" s="70"/>
      <c r="N377" s="70"/>
      <c r="O377" s="23"/>
      <c r="P377" s="23"/>
      <c r="Q377" s="23"/>
      <c r="R377" s="72"/>
      <c r="S377" s="23"/>
      <c r="T377" s="23"/>
      <c r="U377" s="23"/>
      <c r="V377" s="23"/>
      <c r="W377" s="23"/>
      <c r="X377" s="23"/>
      <c r="Y377" s="23"/>
      <c r="Z377" s="23"/>
      <c r="AA377" s="23"/>
      <c r="AB377" s="23"/>
      <c r="AC377" s="23"/>
      <c r="AD377" s="23"/>
      <c r="AE377" s="23"/>
    </row>
    <row r="378" spans="1:31" ht="12" customHeight="1">
      <c r="A378" s="23"/>
      <c r="B378" s="40"/>
      <c r="C378" s="40"/>
      <c r="D378" s="92"/>
      <c r="E378" s="65"/>
      <c r="F378" s="65"/>
      <c r="G378" s="67"/>
      <c r="H378" s="67"/>
      <c r="I378" s="71"/>
      <c r="J378" s="70"/>
      <c r="K378" s="23"/>
      <c r="L378" s="70"/>
      <c r="M378" s="70"/>
      <c r="N378" s="70"/>
      <c r="O378" s="23"/>
      <c r="P378" s="23"/>
      <c r="Q378" s="23"/>
      <c r="R378" s="72"/>
      <c r="S378" s="23"/>
      <c r="T378" s="23"/>
      <c r="U378" s="23"/>
      <c r="V378" s="23"/>
      <c r="W378" s="23"/>
      <c r="X378" s="23"/>
      <c r="Y378" s="23"/>
      <c r="Z378" s="23"/>
      <c r="AA378" s="23"/>
      <c r="AB378" s="23"/>
      <c r="AC378" s="23"/>
      <c r="AD378" s="23"/>
      <c r="AE378" s="23"/>
    </row>
    <row r="379" spans="1:31" ht="12" customHeight="1">
      <c r="A379" s="23"/>
      <c r="B379" s="40"/>
      <c r="C379" s="40"/>
      <c r="D379" s="92"/>
      <c r="E379" s="65"/>
      <c r="F379" s="65"/>
      <c r="G379" s="67"/>
      <c r="H379" s="67"/>
      <c r="I379" s="71"/>
      <c r="J379" s="70"/>
      <c r="K379" s="23"/>
      <c r="L379" s="70"/>
      <c r="M379" s="70"/>
      <c r="N379" s="70"/>
      <c r="O379" s="23"/>
      <c r="P379" s="23"/>
      <c r="Q379" s="23"/>
      <c r="R379" s="72"/>
      <c r="S379" s="23"/>
      <c r="T379" s="23"/>
      <c r="U379" s="23"/>
      <c r="V379" s="23"/>
      <c r="W379" s="23"/>
      <c r="X379" s="23"/>
      <c r="Y379" s="23"/>
      <c r="Z379" s="23"/>
      <c r="AA379" s="23"/>
      <c r="AB379" s="23"/>
      <c r="AC379" s="23"/>
      <c r="AD379" s="23"/>
      <c r="AE379" s="23"/>
    </row>
    <row r="380" spans="1:31" ht="12" customHeight="1">
      <c r="A380" s="23"/>
      <c r="B380" s="40"/>
      <c r="C380" s="40"/>
      <c r="D380" s="92"/>
      <c r="E380" s="65"/>
      <c r="F380" s="65"/>
      <c r="G380" s="67"/>
      <c r="H380" s="67"/>
      <c r="I380" s="71"/>
      <c r="J380" s="70"/>
      <c r="K380" s="23"/>
      <c r="L380" s="70"/>
      <c r="M380" s="70"/>
      <c r="N380" s="70"/>
      <c r="O380" s="23"/>
      <c r="P380" s="23"/>
      <c r="Q380" s="23"/>
      <c r="R380" s="72"/>
      <c r="S380" s="23"/>
      <c r="T380" s="23"/>
      <c r="U380" s="23"/>
      <c r="V380" s="23"/>
      <c r="W380" s="23"/>
      <c r="X380" s="23"/>
      <c r="Y380" s="23"/>
      <c r="Z380" s="23"/>
      <c r="AA380" s="23"/>
      <c r="AB380" s="23"/>
      <c r="AC380" s="23"/>
      <c r="AD380" s="23"/>
      <c r="AE380" s="23"/>
    </row>
    <row r="381" spans="1:31" ht="12" customHeight="1">
      <c r="A381" s="23"/>
      <c r="B381" s="40"/>
      <c r="C381" s="40"/>
      <c r="D381" s="92"/>
      <c r="E381" s="65"/>
      <c r="F381" s="65"/>
      <c r="G381" s="67"/>
      <c r="H381" s="67"/>
      <c r="I381" s="71"/>
      <c r="J381" s="70"/>
      <c r="K381" s="23"/>
      <c r="L381" s="70"/>
      <c r="M381" s="70"/>
      <c r="N381" s="70"/>
      <c r="O381" s="23"/>
      <c r="P381" s="23"/>
      <c r="Q381" s="23"/>
      <c r="R381" s="72"/>
      <c r="S381" s="23"/>
      <c r="T381" s="23"/>
      <c r="U381" s="23"/>
      <c r="V381" s="23"/>
      <c r="W381" s="23"/>
      <c r="X381" s="23"/>
      <c r="Y381" s="23"/>
      <c r="Z381" s="23"/>
      <c r="AA381" s="23"/>
      <c r="AB381" s="23"/>
      <c r="AC381" s="23"/>
      <c r="AD381" s="23"/>
      <c r="AE381" s="23"/>
    </row>
    <row r="382" spans="1:31" ht="12" customHeight="1">
      <c r="A382" s="23"/>
      <c r="B382" s="40"/>
      <c r="C382" s="40"/>
      <c r="D382" s="92"/>
      <c r="E382" s="65"/>
      <c r="F382" s="65"/>
      <c r="G382" s="67"/>
      <c r="H382" s="67"/>
      <c r="I382" s="71"/>
      <c r="J382" s="70"/>
      <c r="K382" s="23"/>
      <c r="L382" s="70"/>
      <c r="M382" s="70"/>
      <c r="N382" s="70"/>
      <c r="O382" s="23"/>
      <c r="P382" s="23"/>
      <c r="Q382" s="23"/>
      <c r="R382" s="72"/>
      <c r="S382" s="23"/>
      <c r="T382" s="23"/>
      <c r="U382" s="23"/>
      <c r="V382" s="23"/>
      <c r="W382" s="23"/>
      <c r="X382" s="23"/>
      <c r="Y382" s="23"/>
      <c r="Z382" s="23"/>
      <c r="AA382" s="23"/>
      <c r="AB382" s="23"/>
      <c r="AC382" s="23"/>
      <c r="AD382" s="23"/>
      <c r="AE382" s="23"/>
    </row>
    <row r="383" spans="1:31" ht="12" customHeight="1">
      <c r="A383" s="23"/>
      <c r="B383" s="40"/>
      <c r="C383" s="40"/>
      <c r="D383" s="92"/>
      <c r="E383" s="65"/>
      <c r="F383" s="65"/>
      <c r="G383" s="67"/>
      <c r="H383" s="67"/>
      <c r="I383" s="71"/>
      <c r="J383" s="70"/>
      <c r="K383" s="23"/>
      <c r="L383" s="70"/>
      <c r="M383" s="70"/>
      <c r="N383" s="70"/>
      <c r="O383" s="23"/>
      <c r="P383" s="23"/>
      <c r="Q383" s="23"/>
      <c r="R383" s="72"/>
      <c r="S383" s="23"/>
      <c r="T383" s="23"/>
      <c r="U383" s="23"/>
      <c r="V383" s="23"/>
      <c r="W383" s="23"/>
      <c r="X383" s="23"/>
      <c r="Y383" s="23"/>
      <c r="Z383" s="23"/>
      <c r="AA383" s="23"/>
      <c r="AB383" s="23"/>
      <c r="AC383" s="23"/>
      <c r="AD383" s="23"/>
      <c r="AE383" s="23"/>
    </row>
    <row r="384" spans="1:31" ht="12" customHeight="1">
      <c r="A384" s="23"/>
      <c r="B384" s="40"/>
      <c r="C384" s="40"/>
      <c r="D384" s="92"/>
      <c r="E384" s="65"/>
      <c r="F384" s="65"/>
      <c r="G384" s="67"/>
      <c r="H384" s="67"/>
      <c r="I384" s="71"/>
      <c r="J384" s="70"/>
      <c r="K384" s="23"/>
      <c r="L384" s="70"/>
      <c r="M384" s="70"/>
      <c r="N384" s="70"/>
      <c r="O384" s="23"/>
      <c r="P384" s="23"/>
      <c r="Q384" s="23"/>
      <c r="R384" s="72"/>
      <c r="S384" s="23"/>
      <c r="T384" s="23"/>
      <c r="U384" s="23"/>
      <c r="V384" s="23"/>
      <c r="W384" s="23"/>
      <c r="X384" s="23"/>
      <c r="Y384" s="23"/>
      <c r="Z384" s="23"/>
      <c r="AA384" s="23"/>
      <c r="AB384" s="23"/>
      <c r="AC384" s="23"/>
      <c r="AD384" s="23"/>
      <c r="AE384" s="23"/>
    </row>
    <row r="385" spans="1:31" ht="12" customHeight="1">
      <c r="A385" s="23"/>
      <c r="B385" s="40"/>
      <c r="C385" s="40"/>
      <c r="D385" s="92"/>
      <c r="E385" s="65"/>
      <c r="F385" s="65"/>
      <c r="G385" s="67"/>
      <c r="H385" s="67"/>
      <c r="I385" s="71"/>
      <c r="J385" s="70"/>
      <c r="K385" s="23"/>
      <c r="L385" s="70"/>
      <c r="M385" s="70"/>
      <c r="N385" s="70"/>
      <c r="O385" s="23"/>
      <c r="P385" s="23"/>
      <c r="Q385" s="23"/>
      <c r="R385" s="72"/>
      <c r="S385" s="23"/>
      <c r="T385" s="23"/>
      <c r="U385" s="23"/>
      <c r="V385" s="23"/>
      <c r="W385" s="23"/>
      <c r="X385" s="23"/>
      <c r="Y385" s="23"/>
      <c r="Z385" s="23"/>
      <c r="AA385" s="23"/>
      <c r="AB385" s="23"/>
      <c r="AC385" s="23"/>
      <c r="AD385" s="23"/>
      <c r="AE385" s="23"/>
    </row>
    <row r="386" spans="1:31" ht="12" customHeight="1">
      <c r="A386" s="23"/>
      <c r="B386" s="40"/>
      <c r="C386" s="40"/>
      <c r="D386" s="92"/>
      <c r="E386" s="65"/>
      <c r="F386" s="65"/>
      <c r="G386" s="67"/>
      <c r="H386" s="67"/>
      <c r="I386" s="71"/>
      <c r="J386" s="70"/>
      <c r="K386" s="23"/>
      <c r="L386" s="70"/>
      <c r="M386" s="70"/>
      <c r="N386" s="70"/>
      <c r="O386" s="23"/>
      <c r="P386" s="23"/>
      <c r="Q386" s="23"/>
      <c r="R386" s="72"/>
      <c r="S386" s="23"/>
      <c r="T386" s="23"/>
      <c r="U386" s="23"/>
      <c r="V386" s="23"/>
      <c r="W386" s="23"/>
      <c r="X386" s="23"/>
      <c r="Y386" s="23"/>
      <c r="Z386" s="23"/>
      <c r="AA386" s="23"/>
      <c r="AB386" s="23"/>
      <c r="AC386" s="23"/>
      <c r="AD386" s="23"/>
      <c r="AE386" s="23"/>
    </row>
    <row r="387" spans="1:31" ht="12" customHeight="1">
      <c r="A387" s="23"/>
      <c r="B387" s="40"/>
      <c r="C387" s="40"/>
      <c r="D387" s="92"/>
      <c r="E387" s="65"/>
      <c r="F387" s="65"/>
      <c r="G387" s="67"/>
      <c r="H387" s="67"/>
      <c r="I387" s="71"/>
      <c r="J387" s="70"/>
      <c r="K387" s="23"/>
      <c r="L387" s="70"/>
      <c r="M387" s="70"/>
      <c r="N387" s="70"/>
      <c r="O387" s="23"/>
      <c r="P387" s="23"/>
      <c r="Q387" s="23"/>
      <c r="R387" s="72"/>
      <c r="S387" s="23"/>
      <c r="T387" s="23"/>
      <c r="U387" s="23"/>
      <c r="V387" s="23"/>
      <c r="W387" s="23"/>
      <c r="X387" s="23"/>
      <c r="Y387" s="23"/>
      <c r="Z387" s="23"/>
      <c r="AA387" s="23"/>
      <c r="AB387" s="23"/>
      <c r="AC387" s="23"/>
      <c r="AD387" s="23"/>
      <c r="AE387" s="23"/>
    </row>
    <row r="388" spans="1:31" ht="12" customHeight="1">
      <c r="A388" s="23"/>
      <c r="B388" s="40"/>
      <c r="C388" s="40"/>
      <c r="D388" s="92"/>
      <c r="E388" s="65"/>
      <c r="F388" s="65"/>
      <c r="G388" s="67"/>
      <c r="H388" s="67"/>
      <c r="I388" s="71"/>
      <c r="J388" s="70"/>
      <c r="K388" s="23"/>
      <c r="L388" s="70"/>
      <c r="M388" s="70"/>
      <c r="N388" s="70"/>
      <c r="O388" s="23"/>
      <c r="P388" s="23"/>
      <c r="Q388" s="23"/>
      <c r="R388" s="72"/>
      <c r="S388" s="23"/>
      <c r="T388" s="23"/>
      <c r="U388" s="23"/>
      <c r="V388" s="23"/>
      <c r="W388" s="23"/>
      <c r="X388" s="23"/>
      <c r="Y388" s="23"/>
      <c r="Z388" s="23"/>
      <c r="AA388" s="23"/>
      <c r="AB388" s="23"/>
      <c r="AC388" s="23"/>
      <c r="AD388" s="23"/>
      <c r="AE388" s="23"/>
    </row>
    <row r="389" spans="1:31" ht="12.75">
      <c r="A389" s="23"/>
      <c r="B389" s="40"/>
      <c r="C389" s="40"/>
      <c r="D389" s="92"/>
      <c r="E389" s="65"/>
      <c r="F389" s="65"/>
      <c r="G389" s="67"/>
      <c r="H389" s="67"/>
      <c r="I389" s="40"/>
      <c r="J389" s="70"/>
      <c r="K389" s="23"/>
      <c r="L389" s="70"/>
      <c r="M389" s="70"/>
      <c r="N389" s="23"/>
      <c r="O389" s="23"/>
      <c r="P389" s="23"/>
      <c r="Q389" s="23"/>
      <c r="R389" s="72"/>
      <c r="S389" s="23"/>
      <c r="T389" s="23"/>
      <c r="U389" s="23"/>
      <c r="V389" s="23"/>
      <c r="W389" s="23"/>
      <c r="X389" s="23"/>
      <c r="Y389" s="23"/>
      <c r="Z389" s="23"/>
      <c r="AA389" s="23"/>
      <c r="AB389" s="23"/>
      <c r="AC389" s="23"/>
      <c r="AD389" s="23"/>
      <c r="AE389" s="23"/>
    </row>
    <row r="390" spans="1:31" ht="12.75">
      <c r="A390" s="23"/>
      <c r="B390" s="40"/>
      <c r="C390" s="40"/>
      <c r="D390" s="92"/>
      <c r="E390" s="65"/>
      <c r="F390" s="65"/>
      <c r="G390" s="67"/>
      <c r="H390" s="67"/>
      <c r="I390" s="40"/>
      <c r="J390" s="70"/>
      <c r="K390" s="23"/>
      <c r="L390" s="70"/>
      <c r="M390" s="70"/>
      <c r="N390" s="23"/>
      <c r="O390" s="23"/>
      <c r="P390" s="23"/>
      <c r="Q390" s="23"/>
      <c r="R390" s="72"/>
      <c r="S390" s="23"/>
      <c r="T390" s="23"/>
      <c r="U390" s="23"/>
      <c r="V390" s="23"/>
      <c r="W390" s="23"/>
      <c r="X390" s="23"/>
      <c r="Y390" s="23"/>
      <c r="Z390" s="23"/>
      <c r="AA390" s="23"/>
      <c r="AB390" s="23"/>
      <c r="AC390" s="23"/>
      <c r="AD390" s="23"/>
      <c r="AE390" s="23"/>
    </row>
    <row r="391" spans="1:31" ht="12.75">
      <c r="A391" s="23"/>
      <c r="B391" s="40"/>
      <c r="C391" s="40"/>
      <c r="D391" s="92"/>
      <c r="E391" s="65"/>
      <c r="F391" s="65"/>
      <c r="G391" s="67"/>
      <c r="H391" s="67"/>
      <c r="I391" s="40"/>
      <c r="J391" s="70"/>
      <c r="K391" s="23"/>
      <c r="L391" s="70"/>
      <c r="M391" s="70"/>
      <c r="N391" s="23"/>
      <c r="O391" s="23"/>
      <c r="P391" s="23"/>
      <c r="Q391" s="23"/>
      <c r="R391" s="72"/>
      <c r="S391" s="23"/>
      <c r="T391" s="23"/>
      <c r="U391" s="23"/>
      <c r="V391" s="23"/>
      <c r="W391" s="23"/>
      <c r="X391" s="23"/>
      <c r="Y391" s="23"/>
      <c r="Z391" s="23"/>
      <c r="AA391" s="23"/>
      <c r="AB391" s="23"/>
      <c r="AC391" s="23"/>
      <c r="AD391" s="23"/>
      <c r="AE391" s="23"/>
    </row>
    <row r="392" spans="1:31" ht="12.75">
      <c r="A392" s="23"/>
      <c r="B392" s="40"/>
      <c r="C392" s="40"/>
      <c r="D392" s="92"/>
      <c r="E392" s="65"/>
      <c r="F392" s="65"/>
      <c r="G392" s="67"/>
      <c r="H392" s="67"/>
      <c r="I392" s="40"/>
      <c r="J392" s="70"/>
      <c r="K392" s="23"/>
      <c r="L392" s="70"/>
      <c r="M392" s="70"/>
      <c r="N392" s="23"/>
      <c r="O392" s="23"/>
      <c r="P392" s="23"/>
      <c r="Q392" s="23"/>
      <c r="R392" s="72"/>
      <c r="S392" s="23"/>
      <c r="T392" s="23"/>
      <c r="U392" s="23"/>
      <c r="V392" s="23"/>
      <c r="W392" s="23"/>
      <c r="X392" s="23"/>
      <c r="Y392" s="23"/>
      <c r="Z392" s="23"/>
      <c r="AA392" s="23"/>
      <c r="AB392" s="23"/>
      <c r="AC392" s="23"/>
      <c r="AD392" s="23"/>
      <c r="AE392" s="23"/>
    </row>
    <row r="393" spans="1:31" ht="12.75">
      <c r="A393" s="23"/>
      <c r="B393" s="40"/>
      <c r="C393" s="40"/>
      <c r="D393" s="92"/>
      <c r="E393" s="65"/>
      <c r="F393" s="65"/>
      <c r="G393" s="67"/>
      <c r="H393" s="67"/>
      <c r="I393" s="40"/>
      <c r="J393" s="70"/>
      <c r="K393" s="23"/>
      <c r="L393" s="70"/>
      <c r="M393" s="70"/>
      <c r="N393" s="23"/>
      <c r="O393" s="23"/>
      <c r="P393" s="23"/>
      <c r="Q393" s="23"/>
      <c r="R393" s="72"/>
      <c r="S393" s="23"/>
      <c r="T393" s="23"/>
      <c r="U393" s="23"/>
      <c r="V393" s="23"/>
      <c r="W393" s="23"/>
      <c r="X393" s="23"/>
      <c r="Y393" s="23"/>
      <c r="Z393" s="23"/>
      <c r="AA393" s="23"/>
      <c r="AB393" s="23"/>
      <c r="AC393" s="23"/>
      <c r="AD393" s="23"/>
      <c r="AE393" s="23"/>
    </row>
    <row r="394" spans="1:31" ht="12.75">
      <c r="A394" s="23"/>
      <c r="B394" s="40"/>
      <c r="C394" s="40"/>
      <c r="D394" s="92"/>
      <c r="E394" s="65"/>
      <c r="F394" s="65"/>
      <c r="G394" s="67"/>
      <c r="H394" s="67"/>
      <c r="I394" s="40"/>
      <c r="J394" s="70"/>
      <c r="K394" s="23"/>
      <c r="L394" s="70"/>
      <c r="M394" s="70"/>
      <c r="N394" s="23"/>
      <c r="O394" s="23"/>
      <c r="P394" s="23"/>
      <c r="Q394" s="23"/>
      <c r="R394" s="72"/>
      <c r="S394" s="23"/>
      <c r="T394" s="23"/>
      <c r="U394" s="23"/>
      <c r="V394" s="23"/>
      <c r="W394" s="23"/>
      <c r="X394" s="23"/>
      <c r="Y394" s="23"/>
      <c r="Z394" s="23"/>
      <c r="AA394" s="23"/>
      <c r="AB394" s="23"/>
      <c r="AC394" s="23"/>
      <c r="AD394" s="23"/>
      <c r="AE394" s="23"/>
    </row>
    <row r="395" spans="1:31" s="56" customFormat="1" ht="12.75">
      <c r="A395" s="73"/>
      <c r="B395" s="85"/>
      <c r="C395" s="85"/>
      <c r="D395" s="100"/>
      <c r="E395" s="100"/>
      <c r="F395" s="76"/>
      <c r="G395" s="99"/>
      <c r="H395" s="73"/>
      <c r="I395" s="85"/>
      <c r="J395" s="86"/>
      <c r="K395" s="73"/>
      <c r="L395" s="86"/>
      <c r="M395" s="86"/>
      <c r="N395" s="73"/>
      <c r="O395" s="73"/>
      <c r="P395" s="73"/>
      <c r="Q395" s="73"/>
      <c r="R395" s="90"/>
      <c r="S395" s="73"/>
      <c r="T395" s="73"/>
      <c r="U395" s="73"/>
      <c r="V395" s="73"/>
      <c r="W395" s="73"/>
      <c r="X395" s="73"/>
      <c r="Y395" s="73"/>
      <c r="Z395" s="73"/>
      <c r="AA395" s="73"/>
      <c r="AB395" s="73"/>
      <c r="AC395" s="73"/>
      <c r="AD395" s="73"/>
      <c r="AE395" s="73"/>
    </row>
    <row r="396" spans="1:31" ht="48.95" customHeight="1">
      <c r="A396" s="23"/>
      <c r="B396" s="64"/>
      <c r="C396" s="62"/>
      <c r="D396" s="65"/>
      <c r="E396" s="65"/>
      <c r="F396" s="65"/>
      <c r="G396" s="67"/>
      <c r="H396" s="67"/>
      <c r="I396" s="71"/>
      <c r="J396" s="70"/>
      <c r="K396" s="23"/>
      <c r="L396" s="70"/>
      <c r="M396" s="70"/>
      <c r="N396" s="70"/>
      <c r="O396" s="40"/>
      <c r="P396" s="23"/>
      <c r="Q396" s="23"/>
      <c r="R396" s="72"/>
      <c r="S396" s="72"/>
      <c r="T396" s="23"/>
      <c r="U396" s="40"/>
      <c r="V396" s="23"/>
      <c r="W396" s="72"/>
      <c r="X396" s="23"/>
      <c r="Y396" s="40"/>
      <c r="Z396" s="23"/>
      <c r="AA396" s="72"/>
      <c r="AB396" s="23"/>
      <c r="AC396" s="40"/>
      <c r="AD396" s="23"/>
      <c r="AE396" s="23"/>
    </row>
    <row r="397" spans="1:31">
      <c r="A397" s="23"/>
      <c r="B397" s="64"/>
      <c r="C397" s="62"/>
      <c r="D397" s="65"/>
      <c r="E397" s="65"/>
      <c r="F397" s="65"/>
      <c r="G397" s="67"/>
      <c r="H397" s="67"/>
      <c r="I397" s="71"/>
      <c r="J397" s="70"/>
      <c r="K397" s="23"/>
      <c r="L397" s="70"/>
      <c r="M397" s="70"/>
      <c r="N397" s="70"/>
      <c r="O397" s="40"/>
      <c r="P397" s="23"/>
      <c r="Q397" s="23"/>
      <c r="R397" s="72"/>
      <c r="S397" s="72"/>
      <c r="T397" s="23"/>
      <c r="U397" s="40"/>
      <c r="V397" s="23"/>
      <c r="W397" s="72"/>
      <c r="X397" s="23"/>
      <c r="Y397" s="40"/>
      <c r="Z397" s="23"/>
      <c r="AA397" s="72"/>
      <c r="AB397" s="23"/>
      <c r="AC397" s="40"/>
      <c r="AD397" s="23"/>
      <c r="AE397" s="23"/>
    </row>
    <row r="398" spans="1:31">
      <c r="A398" s="23"/>
      <c r="B398" s="64"/>
      <c r="C398" s="62"/>
      <c r="D398" s="65"/>
      <c r="E398" s="65"/>
      <c r="F398" s="65"/>
      <c r="G398" s="67"/>
      <c r="H398" s="67"/>
      <c r="I398" s="71"/>
      <c r="J398" s="70"/>
      <c r="K398" s="23"/>
      <c r="L398" s="70"/>
      <c r="M398" s="70"/>
      <c r="N398" s="70"/>
      <c r="O398" s="40"/>
      <c r="P398" s="23"/>
      <c r="Q398" s="23"/>
      <c r="R398" s="72"/>
      <c r="S398" s="72"/>
      <c r="T398" s="23"/>
      <c r="U398" s="40"/>
      <c r="V398" s="23"/>
      <c r="W398" s="72"/>
      <c r="X398" s="23"/>
      <c r="Y398" s="40"/>
      <c r="Z398" s="23"/>
      <c r="AA398" s="72"/>
      <c r="AB398" s="23"/>
      <c r="AC398" s="40"/>
      <c r="AD398" s="23"/>
      <c r="AE398" s="23"/>
    </row>
    <row r="399" spans="1:31" ht="30" customHeight="1">
      <c r="A399" s="23"/>
      <c r="B399" s="64"/>
      <c r="C399" s="62"/>
      <c r="D399" s="65"/>
      <c r="E399" s="65"/>
      <c r="F399" s="65"/>
      <c r="G399" s="67"/>
      <c r="H399" s="67"/>
      <c r="I399" s="71"/>
      <c r="J399" s="70"/>
      <c r="K399" s="23"/>
      <c r="L399" s="70"/>
      <c r="M399" s="70"/>
      <c r="N399" s="70"/>
      <c r="O399" s="40"/>
      <c r="P399" s="23"/>
      <c r="Q399" s="23"/>
      <c r="R399" s="72"/>
      <c r="S399" s="72"/>
      <c r="T399" s="23"/>
      <c r="U399" s="40"/>
      <c r="V399" s="23"/>
      <c r="W399" s="72"/>
      <c r="X399" s="23"/>
      <c r="Y399" s="40"/>
      <c r="Z399" s="23"/>
      <c r="AA399" s="72"/>
      <c r="AB399" s="23"/>
      <c r="AC399" s="40"/>
      <c r="AD399" s="23"/>
      <c r="AE399" s="23"/>
    </row>
    <row r="400" spans="1:31" ht="45.95" customHeight="1">
      <c r="A400" s="23"/>
      <c r="B400" s="64"/>
      <c r="C400" s="62"/>
      <c r="D400" s="65"/>
      <c r="E400" s="65"/>
      <c r="F400" s="65"/>
      <c r="G400" s="67"/>
      <c r="H400" s="67"/>
      <c r="I400" s="71"/>
      <c r="J400" s="70"/>
      <c r="K400" s="23"/>
      <c r="L400" s="70"/>
      <c r="M400" s="70"/>
      <c r="N400" s="70"/>
      <c r="O400" s="40"/>
      <c r="P400" s="23"/>
      <c r="Q400" s="23"/>
      <c r="R400" s="72"/>
      <c r="S400" s="72"/>
      <c r="T400" s="23"/>
      <c r="U400" s="40"/>
      <c r="V400" s="23"/>
      <c r="W400" s="72"/>
      <c r="X400" s="23"/>
      <c r="Y400" s="40"/>
      <c r="Z400" s="23"/>
      <c r="AA400" s="72"/>
      <c r="AB400" s="23"/>
      <c r="AC400" s="40"/>
      <c r="AD400" s="23"/>
      <c r="AE400" s="23"/>
    </row>
    <row r="401" spans="1:31">
      <c r="A401" s="23"/>
      <c r="B401" s="64"/>
      <c r="C401" s="62"/>
      <c r="D401" s="65"/>
      <c r="E401" s="65"/>
      <c r="F401" s="65"/>
      <c r="G401" s="67"/>
      <c r="H401" s="67"/>
      <c r="I401" s="71"/>
      <c r="J401" s="70"/>
      <c r="K401" s="23"/>
      <c r="L401" s="70"/>
      <c r="M401" s="70"/>
      <c r="N401" s="70"/>
      <c r="O401" s="40"/>
      <c r="P401" s="23"/>
      <c r="Q401" s="23"/>
      <c r="R401" s="72"/>
      <c r="S401" s="72"/>
      <c r="T401" s="23"/>
      <c r="U401" s="40"/>
      <c r="V401" s="23"/>
      <c r="W401" s="72"/>
      <c r="X401" s="23"/>
      <c r="Y401" s="40"/>
      <c r="Z401" s="23"/>
      <c r="AA401" s="72"/>
      <c r="AB401" s="23"/>
      <c r="AC401" s="40"/>
      <c r="AD401" s="23"/>
      <c r="AE401" s="23"/>
    </row>
    <row r="402" spans="1:31">
      <c r="A402" s="23"/>
      <c r="B402" s="64"/>
      <c r="C402" s="62"/>
      <c r="D402" s="65"/>
      <c r="E402" s="65"/>
      <c r="F402" s="65"/>
      <c r="G402" s="67"/>
      <c r="H402" s="67"/>
      <c r="I402" s="71"/>
      <c r="J402" s="70"/>
      <c r="K402" s="23"/>
      <c r="L402" s="70"/>
      <c r="M402" s="70"/>
      <c r="N402" s="70"/>
      <c r="O402" s="40"/>
      <c r="P402" s="23"/>
      <c r="Q402" s="23"/>
      <c r="R402" s="72"/>
      <c r="S402" s="72"/>
      <c r="T402" s="23"/>
      <c r="U402" s="40"/>
      <c r="V402" s="23"/>
      <c r="W402" s="72"/>
      <c r="X402" s="23"/>
      <c r="Y402" s="40"/>
      <c r="Z402" s="23"/>
      <c r="AA402" s="72"/>
      <c r="AB402" s="23"/>
      <c r="AC402" s="40"/>
      <c r="AD402" s="23"/>
      <c r="AE402" s="23"/>
    </row>
    <row r="403" spans="1:31">
      <c r="A403" s="23"/>
      <c r="B403" s="64"/>
      <c r="C403" s="62"/>
      <c r="D403" s="65"/>
      <c r="E403" s="65"/>
      <c r="F403" s="65"/>
      <c r="G403" s="67"/>
      <c r="H403" s="67"/>
      <c r="I403" s="71"/>
      <c r="J403" s="70"/>
      <c r="K403" s="23"/>
      <c r="L403" s="70"/>
      <c r="M403" s="70"/>
      <c r="N403" s="70"/>
      <c r="O403" s="40"/>
      <c r="P403" s="23"/>
      <c r="Q403" s="23"/>
      <c r="R403" s="72"/>
      <c r="S403" s="72"/>
      <c r="T403" s="23"/>
      <c r="U403" s="40"/>
      <c r="V403" s="23"/>
      <c r="W403" s="72"/>
      <c r="X403" s="23"/>
      <c r="Y403" s="40"/>
      <c r="Z403" s="23"/>
      <c r="AA403" s="72"/>
      <c r="AB403" s="23"/>
      <c r="AC403" s="40"/>
      <c r="AD403" s="23"/>
      <c r="AE403" s="23"/>
    </row>
    <row r="404" spans="1:31">
      <c r="A404" s="23"/>
      <c r="B404" s="64"/>
      <c r="C404" s="62"/>
      <c r="D404" s="65"/>
      <c r="E404" s="65"/>
      <c r="F404" s="65"/>
      <c r="G404" s="67"/>
      <c r="H404" s="67"/>
      <c r="I404" s="71"/>
      <c r="J404" s="70"/>
      <c r="K404" s="23"/>
      <c r="L404" s="70"/>
      <c r="M404" s="70"/>
      <c r="N404" s="70"/>
      <c r="O404" s="40"/>
      <c r="P404" s="23"/>
      <c r="Q404" s="23"/>
      <c r="R404" s="72"/>
      <c r="S404" s="72"/>
      <c r="T404" s="23"/>
      <c r="U404" s="40"/>
      <c r="V404" s="23"/>
      <c r="W404" s="72"/>
      <c r="X404" s="23"/>
      <c r="Y404" s="40"/>
      <c r="Z404" s="23"/>
      <c r="AA404" s="72"/>
      <c r="AB404" s="23"/>
      <c r="AC404" s="40"/>
      <c r="AD404" s="23"/>
      <c r="AE404" s="23"/>
    </row>
    <row r="405" spans="1:31">
      <c r="A405" s="23"/>
      <c r="B405" s="64"/>
      <c r="C405" s="62"/>
      <c r="D405" s="65"/>
      <c r="E405" s="65"/>
      <c r="F405" s="65"/>
      <c r="G405" s="67"/>
      <c r="H405" s="67"/>
      <c r="I405" s="71"/>
      <c r="J405" s="70"/>
      <c r="K405" s="23"/>
      <c r="L405" s="70"/>
      <c r="M405" s="70"/>
      <c r="N405" s="70"/>
      <c r="O405" s="40"/>
      <c r="P405" s="23"/>
      <c r="Q405" s="23"/>
      <c r="R405" s="72"/>
      <c r="S405" s="72"/>
      <c r="T405" s="23"/>
      <c r="U405" s="40"/>
      <c r="V405" s="23"/>
      <c r="W405" s="72"/>
      <c r="X405" s="23"/>
      <c r="Y405" s="40"/>
      <c r="Z405" s="23"/>
      <c r="AA405" s="72"/>
      <c r="AB405" s="23"/>
      <c r="AC405" s="40"/>
      <c r="AD405" s="23"/>
      <c r="AE405" s="23"/>
    </row>
    <row r="406" spans="1:31">
      <c r="A406" s="23"/>
      <c r="B406" s="64"/>
      <c r="C406" s="62"/>
      <c r="D406" s="65"/>
      <c r="E406" s="65"/>
      <c r="F406" s="65"/>
      <c r="G406" s="67"/>
      <c r="H406" s="67"/>
      <c r="I406" s="71"/>
      <c r="J406" s="70"/>
      <c r="K406" s="23"/>
      <c r="L406" s="70"/>
      <c r="M406" s="70"/>
      <c r="N406" s="70"/>
      <c r="O406" s="40"/>
      <c r="P406" s="23"/>
      <c r="Q406" s="23"/>
      <c r="R406" s="72"/>
      <c r="S406" s="72"/>
      <c r="T406" s="23"/>
      <c r="U406" s="40"/>
      <c r="V406" s="23"/>
      <c r="W406" s="72"/>
      <c r="X406" s="23"/>
      <c r="Y406" s="40"/>
      <c r="Z406" s="23"/>
      <c r="AA406" s="72"/>
      <c r="AB406" s="23"/>
      <c r="AC406" s="40"/>
      <c r="AD406" s="23"/>
      <c r="AE406" s="23"/>
    </row>
    <row r="407" spans="1:31">
      <c r="A407" s="23"/>
      <c r="B407" s="64"/>
      <c r="C407" s="62"/>
      <c r="D407" s="65"/>
      <c r="E407" s="65"/>
      <c r="F407" s="65"/>
      <c r="G407" s="67"/>
      <c r="H407" s="67"/>
      <c r="I407" s="71"/>
      <c r="J407" s="70"/>
      <c r="K407" s="23"/>
      <c r="L407" s="70"/>
      <c r="M407" s="70"/>
      <c r="N407" s="70"/>
      <c r="O407" s="40"/>
      <c r="P407" s="23"/>
      <c r="Q407" s="23"/>
      <c r="R407" s="72"/>
      <c r="S407" s="72"/>
      <c r="T407" s="23"/>
      <c r="U407" s="40"/>
      <c r="V407" s="23"/>
      <c r="W407" s="72"/>
      <c r="X407" s="23"/>
      <c r="Y407" s="40"/>
      <c r="Z407" s="23"/>
      <c r="AA407" s="72"/>
      <c r="AB407" s="23"/>
      <c r="AC407" s="40"/>
      <c r="AD407" s="23"/>
      <c r="AE407" s="23"/>
    </row>
    <row r="408" spans="1:31">
      <c r="A408" s="23"/>
      <c r="B408" s="64"/>
      <c r="C408" s="62"/>
      <c r="D408" s="65"/>
      <c r="E408" s="65"/>
      <c r="F408" s="65"/>
      <c r="G408" s="67"/>
      <c r="H408" s="67"/>
      <c r="I408" s="71"/>
      <c r="J408" s="70"/>
      <c r="K408" s="23"/>
      <c r="L408" s="70"/>
      <c r="M408" s="70"/>
      <c r="N408" s="70"/>
      <c r="O408" s="40"/>
      <c r="P408" s="23"/>
      <c r="Q408" s="23"/>
      <c r="R408" s="72"/>
      <c r="S408" s="72"/>
      <c r="T408" s="23"/>
      <c r="U408" s="40"/>
      <c r="V408" s="23"/>
      <c r="W408" s="72"/>
      <c r="X408" s="23"/>
      <c r="Y408" s="40"/>
      <c r="Z408" s="23"/>
      <c r="AA408" s="72"/>
      <c r="AB408" s="23"/>
      <c r="AC408" s="40"/>
      <c r="AD408" s="23"/>
      <c r="AE408" s="23"/>
    </row>
    <row r="409" spans="1:31">
      <c r="A409" s="23"/>
      <c r="B409" s="64"/>
      <c r="C409" s="62"/>
      <c r="D409" s="65"/>
      <c r="E409" s="65"/>
      <c r="F409" s="65"/>
      <c r="G409" s="67"/>
      <c r="H409" s="67"/>
      <c r="I409" s="71"/>
      <c r="J409" s="70"/>
      <c r="K409" s="23"/>
      <c r="L409" s="70"/>
      <c r="M409" s="70"/>
      <c r="N409" s="70"/>
      <c r="O409" s="40"/>
      <c r="P409" s="23"/>
      <c r="Q409" s="23"/>
      <c r="R409" s="72"/>
      <c r="S409" s="72"/>
      <c r="T409" s="23"/>
      <c r="U409" s="40"/>
      <c r="V409" s="23"/>
      <c r="W409" s="72"/>
      <c r="X409" s="23"/>
      <c r="Y409" s="40"/>
      <c r="Z409" s="23"/>
      <c r="AA409" s="72"/>
      <c r="AB409" s="23"/>
      <c r="AC409" s="40"/>
      <c r="AD409" s="23"/>
      <c r="AE409" s="23"/>
    </row>
    <row r="410" spans="1:31">
      <c r="A410" s="23"/>
      <c r="B410" s="64"/>
      <c r="C410" s="62"/>
      <c r="D410" s="65"/>
      <c r="E410" s="65"/>
      <c r="F410" s="65"/>
      <c r="G410" s="67"/>
      <c r="H410" s="67"/>
      <c r="I410" s="71"/>
      <c r="J410" s="70"/>
      <c r="K410" s="23"/>
      <c r="L410" s="70"/>
      <c r="M410" s="70"/>
      <c r="N410" s="70"/>
      <c r="O410" s="40"/>
      <c r="P410" s="23"/>
      <c r="Q410" s="23"/>
      <c r="R410" s="72"/>
      <c r="S410" s="72"/>
      <c r="T410" s="23"/>
      <c r="U410" s="40"/>
      <c r="V410" s="23"/>
      <c r="W410" s="72"/>
      <c r="X410" s="23"/>
      <c r="Y410" s="40"/>
      <c r="Z410" s="23"/>
      <c r="AA410" s="72"/>
      <c r="AB410" s="23"/>
      <c r="AC410" s="40"/>
      <c r="AD410" s="23"/>
      <c r="AE410" s="23"/>
    </row>
    <row r="411" spans="1:31">
      <c r="A411" s="23"/>
      <c r="B411" s="64"/>
      <c r="C411" s="62"/>
      <c r="D411" s="65"/>
      <c r="E411" s="65"/>
      <c r="F411" s="65"/>
      <c r="G411" s="67"/>
      <c r="H411" s="67"/>
      <c r="I411" s="71"/>
      <c r="J411" s="70"/>
      <c r="K411" s="23"/>
      <c r="L411" s="70"/>
      <c r="M411" s="70"/>
      <c r="N411" s="70"/>
      <c r="O411" s="40"/>
      <c r="P411" s="23"/>
      <c r="Q411" s="23"/>
      <c r="R411" s="72"/>
      <c r="S411" s="72"/>
      <c r="T411" s="23"/>
      <c r="U411" s="40"/>
      <c r="V411" s="23"/>
      <c r="W411" s="72"/>
      <c r="X411" s="23"/>
      <c r="Y411" s="40"/>
      <c r="Z411" s="23"/>
      <c r="AA411" s="72"/>
      <c r="AB411" s="23"/>
      <c r="AC411" s="40"/>
      <c r="AD411" s="23"/>
      <c r="AE411" s="23"/>
    </row>
    <row r="412" spans="1:31">
      <c r="A412" s="23"/>
      <c r="B412" s="64"/>
      <c r="C412" s="62"/>
      <c r="D412" s="65"/>
      <c r="E412" s="65"/>
      <c r="F412" s="65"/>
      <c r="G412" s="67"/>
      <c r="H412" s="67"/>
      <c r="I412" s="71"/>
      <c r="J412" s="70"/>
      <c r="K412" s="23"/>
      <c r="L412" s="70"/>
      <c r="M412" s="70"/>
      <c r="N412" s="70"/>
      <c r="O412" s="40"/>
      <c r="P412" s="23"/>
      <c r="Q412" s="23"/>
      <c r="R412" s="72"/>
      <c r="S412" s="72"/>
      <c r="T412" s="23"/>
      <c r="U412" s="40"/>
      <c r="V412" s="23"/>
      <c r="W412" s="72"/>
      <c r="X412" s="23"/>
      <c r="Y412" s="40"/>
      <c r="Z412" s="23"/>
      <c r="AA412" s="72"/>
      <c r="AB412" s="23"/>
      <c r="AC412" s="40"/>
      <c r="AD412" s="23"/>
      <c r="AE412" s="23"/>
    </row>
    <row r="413" spans="1:31">
      <c r="A413" s="23"/>
      <c r="B413" s="64"/>
      <c r="C413" s="62"/>
      <c r="D413" s="65"/>
      <c r="E413" s="65"/>
      <c r="F413" s="65"/>
      <c r="G413" s="67"/>
      <c r="H413" s="67"/>
      <c r="I413" s="71"/>
      <c r="J413" s="70"/>
      <c r="K413" s="23"/>
      <c r="L413" s="70"/>
      <c r="M413" s="70"/>
      <c r="N413" s="70"/>
      <c r="O413" s="40"/>
      <c r="P413" s="23"/>
      <c r="Q413" s="23"/>
      <c r="R413" s="72"/>
      <c r="S413" s="72"/>
      <c r="T413" s="23"/>
      <c r="U413" s="40"/>
      <c r="V413" s="23"/>
      <c r="W413" s="72"/>
      <c r="X413" s="23"/>
      <c r="Y413" s="40"/>
      <c r="Z413" s="23"/>
      <c r="AA413" s="72"/>
      <c r="AB413" s="23"/>
      <c r="AC413" s="40"/>
      <c r="AD413" s="23"/>
      <c r="AE413" s="23"/>
    </row>
    <row r="414" spans="1:31">
      <c r="A414" s="23"/>
      <c r="B414" s="64"/>
      <c r="C414" s="62"/>
      <c r="D414" s="65"/>
      <c r="E414" s="65"/>
      <c r="F414" s="65"/>
      <c r="G414" s="67"/>
      <c r="H414" s="67"/>
      <c r="I414" s="71"/>
      <c r="J414" s="70"/>
      <c r="K414" s="23"/>
      <c r="L414" s="70"/>
      <c r="M414" s="70"/>
      <c r="N414" s="70"/>
      <c r="O414" s="40"/>
      <c r="P414" s="23"/>
      <c r="Q414" s="23"/>
      <c r="R414" s="72"/>
      <c r="S414" s="72"/>
      <c r="T414" s="23"/>
      <c r="U414" s="40"/>
      <c r="V414" s="23"/>
      <c r="W414" s="72"/>
      <c r="X414" s="23"/>
      <c r="Y414" s="40"/>
      <c r="Z414" s="23"/>
      <c r="AA414" s="72"/>
      <c r="AB414" s="23"/>
      <c r="AC414" s="40"/>
      <c r="AD414" s="23"/>
      <c r="AE414" s="23"/>
    </row>
    <row r="415" spans="1:31">
      <c r="A415" s="23"/>
      <c r="B415" s="64"/>
      <c r="C415" s="62"/>
      <c r="D415" s="65"/>
      <c r="E415" s="65"/>
      <c r="F415" s="65"/>
      <c r="G415" s="67"/>
      <c r="H415" s="67"/>
      <c r="I415" s="71"/>
      <c r="J415" s="70"/>
      <c r="K415" s="23"/>
      <c r="L415" s="70"/>
      <c r="M415" s="70"/>
      <c r="N415" s="70"/>
      <c r="O415" s="40"/>
      <c r="P415" s="23"/>
      <c r="Q415" s="23"/>
      <c r="R415" s="72"/>
      <c r="S415" s="72"/>
      <c r="T415" s="23"/>
      <c r="U415" s="40"/>
      <c r="V415" s="23"/>
      <c r="W415" s="72"/>
      <c r="X415" s="23"/>
      <c r="Y415" s="40"/>
      <c r="Z415" s="23"/>
      <c r="AA415" s="72"/>
      <c r="AB415" s="23"/>
      <c r="AC415" s="40"/>
      <c r="AD415" s="23"/>
      <c r="AE415" s="23"/>
    </row>
    <row r="416" spans="1:31">
      <c r="A416" s="23"/>
      <c r="B416" s="64"/>
      <c r="C416" s="62"/>
      <c r="D416" s="65"/>
      <c r="E416" s="65"/>
      <c r="F416" s="65"/>
      <c r="G416" s="67"/>
      <c r="H416" s="67"/>
      <c r="I416" s="71"/>
      <c r="J416" s="70"/>
      <c r="K416" s="23"/>
      <c r="L416" s="70"/>
      <c r="M416" s="70"/>
      <c r="N416" s="70"/>
      <c r="O416" s="40"/>
      <c r="P416" s="23"/>
      <c r="Q416" s="23"/>
      <c r="R416" s="72"/>
      <c r="S416" s="72"/>
      <c r="T416" s="23"/>
      <c r="U416" s="40"/>
      <c r="V416" s="23"/>
      <c r="W416" s="72"/>
      <c r="X416" s="23"/>
      <c r="Y416" s="40"/>
      <c r="Z416" s="23"/>
      <c r="AA416" s="72"/>
      <c r="AB416" s="23"/>
      <c r="AC416" s="40"/>
      <c r="AD416" s="23"/>
      <c r="AE416" s="23"/>
    </row>
    <row r="417" spans="1:31">
      <c r="A417" s="23"/>
      <c r="B417" s="64"/>
      <c r="C417" s="62"/>
      <c r="D417" s="65"/>
      <c r="E417" s="65"/>
      <c r="F417" s="65"/>
      <c r="G417" s="67"/>
      <c r="H417" s="67"/>
      <c r="I417" s="71"/>
      <c r="J417" s="70"/>
      <c r="K417" s="23"/>
      <c r="L417" s="70"/>
      <c r="M417" s="70"/>
      <c r="N417" s="70"/>
      <c r="O417" s="40"/>
      <c r="P417" s="23"/>
      <c r="Q417" s="23"/>
      <c r="R417" s="72"/>
      <c r="S417" s="72"/>
      <c r="T417" s="23"/>
      <c r="U417" s="40"/>
      <c r="V417" s="23"/>
      <c r="W417" s="72"/>
      <c r="X417" s="23"/>
      <c r="Y417" s="40"/>
      <c r="Z417" s="23"/>
      <c r="AA417" s="72"/>
      <c r="AB417" s="23"/>
      <c r="AC417" s="40"/>
      <c r="AD417" s="23"/>
      <c r="AE417" s="23"/>
    </row>
    <row r="418" spans="1:31">
      <c r="A418" s="23"/>
      <c r="B418" s="64"/>
      <c r="C418" s="62"/>
      <c r="D418" s="65"/>
      <c r="E418" s="65"/>
      <c r="F418" s="65"/>
      <c r="G418" s="67"/>
      <c r="H418" s="67"/>
      <c r="I418" s="71"/>
      <c r="J418" s="70"/>
      <c r="K418" s="23"/>
      <c r="L418" s="70"/>
      <c r="M418" s="70"/>
      <c r="N418" s="70"/>
      <c r="O418" s="40"/>
      <c r="P418" s="23"/>
      <c r="Q418" s="23"/>
      <c r="R418" s="72"/>
      <c r="S418" s="72"/>
      <c r="T418" s="23"/>
      <c r="U418" s="40"/>
      <c r="V418" s="23"/>
      <c r="W418" s="72"/>
      <c r="X418" s="23"/>
      <c r="Y418" s="40"/>
      <c r="Z418" s="23"/>
      <c r="AA418" s="72"/>
      <c r="AB418" s="23"/>
      <c r="AC418" s="40"/>
      <c r="AD418" s="23"/>
      <c r="AE418" s="23"/>
    </row>
    <row r="419" spans="1:31">
      <c r="A419" s="23"/>
      <c r="B419" s="64"/>
      <c r="C419" s="62"/>
      <c r="D419" s="65"/>
      <c r="E419" s="65"/>
      <c r="F419" s="65"/>
      <c r="G419" s="67"/>
      <c r="H419" s="67"/>
      <c r="I419" s="71"/>
      <c r="J419" s="70"/>
      <c r="K419" s="23"/>
      <c r="L419" s="70"/>
      <c r="M419" s="70"/>
      <c r="N419" s="70"/>
      <c r="O419" s="40"/>
      <c r="P419" s="23"/>
      <c r="Q419" s="23"/>
      <c r="R419" s="72"/>
      <c r="S419" s="72"/>
      <c r="T419" s="23"/>
      <c r="U419" s="40"/>
      <c r="V419" s="23"/>
      <c r="W419" s="72"/>
      <c r="X419" s="23"/>
      <c r="Y419" s="40"/>
      <c r="Z419" s="23"/>
      <c r="AA419" s="72"/>
      <c r="AB419" s="23"/>
      <c r="AC419" s="40"/>
      <c r="AD419" s="23"/>
      <c r="AE419" s="23"/>
    </row>
    <row r="420" spans="1:31">
      <c r="A420" s="23"/>
      <c r="B420" s="64"/>
      <c r="C420" s="62"/>
      <c r="D420" s="65"/>
      <c r="E420" s="65"/>
      <c r="F420" s="65"/>
      <c r="G420" s="67"/>
      <c r="H420" s="67"/>
      <c r="I420" s="71"/>
      <c r="J420" s="70"/>
      <c r="K420" s="23"/>
      <c r="L420" s="70"/>
      <c r="M420" s="70"/>
      <c r="N420" s="70"/>
      <c r="O420" s="40"/>
      <c r="P420" s="23"/>
      <c r="Q420" s="23"/>
      <c r="R420" s="72"/>
      <c r="S420" s="72"/>
      <c r="T420" s="23"/>
      <c r="U420" s="40"/>
      <c r="V420" s="23"/>
      <c r="W420" s="72"/>
      <c r="X420" s="23"/>
      <c r="Y420" s="40"/>
      <c r="Z420" s="23"/>
      <c r="AA420" s="72"/>
      <c r="AB420" s="23"/>
      <c r="AC420" s="40"/>
      <c r="AD420" s="23"/>
      <c r="AE420" s="23"/>
    </row>
    <row r="421" spans="1:31">
      <c r="A421" s="23"/>
      <c r="B421" s="64"/>
      <c r="C421" s="62"/>
      <c r="D421" s="65"/>
      <c r="E421" s="65"/>
      <c r="F421" s="65"/>
      <c r="G421" s="67"/>
      <c r="H421" s="67"/>
      <c r="I421" s="71"/>
      <c r="J421" s="70"/>
      <c r="K421" s="23"/>
      <c r="L421" s="70"/>
      <c r="M421" s="70"/>
      <c r="N421" s="70"/>
      <c r="O421" s="40"/>
      <c r="P421" s="23"/>
      <c r="Q421" s="23"/>
      <c r="R421" s="72"/>
      <c r="S421" s="72"/>
      <c r="T421" s="23"/>
      <c r="U421" s="40"/>
      <c r="V421" s="23"/>
      <c r="W421" s="72"/>
      <c r="X421" s="23"/>
      <c r="Y421" s="40"/>
      <c r="Z421" s="23"/>
      <c r="AA421" s="72"/>
      <c r="AB421" s="23"/>
      <c r="AC421" s="40"/>
      <c r="AD421" s="23"/>
      <c r="AE421" s="23"/>
    </row>
    <row r="422" spans="1:31">
      <c r="A422" s="23"/>
      <c r="B422" s="64"/>
      <c r="C422" s="62"/>
      <c r="D422" s="65"/>
      <c r="E422" s="65"/>
      <c r="F422" s="65"/>
      <c r="G422" s="67"/>
      <c r="H422" s="67"/>
      <c r="I422" s="71"/>
      <c r="J422" s="70"/>
      <c r="K422" s="23"/>
      <c r="L422" s="70"/>
      <c r="M422" s="70"/>
      <c r="N422" s="70"/>
      <c r="O422" s="40"/>
      <c r="P422" s="23"/>
      <c r="Q422" s="23"/>
      <c r="R422" s="72"/>
      <c r="S422" s="72"/>
      <c r="T422" s="23"/>
      <c r="U422" s="40"/>
      <c r="V422" s="23"/>
      <c r="W422" s="72"/>
      <c r="X422" s="23"/>
      <c r="Y422" s="40"/>
      <c r="Z422" s="23"/>
      <c r="AA422" s="72"/>
      <c r="AB422" s="23"/>
      <c r="AC422" s="40"/>
      <c r="AD422" s="23"/>
      <c r="AE422" s="23"/>
    </row>
    <row r="423" spans="1:31">
      <c r="A423" s="23"/>
      <c r="B423" s="64"/>
      <c r="C423" s="62"/>
      <c r="D423" s="65"/>
      <c r="E423" s="65"/>
      <c r="F423" s="65"/>
      <c r="G423" s="67"/>
      <c r="H423" s="67"/>
      <c r="I423" s="71"/>
      <c r="J423" s="70"/>
      <c r="K423" s="23"/>
      <c r="L423" s="70"/>
      <c r="M423" s="70"/>
      <c r="N423" s="70"/>
      <c r="O423" s="40"/>
      <c r="P423" s="23"/>
      <c r="Q423" s="23"/>
      <c r="R423" s="72"/>
      <c r="S423" s="72"/>
      <c r="T423" s="23"/>
      <c r="U423" s="40"/>
      <c r="V423" s="23"/>
      <c r="W423" s="72"/>
      <c r="X423" s="23"/>
      <c r="Y423" s="40"/>
      <c r="Z423" s="23"/>
      <c r="AA423" s="72"/>
      <c r="AB423" s="23"/>
      <c r="AC423" s="40"/>
      <c r="AD423" s="23"/>
      <c r="AE423" s="23"/>
    </row>
    <row r="424" spans="1:31">
      <c r="A424" s="23"/>
      <c r="B424" s="64"/>
      <c r="C424" s="62"/>
      <c r="D424" s="65"/>
      <c r="E424" s="65"/>
      <c r="F424" s="65"/>
      <c r="G424" s="67"/>
      <c r="H424" s="67"/>
      <c r="I424" s="71"/>
      <c r="J424" s="70"/>
      <c r="K424" s="23"/>
      <c r="L424" s="70"/>
      <c r="M424" s="70"/>
      <c r="N424" s="70"/>
      <c r="O424" s="40"/>
      <c r="P424" s="23"/>
      <c r="Q424" s="23"/>
      <c r="R424" s="72"/>
      <c r="S424" s="72"/>
      <c r="T424" s="23"/>
      <c r="U424" s="40"/>
      <c r="V424" s="23"/>
      <c r="W424" s="72"/>
      <c r="X424" s="23"/>
      <c r="Y424" s="40"/>
      <c r="Z424" s="23"/>
      <c r="AA424" s="72"/>
      <c r="AB424" s="23"/>
      <c r="AC424" s="40"/>
      <c r="AD424" s="23"/>
      <c r="AE424" s="23"/>
    </row>
    <row r="425" spans="1:31">
      <c r="A425" s="23"/>
      <c r="B425" s="64"/>
      <c r="C425" s="62"/>
      <c r="D425" s="65"/>
      <c r="E425" s="65"/>
      <c r="F425" s="65"/>
      <c r="G425" s="67"/>
      <c r="H425" s="67"/>
      <c r="I425" s="71"/>
      <c r="J425" s="70"/>
      <c r="K425" s="23"/>
      <c r="L425" s="70"/>
      <c r="M425" s="70"/>
      <c r="N425" s="70"/>
      <c r="O425" s="40"/>
      <c r="P425" s="23"/>
      <c r="Q425" s="23"/>
      <c r="R425" s="72"/>
      <c r="S425" s="72"/>
      <c r="T425" s="23"/>
      <c r="U425" s="40"/>
      <c r="V425" s="23"/>
      <c r="W425" s="72"/>
      <c r="X425" s="23"/>
      <c r="Y425" s="40"/>
      <c r="Z425" s="23"/>
      <c r="AA425" s="72"/>
      <c r="AB425" s="23"/>
      <c r="AC425" s="40"/>
      <c r="AD425" s="23"/>
      <c r="AE425" s="23"/>
    </row>
    <row r="426" spans="1:31">
      <c r="A426" s="23"/>
      <c r="B426" s="64"/>
      <c r="C426" s="62"/>
      <c r="D426" s="65"/>
      <c r="E426" s="65"/>
      <c r="F426" s="65"/>
      <c r="G426" s="67"/>
      <c r="H426" s="67"/>
      <c r="I426" s="71"/>
      <c r="J426" s="70"/>
      <c r="K426" s="23"/>
      <c r="L426" s="70"/>
      <c r="M426" s="70"/>
      <c r="N426" s="70"/>
      <c r="O426" s="40"/>
      <c r="P426" s="23"/>
      <c r="Q426" s="23"/>
      <c r="R426" s="72"/>
      <c r="S426" s="72"/>
      <c r="T426" s="23"/>
      <c r="U426" s="40"/>
      <c r="V426" s="23"/>
      <c r="W426" s="72"/>
      <c r="X426" s="23"/>
      <c r="Y426" s="40"/>
      <c r="Z426" s="23"/>
      <c r="AA426" s="72"/>
      <c r="AB426" s="23"/>
      <c r="AC426" s="40"/>
      <c r="AD426" s="23"/>
      <c r="AE426" s="23"/>
    </row>
    <row r="427" spans="1:31">
      <c r="A427" s="23"/>
      <c r="B427" s="64"/>
      <c r="C427" s="62"/>
      <c r="D427" s="65"/>
      <c r="E427" s="65"/>
      <c r="F427" s="65"/>
      <c r="G427" s="67"/>
      <c r="H427" s="67"/>
      <c r="I427" s="71"/>
      <c r="J427" s="70"/>
      <c r="K427" s="23"/>
      <c r="L427" s="70"/>
      <c r="M427" s="70"/>
      <c r="N427" s="70"/>
      <c r="O427" s="40"/>
      <c r="P427" s="23"/>
      <c r="Q427" s="23"/>
      <c r="R427" s="72"/>
      <c r="S427" s="72"/>
      <c r="T427" s="23"/>
      <c r="U427" s="40"/>
      <c r="V427" s="23"/>
      <c r="W427" s="72"/>
      <c r="X427" s="23"/>
      <c r="Y427" s="40"/>
      <c r="Z427" s="23"/>
      <c r="AA427" s="72"/>
      <c r="AB427" s="23"/>
      <c r="AC427" s="40"/>
      <c r="AD427" s="23"/>
      <c r="AE427" s="23"/>
    </row>
    <row r="428" spans="1:31">
      <c r="A428" s="23"/>
      <c r="B428" s="64"/>
      <c r="C428" s="62"/>
      <c r="D428" s="65"/>
      <c r="E428" s="65"/>
      <c r="F428" s="65"/>
      <c r="G428" s="67"/>
      <c r="H428" s="67"/>
      <c r="I428" s="71"/>
      <c r="J428" s="70"/>
      <c r="K428" s="23"/>
      <c r="L428" s="70"/>
      <c r="M428" s="70"/>
      <c r="N428" s="70"/>
      <c r="O428" s="40"/>
      <c r="P428" s="23"/>
      <c r="Q428" s="23"/>
      <c r="R428" s="72"/>
      <c r="S428" s="72"/>
      <c r="T428" s="23"/>
      <c r="U428" s="40"/>
      <c r="V428" s="23"/>
      <c r="W428" s="72"/>
      <c r="X428" s="23"/>
      <c r="Y428" s="40"/>
      <c r="Z428" s="23"/>
      <c r="AA428" s="72"/>
      <c r="AB428" s="23"/>
      <c r="AC428" s="40"/>
      <c r="AD428" s="23"/>
      <c r="AE428" s="23"/>
    </row>
    <row r="429" spans="1:31">
      <c r="A429" s="23"/>
      <c r="B429" s="64"/>
      <c r="C429" s="62"/>
      <c r="D429" s="65"/>
      <c r="E429" s="65"/>
      <c r="F429" s="65"/>
      <c r="G429" s="67"/>
      <c r="H429" s="67"/>
      <c r="I429" s="71"/>
      <c r="J429" s="70"/>
      <c r="K429" s="23"/>
      <c r="L429" s="70"/>
      <c r="M429" s="70"/>
      <c r="N429" s="70"/>
      <c r="O429" s="40"/>
      <c r="P429" s="23"/>
      <c r="Q429" s="23"/>
      <c r="R429" s="72"/>
      <c r="S429" s="72"/>
      <c r="T429" s="23"/>
      <c r="U429" s="40"/>
      <c r="V429" s="23"/>
      <c r="W429" s="72"/>
      <c r="X429" s="23"/>
      <c r="Y429" s="40"/>
      <c r="Z429" s="23"/>
      <c r="AA429" s="72"/>
      <c r="AB429" s="23"/>
      <c r="AC429" s="40"/>
      <c r="AD429" s="23"/>
      <c r="AE429" s="23"/>
    </row>
    <row r="430" spans="1:31">
      <c r="A430" s="23"/>
      <c r="B430" s="64"/>
      <c r="C430" s="62"/>
      <c r="D430" s="65"/>
      <c r="E430" s="65"/>
      <c r="F430" s="65"/>
      <c r="G430" s="67"/>
      <c r="H430" s="67"/>
      <c r="I430" s="71"/>
      <c r="J430" s="70"/>
      <c r="K430" s="23"/>
      <c r="L430" s="70"/>
      <c r="M430" s="70"/>
      <c r="N430" s="70"/>
      <c r="O430" s="40"/>
      <c r="P430" s="23"/>
      <c r="Q430" s="23"/>
      <c r="R430" s="72"/>
      <c r="S430" s="72"/>
      <c r="T430" s="23"/>
      <c r="U430" s="40"/>
      <c r="V430" s="23"/>
      <c r="W430" s="72"/>
      <c r="X430" s="23"/>
      <c r="Y430" s="40"/>
      <c r="Z430" s="23"/>
      <c r="AA430" s="72"/>
      <c r="AB430" s="23"/>
      <c r="AC430" s="40"/>
      <c r="AD430" s="23"/>
      <c r="AE430" s="23"/>
    </row>
    <row r="431" spans="1:31">
      <c r="A431" s="23"/>
      <c r="B431" s="64"/>
      <c r="C431" s="62"/>
      <c r="D431" s="65"/>
      <c r="E431" s="65"/>
      <c r="F431" s="65"/>
      <c r="G431" s="67"/>
      <c r="H431" s="67"/>
      <c r="I431" s="71"/>
      <c r="J431" s="70"/>
      <c r="K431" s="23"/>
      <c r="L431" s="70"/>
      <c r="M431" s="70"/>
      <c r="N431" s="70"/>
      <c r="O431" s="40"/>
      <c r="P431" s="23"/>
      <c r="Q431" s="23"/>
      <c r="R431" s="72"/>
      <c r="S431" s="72"/>
      <c r="T431" s="23"/>
      <c r="U431" s="40"/>
      <c r="V431" s="23"/>
      <c r="W431" s="72"/>
      <c r="X431" s="23"/>
      <c r="Y431" s="40"/>
      <c r="Z431" s="23"/>
      <c r="AA431" s="72"/>
      <c r="AB431" s="23"/>
      <c r="AC431" s="40"/>
      <c r="AD431" s="23"/>
      <c r="AE431" s="23"/>
    </row>
    <row r="432" spans="1:31">
      <c r="A432" s="23"/>
      <c r="B432" s="64"/>
      <c r="C432" s="62"/>
      <c r="D432" s="65"/>
      <c r="E432" s="65"/>
      <c r="F432" s="65"/>
      <c r="G432" s="67"/>
      <c r="H432" s="67"/>
      <c r="I432" s="71"/>
      <c r="J432" s="70"/>
      <c r="K432" s="23"/>
      <c r="L432" s="70"/>
      <c r="M432" s="70"/>
      <c r="N432" s="70"/>
      <c r="O432" s="40"/>
      <c r="P432" s="23"/>
      <c r="Q432" s="23"/>
      <c r="R432" s="72"/>
      <c r="S432" s="72"/>
      <c r="T432" s="23"/>
      <c r="U432" s="40"/>
      <c r="V432" s="23"/>
      <c r="W432" s="72"/>
      <c r="X432" s="23"/>
      <c r="Y432" s="40"/>
      <c r="Z432" s="23"/>
      <c r="AA432" s="72"/>
      <c r="AB432" s="23"/>
      <c r="AC432" s="40"/>
      <c r="AD432" s="23"/>
      <c r="AE432" s="23"/>
    </row>
    <row r="433" spans="1:31">
      <c r="A433" s="23"/>
      <c r="B433" s="64"/>
      <c r="C433" s="62"/>
      <c r="D433" s="65"/>
      <c r="E433" s="65"/>
      <c r="F433" s="65"/>
      <c r="G433" s="67"/>
      <c r="H433" s="67"/>
      <c r="I433" s="71"/>
      <c r="J433" s="70"/>
      <c r="K433" s="23"/>
      <c r="L433" s="70"/>
      <c r="M433" s="70"/>
      <c r="N433" s="70"/>
      <c r="O433" s="40"/>
      <c r="P433" s="23"/>
      <c r="Q433" s="23"/>
      <c r="R433" s="72"/>
      <c r="S433" s="72"/>
      <c r="T433" s="23"/>
      <c r="U433" s="40"/>
      <c r="V433" s="23"/>
      <c r="W433" s="72"/>
      <c r="X433" s="23"/>
      <c r="Y433" s="40"/>
      <c r="Z433" s="23"/>
      <c r="AA433" s="72"/>
      <c r="AB433" s="23"/>
      <c r="AC433" s="40"/>
      <c r="AD433" s="23"/>
      <c r="AE433" s="23"/>
    </row>
    <row r="434" spans="1:31">
      <c r="A434" s="23"/>
      <c r="B434" s="64"/>
      <c r="C434" s="62"/>
      <c r="D434" s="65"/>
      <c r="E434" s="65"/>
      <c r="F434" s="65"/>
      <c r="G434" s="67"/>
      <c r="H434" s="67"/>
      <c r="I434" s="71"/>
      <c r="J434" s="70"/>
      <c r="K434" s="23"/>
      <c r="L434" s="70"/>
      <c r="M434" s="70"/>
      <c r="N434" s="70"/>
      <c r="O434" s="40"/>
      <c r="P434" s="23"/>
      <c r="Q434" s="23"/>
      <c r="R434" s="72"/>
      <c r="S434" s="72"/>
      <c r="T434" s="23"/>
      <c r="U434" s="40"/>
      <c r="V434" s="23"/>
      <c r="W434" s="72"/>
      <c r="X434" s="23"/>
      <c r="Y434" s="40"/>
      <c r="Z434" s="23"/>
      <c r="AA434" s="72"/>
      <c r="AB434" s="23"/>
      <c r="AC434" s="40"/>
      <c r="AD434" s="23"/>
      <c r="AE434" s="23"/>
    </row>
    <row r="435" spans="1:31">
      <c r="A435" s="23"/>
      <c r="B435" s="64"/>
      <c r="C435" s="62"/>
      <c r="D435" s="65"/>
      <c r="E435" s="65"/>
      <c r="F435" s="65"/>
      <c r="G435" s="67"/>
      <c r="H435" s="67"/>
      <c r="I435" s="71"/>
      <c r="J435" s="70"/>
      <c r="K435" s="23"/>
      <c r="L435" s="70"/>
      <c r="M435" s="70"/>
      <c r="N435" s="70"/>
      <c r="O435" s="40"/>
      <c r="P435" s="23"/>
      <c r="Q435" s="23"/>
      <c r="R435" s="72"/>
      <c r="S435" s="72"/>
      <c r="T435" s="23"/>
      <c r="U435" s="40"/>
      <c r="V435" s="23"/>
      <c r="W435" s="72"/>
      <c r="X435" s="23"/>
      <c r="Y435" s="40"/>
      <c r="Z435" s="23"/>
      <c r="AA435" s="72"/>
      <c r="AB435" s="23"/>
      <c r="AC435" s="40"/>
      <c r="AD435" s="23"/>
      <c r="AE435" s="23"/>
    </row>
    <row r="436" spans="1:31">
      <c r="A436" s="23"/>
      <c r="B436" s="64"/>
      <c r="C436" s="62"/>
      <c r="D436" s="65"/>
      <c r="E436" s="65"/>
      <c r="F436" s="65"/>
      <c r="G436" s="67"/>
      <c r="H436" s="67"/>
      <c r="I436" s="71"/>
      <c r="J436" s="70"/>
      <c r="K436" s="23"/>
      <c r="L436" s="70"/>
      <c r="M436" s="70"/>
      <c r="N436" s="70"/>
      <c r="O436" s="40"/>
      <c r="P436" s="23"/>
      <c r="Q436" s="23"/>
      <c r="R436" s="72"/>
      <c r="S436" s="72"/>
      <c r="T436" s="23"/>
      <c r="U436" s="40"/>
      <c r="V436" s="23"/>
      <c r="W436" s="72"/>
      <c r="X436" s="23"/>
      <c r="Y436" s="40"/>
      <c r="Z436" s="23"/>
      <c r="AA436" s="72"/>
      <c r="AB436" s="23"/>
      <c r="AC436" s="40"/>
      <c r="AD436" s="23"/>
      <c r="AE436" s="23"/>
    </row>
    <row r="437" spans="1:31">
      <c r="A437" s="23"/>
      <c r="B437" s="64"/>
      <c r="C437" s="62"/>
      <c r="D437" s="65"/>
      <c r="E437" s="65"/>
      <c r="F437" s="65"/>
      <c r="G437" s="67"/>
      <c r="H437" s="67"/>
      <c r="I437" s="71"/>
      <c r="J437" s="70"/>
      <c r="K437" s="23"/>
      <c r="L437" s="70"/>
      <c r="M437" s="70"/>
      <c r="N437" s="70"/>
      <c r="O437" s="40"/>
      <c r="P437" s="23"/>
      <c r="Q437" s="23"/>
      <c r="R437" s="72"/>
      <c r="S437" s="72"/>
      <c r="T437" s="23"/>
      <c r="U437" s="40"/>
      <c r="V437" s="23"/>
      <c r="W437" s="72"/>
      <c r="X437" s="23"/>
      <c r="Y437" s="40"/>
      <c r="Z437" s="23"/>
      <c r="AA437" s="72"/>
      <c r="AB437" s="23"/>
      <c r="AC437" s="40"/>
      <c r="AD437" s="23"/>
      <c r="AE437" s="23"/>
    </row>
    <row r="438" spans="1:31">
      <c r="A438" s="23"/>
      <c r="B438" s="64"/>
      <c r="C438" s="62"/>
      <c r="D438" s="65"/>
      <c r="E438" s="65"/>
      <c r="F438" s="65"/>
      <c r="G438" s="67"/>
      <c r="H438" s="67"/>
      <c r="I438" s="71"/>
      <c r="J438" s="70"/>
      <c r="K438" s="23"/>
      <c r="L438" s="70"/>
      <c r="M438" s="70"/>
      <c r="N438" s="70"/>
      <c r="O438" s="40"/>
      <c r="P438" s="23"/>
      <c r="Q438" s="23"/>
      <c r="R438" s="72"/>
      <c r="S438" s="72"/>
      <c r="T438" s="23"/>
      <c r="U438" s="40"/>
      <c r="V438" s="23"/>
      <c r="W438" s="72"/>
      <c r="X438" s="23"/>
      <c r="Y438" s="40"/>
      <c r="Z438" s="23"/>
      <c r="AA438" s="72"/>
      <c r="AB438" s="23"/>
      <c r="AC438" s="40"/>
      <c r="AD438" s="23"/>
      <c r="AE438" s="23"/>
    </row>
    <row r="439" spans="1:31">
      <c r="A439" s="23"/>
      <c r="B439" s="64"/>
      <c r="C439" s="62"/>
      <c r="D439" s="65"/>
      <c r="E439" s="65"/>
      <c r="F439" s="65"/>
      <c r="G439" s="67"/>
      <c r="H439" s="67"/>
      <c r="I439" s="71"/>
      <c r="J439" s="70"/>
      <c r="K439" s="23"/>
      <c r="L439" s="70"/>
      <c r="M439" s="70"/>
      <c r="N439" s="70"/>
      <c r="O439" s="40"/>
      <c r="P439" s="23"/>
      <c r="Q439" s="23"/>
      <c r="R439" s="72"/>
      <c r="S439" s="72"/>
      <c r="T439" s="23"/>
      <c r="U439" s="40"/>
      <c r="V439" s="23"/>
      <c r="W439" s="72"/>
      <c r="X439" s="23"/>
      <c r="Y439" s="40"/>
      <c r="Z439" s="23"/>
      <c r="AA439" s="72"/>
      <c r="AB439" s="23"/>
      <c r="AC439" s="40"/>
      <c r="AD439" s="23"/>
      <c r="AE439" s="23"/>
    </row>
    <row r="440" spans="1:31">
      <c r="A440" s="23"/>
      <c r="B440" s="64"/>
      <c r="C440" s="62"/>
      <c r="D440" s="65"/>
      <c r="E440" s="65"/>
      <c r="F440" s="65"/>
      <c r="G440" s="67"/>
      <c r="H440" s="67"/>
      <c r="I440" s="71"/>
      <c r="J440" s="70"/>
      <c r="K440" s="23"/>
      <c r="L440" s="70"/>
      <c r="M440" s="70"/>
      <c r="N440" s="70"/>
      <c r="O440" s="40"/>
      <c r="P440" s="23"/>
      <c r="Q440" s="23"/>
      <c r="R440" s="72"/>
      <c r="S440" s="72"/>
      <c r="T440" s="23"/>
      <c r="U440" s="40"/>
      <c r="V440" s="23"/>
      <c r="W440" s="72"/>
      <c r="X440" s="23"/>
      <c r="Y440" s="40"/>
      <c r="Z440" s="23"/>
      <c r="AA440" s="72"/>
      <c r="AB440" s="23"/>
      <c r="AC440" s="40"/>
      <c r="AD440" s="23"/>
      <c r="AE440" s="23"/>
    </row>
    <row r="441" spans="1:31">
      <c r="A441" s="23"/>
      <c r="B441" s="64"/>
      <c r="C441" s="62"/>
      <c r="D441" s="65"/>
      <c r="E441" s="65"/>
      <c r="F441" s="65"/>
      <c r="G441" s="67"/>
      <c r="H441" s="67"/>
      <c r="I441" s="71"/>
      <c r="J441" s="70"/>
      <c r="K441" s="23"/>
      <c r="L441" s="70"/>
      <c r="M441" s="70"/>
      <c r="N441" s="70"/>
      <c r="O441" s="40"/>
      <c r="P441" s="23"/>
      <c r="Q441" s="23"/>
      <c r="R441" s="72"/>
      <c r="S441" s="72"/>
      <c r="T441" s="23"/>
      <c r="U441" s="40"/>
      <c r="V441" s="23"/>
      <c r="W441" s="72"/>
      <c r="X441" s="23"/>
      <c r="Y441" s="40"/>
      <c r="Z441" s="23"/>
      <c r="AA441" s="72"/>
      <c r="AB441" s="23"/>
      <c r="AC441" s="40"/>
      <c r="AD441" s="23"/>
      <c r="AE441" s="23"/>
    </row>
    <row r="442" spans="1:31">
      <c r="A442" s="23"/>
      <c r="B442" s="64"/>
      <c r="C442" s="62"/>
      <c r="D442" s="65"/>
      <c r="E442" s="65"/>
      <c r="F442" s="65"/>
      <c r="G442" s="67"/>
      <c r="H442" s="67"/>
      <c r="I442" s="71"/>
      <c r="J442" s="70"/>
      <c r="K442" s="23"/>
      <c r="L442" s="70"/>
      <c r="M442" s="70"/>
      <c r="N442" s="70"/>
      <c r="O442" s="40"/>
      <c r="P442" s="23"/>
      <c r="Q442" s="23"/>
      <c r="R442" s="72"/>
      <c r="S442" s="72"/>
      <c r="T442" s="23"/>
      <c r="U442" s="40"/>
      <c r="V442" s="23"/>
      <c r="W442" s="72"/>
      <c r="X442" s="23"/>
      <c r="Y442" s="40"/>
      <c r="Z442" s="23"/>
      <c r="AA442" s="72"/>
      <c r="AB442" s="23"/>
      <c r="AC442" s="40"/>
      <c r="AD442" s="23"/>
      <c r="AE442" s="23"/>
    </row>
    <row r="443" spans="1:31">
      <c r="A443" s="23"/>
      <c r="B443" s="64"/>
      <c r="C443" s="62"/>
      <c r="D443" s="65"/>
      <c r="E443" s="65"/>
      <c r="F443" s="65"/>
      <c r="G443" s="67"/>
      <c r="H443" s="67"/>
      <c r="I443" s="71"/>
      <c r="J443" s="70"/>
      <c r="K443" s="23"/>
      <c r="L443" s="70"/>
      <c r="M443" s="70"/>
      <c r="N443" s="70"/>
      <c r="O443" s="40"/>
      <c r="P443" s="23"/>
      <c r="Q443" s="23"/>
      <c r="R443" s="72"/>
      <c r="S443" s="72"/>
      <c r="T443" s="23"/>
      <c r="U443" s="40"/>
      <c r="V443" s="23"/>
      <c r="W443" s="72"/>
      <c r="X443" s="23"/>
      <c r="Y443" s="40"/>
      <c r="Z443" s="23"/>
      <c r="AA443" s="72"/>
      <c r="AB443" s="23"/>
      <c r="AC443" s="40"/>
      <c r="AD443" s="23"/>
      <c r="AE443" s="23"/>
    </row>
    <row r="444" spans="1:31">
      <c r="A444" s="23"/>
      <c r="B444" s="64"/>
      <c r="C444" s="62"/>
      <c r="D444" s="65"/>
      <c r="E444" s="65"/>
      <c r="F444" s="65"/>
      <c r="G444" s="67"/>
      <c r="H444" s="67"/>
      <c r="I444" s="71"/>
      <c r="J444" s="70"/>
      <c r="K444" s="23"/>
      <c r="L444" s="70"/>
      <c r="M444" s="70"/>
      <c r="N444" s="70"/>
      <c r="O444" s="40"/>
      <c r="P444" s="23"/>
      <c r="Q444" s="23"/>
      <c r="R444" s="72"/>
      <c r="S444" s="72"/>
      <c r="T444" s="23"/>
      <c r="U444" s="40"/>
      <c r="V444" s="23"/>
      <c r="W444" s="72"/>
      <c r="X444" s="23"/>
      <c r="Y444" s="40"/>
      <c r="Z444" s="23"/>
      <c r="AA444" s="72"/>
      <c r="AB444" s="23"/>
      <c r="AC444" s="40"/>
      <c r="AD444" s="23"/>
      <c r="AE444" s="23"/>
    </row>
    <row r="445" spans="1:31">
      <c r="A445" s="23"/>
      <c r="B445" s="64"/>
      <c r="C445" s="62"/>
      <c r="D445" s="65"/>
      <c r="E445" s="65"/>
      <c r="F445" s="65"/>
      <c r="G445" s="67"/>
      <c r="H445" s="67"/>
      <c r="I445" s="71"/>
      <c r="J445" s="70"/>
      <c r="K445" s="23"/>
      <c r="L445" s="70"/>
      <c r="M445" s="70"/>
      <c r="N445" s="70"/>
      <c r="O445" s="40"/>
      <c r="P445" s="23"/>
      <c r="Q445" s="23"/>
      <c r="R445" s="72"/>
      <c r="S445" s="72"/>
      <c r="T445" s="23"/>
      <c r="U445" s="40"/>
      <c r="V445" s="23"/>
      <c r="W445" s="72"/>
      <c r="X445" s="23"/>
      <c r="Y445" s="40"/>
      <c r="Z445" s="23"/>
      <c r="AA445" s="72"/>
      <c r="AB445" s="23"/>
      <c r="AC445" s="40"/>
      <c r="AD445" s="23"/>
      <c r="AE445" s="23"/>
    </row>
    <row r="446" spans="1:31">
      <c r="A446" s="23"/>
      <c r="B446" s="64"/>
      <c r="C446" s="62"/>
      <c r="D446" s="65"/>
      <c r="E446" s="65"/>
      <c r="F446" s="65"/>
      <c r="G446" s="67"/>
      <c r="H446" s="67"/>
      <c r="I446" s="71"/>
      <c r="J446" s="70"/>
      <c r="K446" s="23"/>
      <c r="L446" s="70"/>
      <c r="M446" s="70"/>
      <c r="N446" s="70"/>
      <c r="O446" s="40"/>
      <c r="P446" s="23"/>
      <c r="Q446" s="23"/>
      <c r="R446" s="72"/>
      <c r="S446" s="72"/>
      <c r="T446" s="23"/>
      <c r="U446" s="40"/>
      <c r="V446" s="23"/>
      <c r="W446" s="72"/>
      <c r="X446" s="23"/>
      <c r="Y446" s="40"/>
      <c r="Z446" s="23"/>
      <c r="AA446" s="72"/>
      <c r="AB446" s="23"/>
      <c r="AC446" s="40"/>
      <c r="AD446" s="23"/>
      <c r="AE446" s="23"/>
    </row>
    <row r="447" spans="1:31">
      <c r="A447" s="23"/>
      <c r="B447" s="64"/>
      <c r="C447" s="62"/>
      <c r="D447" s="65"/>
      <c r="E447" s="65"/>
      <c r="F447" s="65"/>
      <c r="G447" s="67"/>
      <c r="H447" s="67"/>
      <c r="I447" s="71"/>
      <c r="J447" s="70"/>
      <c r="K447" s="23"/>
      <c r="L447" s="70"/>
      <c r="M447" s="70"/>
      <c r="N447" s="70"/>
      <c r="O447" s="40"/>
      <c r="P447" s="23"/>
      <c r="Q447" s="23"/>
      <c r="R447" s="72"/>
      <c r="S447" s="72"/>
      <c r="T447" s="23"/>
      <c r="U447" s="40"/>
      <c r="V447" s="23"/>
      <c r="W447" s="72"/>
      <c r="X447" s="23"/>
      <c r="Y447" s="40"/>
      <c r="Z447" s="23"/>
      <c r="AA447" s="72"/>
      <c r="AB447" s="23"/>
      <c r="AC447" s="40"/>
      <c r="AD447" s="23"/>
      <c r="AE447" s="23"/>
    </row>
    <row r="448" spans="1:31">
      <c r="A448" s="23"/>
      <c r="B448" s="64"/>
      <c r="C448" s="62"/>
      <c r="D448" s="65"/>
      <c r="E448" s="65"/>
      <c r="F448" s="65"/>
      <c r="G448" s="67"/>
      <c r="H448" s="67"/>
      <c r="I448" s="71"/>
      <c r="J448" s="70"/>
      <c r="K448" s="23"/>
      <c r="L448" s="70"/>
      <c r="M448" s="70"/>
      <c r="N448" s="70"/>
      <c r="O448" s="40"/>
      <c r="P448" s="23"/>
      <c r="Q448" s="23"/>
      <c r="R448" s="72"/>
      <c r="S448" s="72"/>
      <c r="T448" s="23"/>
      <c r="U448" s="40"/>
      <c r="V448" s="23"/>
      <c r="W448" s="72"/>
      <c r="X448" s="23"/>
      <c r="Y448" s="40"/>
      <c r="Z448" s="23"/>
      <c r="AA448" s="72"/>
      <c r="AB448" s="23"/>
      <c r="AC448" s="40"/>
      <c r="AD448" s="23"/>
      <c r="AE448" s="23"/>
    </row>
    <row r="449" spans="1:31">
      <c r="A449" s="23"/>
      <c r="B449" s="64"/>
      <c r="C449" s="62"/>
      <c r="D449" s="65"/>
      <c r="E449" s="65"/>
      <c r="F449" s="65"/>
      <c r="G449" s="67"/>
      <c r="H449" s="67"/>
      <c r="I449" s="71"/>
      <c r="J449" s="70"/>
      <c r="K449" s="23"/>
      <c r="L449" s="70"/>
      <c r="M449" s="70"/>
      <c r="N449" s="70"/>
      <c r="O449" s="40"/>
      <c r="P449" s="23"/>
      <c r="Q449" s="23"/>
      <c r="R449" s="72"/>
      <c r="S449" s="72"/>
      <c r="T449" s="23"/>
      <c r="U449" s="40"/>
      <c r="V449" s="23"/>
      <c r="W449" s="72"/>
      <c r="X449" s="23"/>
      <c r="Y449" s="40"/>
      <c r="Z449" s="23"/>
      <c r="AA449" s="72"/>
      <c r="AB449" s="23"/>
      <c r="AC449" s="40"/>
      <c r="AD449" s="23"/>
      <c r="AE449" s="23"/>
    </row>
    <row r="450" spans="1:31">
      <c r="A450" s="23"/>
      <c r="B450" s="64"/>
      <c r="C450" s="62"/>
      <c r="D450" s="65"/>
      <c r="E450" s="65"/>
      <c r="F450" s="65"/>
      <c r="G450" s="67"/>
      <c r="H450" s="67"/>
      <c r="I450" s="71"/>
      <c r="J450" s="70"/>
      <c r="K450" s="23"/>
      <c r="L450" s="70"/>
      <c r="M450" s="70"/>
      <c r="N450" s="70"/>
      <c r="O450" s="40"/>
      <c r="P450" s="23"/>
      <c r="Q450" s="23"/>
      <c r="R450" s="72"/>
      <c r="S450" s="72"/>
      <c r="T450" s="23"/>
      <c r="U450" s="40"/>
      <c r="V450" s="23"/>
      <c r="W450" s="72"/>
      <c r="X450" s="23"/>
      <c r="Y450" s="40"/>
      <c r="Z450" s="23"/>
      <c r="AA450" s="72"/>
      <c r="AB450" s="23"/>
      <c r="AC450" s="40"/>
      <c r="AD450" s="23"/>
      <c r="AE450" s="23"/>
    </row>
    <row r="451" spans="1:31">
      <c r="A451" s="23"/>
      <c r="B451" s="64"/>
      <c r="C451" s="62"/>
      <c r="D451" s="65"/>
      <c r="E451" s="65"/>
      <c r="F451" s="65"/>
      <c r="G451" s="67"/>
      <c r="H451" s="67"/>
      <c r="I451" s="71"/>
      <c r="J451" s="70"/>
      <c r="K451" s="23"/>
      <c r="L451" s="70"/>
      <c r="M451" s="70"/>
      <c r="N451" s="70"/>
      <c r="O451" s="40"/>
      <c r="P451" s="23"/>
      <c r="Q451" s="23"/>
      <c r="R451" s="72"/>
      <c r="S451" s="72"/>
      <c r="T451" s="23"/>
      <c r="U451" s="40"/>
      <c r="V451" s="23"/>
      <c r="W451" s="72"/>
      <c r="X451" s="23"/>
      <c r="Y451" s="40"/>
      <c r="Z451" s="23"/>
      <c r="AA451" s="72"/>
      <c r="AB451" s="23"/>
      <c r="AC451" s="40"/>
      <c r="AD451" s="23"/>
      <c r="AE451" s="23"/>
    </row>
    <row r="452" spans="1:31">
      <c r="A452" s="23"/>
      <c r="B452" s="64"/>
      <c r="C452" s="62"/>
      <c r="D452" s="65"/>
      <c r="E452" s="65"/>
      <c r="F452" s="65"/>
      <c r="G452" s="67"/>
      <c r="H452" s="67"/>
      <c r="I452" s="71"/>
      <c r="J452" s="70"/>
      <c r="K452" s="23"/>
      <c r="L452" s="70"/>
      <c r="M452" s="70"/>
      <c r="N452" s="70"/>
      <c r="O452" s="40"/>
      <c r="P452" s="23"/>
      <c r="Q452" s="23"/>
      <c r="R452" s="72"/>
      <c r="S452" s="72"/>
      <c r="T452" s="23"/>
      <c r="U452" s="40"/>
      <c r="V452" s="23"/>
      <c r="W452" s="72"/>
      <c r="X452" s="23"/>
      <c r="Y452" s="40"/>
      <c r="Z452" s="23"/>
      <c r="AA452" s="72"/>
      <c r="AB452" s="23"/>
      <c r="AC452" s="40"/>
      <c r="AD452" s="23"/>
      <c r="AE452" s="23"/>
    </row>
    <row r="453" spans="1:31">
      <c r="A453" s="23"/>
      <c r="B453" s="64"/>
      <c r="C453" s="62"/>
      <c r="D453" s="65"/>
      <c r="E453" s="65"/>
      <c r="F453" s="65"/>
      <c r="G453" s="67"/>
      <c r="H453" s="67"/>
      <c r="I453" s="71"/>
      <c r="J453" s="70"/>
      <c r="K453" s="23"/>
      <c r="L453" s="70"/>
      <c r="M453" s="70"/>
      <c r="N453" s="70"/>
      <c r="O453" s="40"/>
      <c r="P453" s="23"/>
      <c r="Q453" s="23"/>
      <c r="R453" s="72"/>
      <c r="S453" s="72"/>
      <c r="T453" s="23"/>
      <c r="U453" s="40"/>
      <c r="V453" s="23"/>
      <c r="W453" s="72"/>
      <c r="X453" s="23"/>
      <c r="Y453" s="40"/>
      <c r="Z453" s="23"/>
      <c r="AA453" s="72"/>
      <c r="AB453" s="23"/>
      <c r="AC453" s="40"/>
      <c r="AD453" s="23"/>
      <c r="AE453" s="23"/>
    </row>
    <row r="454" spans="1:31" ht="24" customHeight="1">
      <c r="A454" s="23"/>
      <c r="B454" s="64"/>
      <c r="C454" s="62"/>
      <c r="D454" s="65"/>
      <c r="E454" s="65"/>
      <c r="F454" s="65"/>
      <c r="G454" s="67"/>
      <c r="H454" s="67"/>
      <c r="I454" s="71"/>
      <c r="J454" s="70"/>
      <c r="K454" s="23"/>
      <c r="L454" s="70"/>
      <c r="M454" s="70"/>
      <c r="N454" s="70"/>
      <c r="O454" s="40"/>
      <c r="P454" s="23"/>
      <c r="Q454" s="23"/>
      <c r="R454" s="72"/>
      <c r="S454" s="72"/>
      <c r="T454" s="23"/>
      <c r="U454" s="40"/>
      <c r="V454" s="23"/>
      <c r="W454" s="72"/>
      <c r="X454" s="23"/>
      <c r="Y454" s="40"/>
      <c r="Z454" s="23"/>
      <c r="AA454" s="72"/>
      <c r="AB454" s="23"/>
      <c r="AC454" s="40"/>
      <c r="AD454" s="23"/>
      <c r="AE454" s="23"/>
    </row>
    <row r="455" spans="1:31">
      <c r="A455" s="23"/>
      <c r="B455" s="64"/>
      <c r="C455" s="62"/>
      <c r="D455" s="65"/>
      <c r="E455" s="65"/>
      <c r="F455" s="65"/>
      <c r="G455" s="67"/>
      <c r="H455" s="67"/>
      <c r="I455" s="71"/>
      <c r="J455" s="70"/>
      <c r="K455" s="23"/>
      <c r="L455" s="70"/>
      <c r="M455" s="70"/>
      <c r="N455" s="70"/>
      <c r="O455" s="40"/>
      <c r="P455" s="23"/>
      <c r="Q455" s="23"/>
      <c r="R455" s="72"/>
      <c r="S455" s="72"/>
      <c r="T455" s="23"/>
      <c r="U455" s="40"/>
      <c r="V455" s="23"/>
      <c r="W455" s="72"/>
      <c r="X455" s="23"/>
      <c r="Y455" s="40"/>
      <c r="Z455" s="23"/>
      <c r="AA455" s="72"/>
      <c r="AB455" s="23"/>
      <c r="AC455" s="40"/>
      <c r="AD455" s="23"/>
      <c r="AE455" s="23"/>
    </row>
    <row r="456" spans="1:31" ht="24" customHeight="1">
      <c r="A456" s="23"/>
      <c r="B456" s="64"/>
      <c r="C456" s="62"/>
      <c r="D456" s="65"/>
      <c r="E456" s="65"/>
      <c r="F456" s="65"/>
      <c r="G456" s="67"/>
      <c r="H456" s="67"/>
      <c r="I456" s="71"/>
      <c r="J456" s="70"/>
      <c r="K456" s="23"/>
      <c r="L456" s="70"/>
      <c r="M456" s="70"/>
      <c r="N456" s="70"/>
      <c r="O456" s="40"/>
      <c r="P456" s="23"/>
      <c r="Q456" s="23"/>
      <c r="R456" s="72"/>
      <c r="S456" s="72"/>
      <c r="T456" s="23"/>
      <c r="U456" s="40"/>
      <c r="V456" s="23"/>
      <c r="W456" s="72"/>
      <c r="X456" s="23"/>
      <c r="Y456" s="40"/>
      <c r="Z456" s="23"/>
      <c r="AA456" s="72"/>
      <c r="AB456" s="23"/>
      <c r="AC456" s="40"/>
      <c r="AD456" s="23"/>
      <c r="AE456" s="23"/>
    </row>
    <row r="457" spans="1:31">
      <c r="A457" s="23"/>
      <c r="B457" s="64"/>
      <c r="C457" s="62"/>
      <c r="D457" s="65"/>
      <c r="E457" s="65"/>
      <c r="F457" s="65"/>
      <c r="G457" s="67"/>
      <c r="H457" s="67"/>
      <c r="I457" s="71"/>
      <c r="J457" s="70"/>
      <c r="K457" s="23"/>
      <c r="L457" s="70"/>
      <c r="M457" s="70"/>
      <c r="N457" s="70"/>
      <c r="O457" s="40"/>
      <c r="P457" s="23"/>
      <c r="Q457" s="23"/>
      <c r="R457" s="72"/>
      <c r="S457" s="72"/>
      <c r="T457" s="23"/>
      <c r="U457" s="40"/>
      <c r="V457" s="23"/>
      <c r="W457" s="72"/>
      <c r="X457" s="23"/>
      <c r="Y457" s="40"/>
      <c r="Z457" s="23"/>
      <c r="AA457" s="72"/>
      <c r="AB457" s="23"/>
      <c r="AC457" s="40"/>
      <c r="AD457" s="23"/>
      <c r="AE457" s="23"/>
    </row>
    <row r="458" spans="1:31" ht="24" customHeight="1">
      <c r="A458" s="23"/>
      <c r="B458" s="64"/>
      <c r="C458" s="62"/>
      <c r="D458" s="65"/>
      <c r="E458" s="65"/>
      <c r="F458" s="65"/>
      <c r="G458" s="67"/>
      <c r="H458" s="67"/>
      <c r="I458" s="71"/>
      <c r="J458" s="70"/>
      <c r="K458" s="23"/>
      <c r="L458" s="70"/>
      <c r="M458" s="70"/>
      <c r="N458" s="70"/>
      <c r="O458" s="40"/>
      <c r="P458" s="23"/>
      <c r="Q458" s="23"/>
      <c r="R458" s="72"/>
      <c r="S458" s="72"/>
      <c r="T458" s="23"/>
      <c r="U458" s="40"/>
      <c r="V458" s="23"/>
      <c r="W458" s="72"/>
      <c r="X458" s="23"/>
      <c r="Y458" s="40"/>
      <c r="Z458" s="23"/>
      <c r="AA458" s="72"/>
      <c r="AB458" s="23"/>
      <c r="AC458" s="40"/>
      <c r="AD458" s="23"/>
      <c r="AE458" s="23"/>
    </row>
    <row r="459" spans="1:31">
      <c r="A459" s="23"/>
      <c r="B459" s="64"/>
      <c r="C459" s="62"/>
      <c r="D459" s="65"/>
      <c r="E459" s="65"/>
      <c r="F459" s="65"/>
      <c r="G459" s="67"/>
      <c r="H459" s="67"/>
      <c r="I459" s="71"/>
      <c r="J459" s="70"/>
      <c r="K459" s="23"/>
      <c r="L459" s="70"/>
      <c r="M459" s="70"/>
      <c r="N459" s="70"/>
      <c r="O459" s="40"/>
      <c r="P459" s="23"/>
      <c r="Q459" s="23"/>
      <c r="R459" s="72"/>
      <c r="S459" s="72"/>
      <c r="T459" s="23"/>
      <c r="U459" s="40"/>
      <c r="V459" s="23"/>
      <c r="W459" s="72"/>
      <c r="X459" s="23"/>
      <c r="Y459" s="40"/>
      <c r="Z459" s="23"/>
      <c r="AA459" s="72"/>
      <c r="AB459" s="23"/>
      <c r="AC459" s="40"/>
      <c r="AD459" s="23"/>
      <c r="AE459" s="23"/>
    </row>
    <row r="460" spans="1:31">
      <c r="A460" s="23"/>
      <c r="B460" s="64"/>
      <c r="C460" s="62"/>
      <c r="D460" s="65"/>
      <c r="E460" s="65"/>
      <c r="F460" s="65"/>
      <c r="G460" s="67"/>
      <c r="H460" s="67"/>
      <c r="I460" s="71"/>
      <c r="J460" s="70"/>
      <c r="K460" s="23"/>
      <c r="L460" s="70"/>
      <c r="M460" s="70"/>
      <c r="N460" s="70"/>
      <c r="O460" s="40"/>
      <c r="P460" s="23"/>
      <c r="Q460" s="23"/>
      <c r="R460" s="72"/>
      <c r="S460" s="72"/>
      <c r="T460" s="23"/>
      <c r="U460" s="40"/>
      <c r="V460" s="23"/>
      <c r="W460" s="72"/>
      <c r="X460" s="23"/>
      <c r="Y460" s="40"/>
      <c r="Z460" s="23"/>
      <c r="AA460" s="72"/>
      <c r="AB460" s="23"/>
      <c r="AC460" s="40"/>
      <c r="AD460" s="23"/>
      <c r="AE460" s="23"/>
    </row>
    <row r="461" spans="1:31">
      <c r="A461" s="23"/>
      <c r="B461" s="64"/>
      <c r="C461" s="62"/>
      <c r="D461" s="65"/>
      <c r="E461" s="65"/>
      <c r="F461" s="65"/>
      <c r="G461" s="67"/>
      <c r="H461" s="67"/>
      <c r="I461" s="71"/>
      <c r="J461" s="70"/>
      <c r="K461" s="23"/>
      <c r="L461" s="70"/>
      <c r="M461" s="70"/>
      <c r="N461" s="70"/>
      <c r="O461" s="40"/>
      <c r="P461" s="23"/>
      <c r="Q461" s="23"/>
      <c r="R461" s="72"/>
      <c r="S461" s="72"/>
      <c r="T461" s="23"/>
      <c r="U461" s="40"/>
      <c r="V461" s="23"/>
      <c r="W461" s="72"/>
      <c r="X461" s="23"/>
      <c r="Y461" s="40"/>
      <c r="Z461" s="23"/>
      <c r="AA461" s="72"/>
      <c r="AB461" s="23"/>
      <c r="AC461" s="40"/>
      <c r="AD461" s="23"/>
      <c r="AE461" s="23"/>
    </row>
    <row r="462" spans="1:31">
      <c r="A462" s="23"/>
      <c r="B462" s="64"/>
      <c r="C462" s="62"/>
      <c r="D462" s="65"/>
      <c r="E462" s="65"/>
      <c r="F462" s="65"/>
      <c r="G462" s="67"/>
      <c r="H462" s="67"/>
      <c r="I462" s="71"/>
      <c r="J462" s="70"/>
      <c r="K462" s="23"/>
      <c r="L462" s="70"/>
      <c r="M462" s="70"/>
      <c r="N462" s="70"/>
      <c r="O462" s="40"/>
      <c r="P462" s="23"/>
      <c r="Q462" s="23"/>
      <c r="R462" s="72"/>
      <c r="S462" s="72"/>
      <c r="T462" s="23"/>
      <c r="U462" s="40"/>
      <c r="V462" s="23"/>
      <c r="W462" s="72"/>
      <c r="X462" s="23"/>
      <c r="Y462" s="40"/>
      <c r="Z462" s="23"/>
      <c r="AA462" s="72"/>
      <c r="AB462" s="23"/>
      <c r="AC462" s="40"/>
      <c r="AD462" s="23"/>
      <c r="AE462" s="23"/>
    </row>
    <row r="463" spans="1:31">
      <c r="A463" s="23"/>
      <c r="B463" s="64"/>
      <c r="C463" s="62"/>
      <c r="D463" s="65"/>
      <c r="E463" s="65"/>
      <c r="F463" s="65"/>
      <c r="G463" s="67"/>
      <c r="H463" s="67"/>
      <c r="I463" s="71"/>
      <c r="J463" s="70"/>
      <c r="K463" s="23"/>
      <c r="L463" s="70"/>
      <c r="M463" s="70"/>
      <c r="N463" s="70"/>
      <c r="O463" s="40"/>
      <c r="P463" s="23"/>
      <c r="Q463" s="23"/>
      <c r="R463" s="72"/>
      <c r="S463" s="72"/>
      <c r="T463" s="23"/>
      <c r="U463" s="40"/>
      <c r="V463" s="23"/>
      <c r="W463" s="72"/>
      <c r="X463" s="23"/>
      <c r="Y463" s="40"/>
      <c r="Z463" s="23"/>
      <c r="AA463" s="72"/>
      <c r="AB463" s="23"/>
      <c r="AC463" s="40"/>
      <c r="AD463" s="23"/>
      <c r="AE463" s="23"/>
    </row>
    <row r="464" spans="1:31">
      <c r="A464" s="23"/>
      <c r="B464" s="64"/>
      <c r="C464" s="62"/>
      <c r="D464" s="65"/>
      <c r="E464" s="65"/>
      <c r="F464" s="65"/>
      <c r="G464" s="67"/>
      <c r="H464" s="67"/>
      <c r="I464" s="71"/>
      <c r="J464" s="70"/>
      <c r="K464" s="23"/>
      <c r="L464" s="70"/>
      <c r="M464" s="70"/>
      <c r="N464" s="70"/>
      <c r="O464" s="40"/>
      <c r="P464" s="23"/>
      <c r="Q464" s="23"/>
      <c r="R464" s="72"/>
      <c r="S464" s="72"/>
      <c r="T464" s="23"/>
      <c r="U464" s="40"/>
      <c r="V464" s="23"/>
      <c r="W464" s="72"/>
      <c r="X464" s="23"/>
      <c r="Y464" s="40"/>
      <c r="Z464" s="23"/>
      <c r="AA464" s="72"/>
      <c r="AB464" s="23"/>
      <c r="AC464" s="40"/>
      <c r="AD464" s="23"/>
      <c r="AE464" s="23"/>
    </row>
    <row r="465" spans="1:31">
      <c r="A465" s="23"/>
      <c r="B465" s="64"/>
      <c r="C465" s="62"/>
      <c r="D465" s="65"/>
      <c r="E465" s="65"/>
      <c r="F465" s="65"/>
      <c r="G465" s="67"/>
      <c r="H465" s="67"/>
      <c r="I465" s="71"/>
      <c r="J465" s="70"/>
      <c r="K465" s="23"/>
      <c r="L465" s="70"/>
      <c r="M465" s="70"/>
      <c r="N465" s="70"/>
      <c r="O465" s="40"/>
      <c r="P465" s="23"/>
      <c r="Q465" s="23"/>
      <c r="R465" s="72"/>
      <c r="S465" s="72"/>
      <c r="T465" s="23"/>
      <c r="U465" s="40"/>
      <c r="V465" s="23"/>
      <c r="W465" s="72"/>
      <c r="X465" s="23"/>
      <c r="Y465" s="40"/>
      <c r="Z465" s="23"/>
      <c r="AA465" s="72"/>
      <c r="AB465" s="23"/>
      <c r="AC465" s="40"/>
      <c r="AD465" s="23"/>
      <c r="AE465" s="23"/>
    </row>
    <row r="466" spans="1:31">
      <c r="A466" s="23"/>
      <c r="B466" s="64"/>
      <c r="C466" s="62"/>
      <c r="D466" s="65"/>
      <c r="E466" s="65"/>
      <c r="F466" s="65"/>
      <c r="G466" s="67"/>
      <c r="H466" s="67"/>
      <c r="I466" s="71"/>
      <c r="J466" s="70"/>
      <c r="K466" s="23"/>
      <c r="L466" s="70"/>
      <c r="M466" s="70"/>
      <c r="N466" s="70"/>
      <c r="O466" s="40"/>
      <c r="P466" s="23"/>
      <c r="Q466" s="23"/>
      <c r="R466" s="72"/>
      <c r="S466" s="72"/>
      <c r="T466" s="23"/>
      <c r="U466" s="40"/>
      <c r="V466" s="23"/>
      <c r="W466" s="72"/>
      <c r="X466" s="23"/>
      <c r="Y466" s="40"/>
      <c r="Z466" s="23"/>
      <c r="AA466" s="72"/>
      <c r="AB466" s="23"/>
      <c r="AC466" s="40"/>
      <c r="AD466" s="23"/>
      <c r="AE466" s="23"/>
    </row>
    <row r="467" spans="1:31">
      <c r="A467" s="23"/>
      <c r="B467" s="64"/>
      <c r="C467" s="62"/>
      <c r="D467" s="65"/>
      <c r="E467" s="65"/>
      <c r="F467" s="65"/>
      <c r="G467" s="67"/>
      <c r="H467" s="67"/>
      <c r="I467" s="71"/>
      <c r="J467" s="70"/>
      <c r="K467" s="23"/>
      <c r="L467" s="70"/>
      <c r="M467" s="70"/>
      <c r="N467" s="70"/>
      <c r="O467" s="40"/>
      <c r="P467" s="23"/>
      <c r="Q467" s="23"/>
      <c r="R467" s="72"/>
      <c r="S467" s="72"/>
      <c r="T467" s="23"/>
      <c r="U467" s="40"/>
      <c r="V467" s="23"/>
      <c r="W467" s="72"/>
      <c r="X467" s="23"/>
      <c r="Y467" s="40"/>
      <c r="Z467" s="23"/>
      <c r="AA467" s="72"/>
      <c r="AB467" s="23"/>
      <c r="AC467" s="40"/>
      <c r="AD467" s="23"/>
      <c r="AE467" s="23"/>
    </row>
    <row r="468" spans="1:31">
      <c r="A468" s="23"/>
      <c r="B468" s="64"/>
      <c r="C468" s="62"/>
      <c r="D468" s="65"/>
      <c r="E468" s="65"/>
      <c r="F468" s="65"/>
      <c r="G468" s="67"/>
      <c r="H468" s="67"/>
      <c r="I468" s="71"/>
      <c r="J468" s="70"/>
      <c r="K468" s="23"/>
      <c r="L468" s="70"/>
      <c r="M468" s="70"/>
      <c r="N468" s="70"/>
      <c r="O468" s="40"/>
      <c r="P468" s="23"/>
      <c r="Q468" s="23"/>
      <c r="R468" s="72"/>
      <c r="S468" s="72"/>
      <c r="T468" s="23"/>
      <c r="U468" s="40"/>
      <c r="V468" s="23"/>
      <c r="W468" s="72"/>
      <c r="X468" s="23"/>
      <c r="Y468" s="40"/>
      <c r="Z468" s="23"/>
      <c r="AA468" s="72"/>
      <c r="AB468" s="23"/>
      <c r="AC468" s="40"/>
      <c r="AD468" s="23"/>
      <c r="AE468" s="23"/>
    </row>
    <row r="469" spans="1:31">
      <c r="A469" s="23"/>
      <c r="B469" s="64"/>
      <c r="C469" s="62"/>
      <c r="D469" s="65"/>
      <c r="E469" s="65"/>
      <c r="F469" s="65"/>
      <c r="G469" s="67"/>
      <c r="H469" s="67"/>
      <c r="I469" s="71"/>
      <c r="J469" s="70"/>
      <c r="K469" s="23"/>
      <c r="L469" s="70"/>
      <c r="M469" s="70"/>
      <c r="N469" s="70"/>
      <c r="O469" s="40"/>
      <c r="P469" s="23"/>
      <c r="Q469" s="23"/>
      <c r="R469" s="72"/>
      <c r="S469" s="72"/>
      <c r="T469" s="23"/>
      <c r="U469" s="40"/>
      <c r="V469" s="23"/>
      <c r="W469" s="72"/>
      <c r="X469" s="23"/>
      <c r="Y469" s="40"/>
      <c r="Z469" s="23"/>
      <c r="AA469" s="72"/>
      <c r="AB469" s="23"/>
      <c r="AC469" s="40"/>
      <c r="AD469" s="23"/>
      <c r="AE469" s="23"/>
    </row>
    <row r="470" spans="1:31">
      <c r="A470" s="23"/>
      <c r="B470" s="64"/>
      <c r="C470" s="62"/>
      <c r="D470" s="65"/>
      <c r="E470" s="65"/>
      <c r="F470" s="65"/>
      <c r="G470" s="67"/>
      <c r="H470" s="67"/>
      <c r="I470" s="71"/>
      <c r="J470" s="70"/>
      <c r="K470" s="23"/>
      <c r="L470" s="70"/>
      <c r="M470" s="70"/>
      <c r="N470" s="70"/>
      <c r="O470" s="40"/>
      <c r="P470" s="23"/>
      <c r="Q470" s="23"/>
      <c r="R470" s="72"/>
      <c r="S470" s="72"/>
      <c r="T470" s="23"/>
      <c r="U470" s="40"/>
      <c r="V470" s="23"/>
      <c r="W470" s="72"/>
      <c r="X470" s="23"/>
      <c r="Y470" s="40"/>
      <c r="Z470" s="23"/>
      <c r="AA470" s="72"/>
      <c r="AB470" s="23"/>
      <c r="AC470" s="40"/>
      <c r="AD470" s="23"/>
      <c r="AE470" s="23"/>
    </row>
    <row r="471" spans="1:31">
      <c r="A471" s="23"/>
      <c r="B471" s="64"/>
      <c r="C471" s="62"/>
      <c r="D471" s="65"/>
      <c r="E471" s="65"/>
      <c r="F471" s="65"/>
      <c r="G471" s="67"/>
      <c r="H471" s="67"/>
      <c r="I471" s="71"/>
      <c r="J471" s="70"/>
      <c r="K471" s="23"/>
      <c r="L471" s="70"/>
      <c r="M471" s="70"/>
      <c r="N471" s="70"/>
      <c r="O471" s="40"/>
      <c r="P471" s="23"/>
      <c r="Q471" s="23"/>
      <c r="R471" s="72"/>
      <c r="S471" s="72"/>
      <c r="T471" s="23"/>
      <c r="U471" s="40"/>
      <c r="V471" s="23"/>
      <c r="W471" s="72"/>
      <c r="X471" s="23"/>
      <c r="Y471" s="40"/>
      <c r="Z471" s="23"/>
      <c r="AA471" s="72"/>
      <c r="AB471" s="23"/>
      <c r="AC471" s="40"/>
      <c r="AD471" s="23"/>
      <c r="AE471" s="23"/>
    </row>
    <row r="472" spans="1:31">
      <c r="A472" s="23"/>
      <c r="B472" s="64"/>
      <c r="C472" s="62"/>
      <c r="D472" s="65"/>
      <c r="E472" s="65"/>
      <c r="F472" s="65"/>
      <c r="G472" s="67"/>
      <c r="H472" s="67"/>
      <c r="I472" s="71"/>
      <c r="J472" s="70"/>
      <c r="K472" s="23"/>
      <c r="L472" s="70"/>
      <c r="M472" s="70"/>
      <c r="N472" s="70"/>
      <c r="O472" s="40"/>
      <c r="P472" s="23"/>
      <c r="Q472" s="23"/>
      <c r="R472" s="72" t="s">
        <v>63</v>
      </c>
      <c r="S472" s="72"/>
      <c r="T472" s="23"/>
      <c r="U472" s="40"/>
      <c r="V472" s="23"/>
      <c r="W472" s="72"/>
      <c r="X472" s="23"/>
      <c r="Y472" s="40"/>
      <c r="Z472" s="23"/>
      <c r="AA472" s="72"/>
      <c r="AB472" s="23"/>
      <c r="AC472" s="40"/>
      <c r="AD472" s="23"/>
      <c r="AE472" s="23"/>
    </row>
    <row r="473" spans="1:31">
      <c r="A473" s="23"/>
      <c r="B473" s="64"/>
      <c r="C473" s="62"/>
      <c r="D473" s="65"/>
      <c r="E473" s="65"/>
      <c r="F473" s="65"/>
      <c r="G473" s="67"/>
      <c r="H473" s="67"/>
      <c r="I473" s="71"/>
      <c r="J473" s="70"/>
      <c r="K473" s="23"/>
      <c r="L473" s="70"/>
      <c r="M473" s="70"/>
      <c r="N473" s="70"/>
      <c r="O473" s="40"/>
      <c r="P473" s="23"/>
      <c r="Q473" s="23"/>
      <c r="R473" s="72"/>
      <c r="S473" s="72"/>
      <c r="T473" s="23"/>
      <c r="U473" s="40"/>
      <c r="V473" s="23"/>
      <c r="W473" s="72"/>
      <c r="X473" s="23"/>
      <c r="Y473" s="40"/>
      <c r="Z473" s="23"/>
      <c r="AA473" s="72"/>
      <c r="AB473" s="23"/>
      <c r="AC473" s="40"/>
      <c r="AD473" s="23"/>
      <c r="AE473" s="23"/>
    </row>
    <row r="474" spans="1:31" ht="12.75">
      <c r="A474" s="23"/>
      <c r="B474" s="64"/>
      <c r="C474" s="62"/>
      <c r="D474" s="92"/>
      <c r="E474" s="65"/>
      <c r="F474" s="65"/>
      <c r="G474" s="67"/>
      <c r="H474" s="67"/>
      <c r="I474" s="71"/>
      <c r="J474" s="70"/>
      <c r="K474" s="23"/>
      <c r="L474" s="70"/>
      <c r="M474" s="70"/>
      <c r="N474" s="70"/>
      <c r="O474" s="40"/>
      <c r="P474" s="23"/>
      <c r="Q474" s="23"/>
      <c r="R474" s="72"/>
      <c r="S474" s="72"/>
      <c r="T474" s="23"/>
      <c r="U474" s="40"/>
      <c r="V474" s="23"/>
      <c r="W474" s="72"/>
      <c r="X474" s="23"/>
      <c r="Y474" s="40"/>
      <c r="Z474" s="23"/>
      <c r="AA474" s="72"/>
      <c r="AB474" s="23"/>
      <c r="AC474" s="40"/>
      <c r="AD474" s="23"/>
      <c r="AE474" s="23"/>
    </row>
    <row r="475" spans="1:31" ht="12.75">
      <c r="A475" s="23"/>
      <c r="B475" s="64"/>
      <c r="C475" s="62"/>
      <c r="D475" s="92"/>
      <c r="E475" s="65"/>
      <c r="F475" s="65"/>
      <c r="G475" s="67"/>
      <c r="H475" s="67"/>
      <c r="I475" s="71"/>
      <c r="J475" s="70"/>
      <c r="K475" s="23"/>
      <c r="L475" s="70"/>
      <c r="M475" s="70"/>
      <c r="N475" s="70"/>
      <c r="O475" s="40"/>
      <c r="P475" s="23"/>
      <c r="Q475" s="23"/>
      <c r="R475" s="72"/>
      <c r="S475" s="72"/>
      <c r="T475" s="23"/>
      <c r="U475" s="40"/>
      <c r="V475" s="23"/>
      <c r="W475" s="72"/>
      <c r="X475" s="23"/>
      <c r="Y475" s="40"/>
      <c r="Z475" s="23"/>
      <c r="AA475" s="72"/>
      <c r="AB475" s="23"/>
      <c r="AC475" s="40"/>
      <c r="AD475" s="23"/>
      <c r="AE475" s="23"/>
    </row>
    <row r="476" spans="1:31" ht="12.75">
      <c r="A476" s="23"/>
      <c r="B476" s="64"/>
      <c r="C476" s="62"/>
      <c r="D476" s="92"/>
      <c r="E476" s="65"/>
      <c r="F476" s="65"/>
      <c r="G476" s="67"/>
      <c r="H476" s="67"/>
      <c r="I476" s="71"/>
      <c r="J476" s="70"/>
      <c r="K476" s="23"/>
      <c r="L476" s="70"/>
      <c r="M476" s="70"/>
      <c r="N476" s="70"/>
      <c r="O476" s="40"/>
      <c r="P476" s="23"/>
      <c r="Q476" s="23"/>
      <c r="R476" s="72"/>
      <c r="S476" s="72"/>
      <c r="T476" s="23"/>
      <c r="U476" s="40"/>
      <c r="V476" s="23"/>
      <c r="W476" s="72"/>
      <c r="X476" s="23"/>
      <c r="Y476" s="40"/>
      <c r="Z476" s="23"/>
      <c r="AA476" s="72"/>
      <c r="AB476" s="23"/>
      <c r="AC476" s="40"/>
      <c r="AD476" s="23"/>
      <c r="AE476" s="23"/>
    </row>
    <row r="477" spans="1:31" ht="12.75">
      <c r="A477" s="23"/>
      <c r="B477" s="64"/>
      <c r="C477" s="62"/>
      <c r="D477" s="92"/>
      <c r="E477" s="65"/>
      <c r="F477" s="65"/>
      <c r="G477" s="67"/>
      <c r="H477" s="67"/>
      <c r="I477" s="71"/>
      <c r="J477" s="70"/>
      <c r="K477" s="23"/>
      <c r="L477" s="70"/>
      <c r="M477" s="70"/>
      <c r="N477" s="70"/>
      <c r="O477" s="40"/>
      <c r="P477" s="23"/>
      <c r="Q477" s="23"/>
      <c r="R477" s="72"/>
      <c r="S477" s="72"/>
      <c r="T477" s="23"/>
      <c r="U477" s="40"/>
      <c r="V477" s="23"/>
      <c r="W477" s="72"/>
      <c r="X477" s="23"/>
      <c r="Y477" s="40"/>
      <c r="Z477" s="23"/>
      <c r="AA477" s="72"/>
      <c r="AB477" s="23"/>
      <c r="AC477" s="40"/>
      <c r="AD477" s="23"/>
      <c r="AE477" s="23"/>
    </row>
    <row r="478" spans="1:31" ht="12.75">
      <c r="A478" s="23"/>
      <c r="B478" s="64"/>
      <c r="C478" s="62"/>
      <c r="D478" s="92"/>
      <c r="E478" s="65"/>
      <c r="F478" s="65"/>
      <c r="G478" s="67"/>
      <c r="H478" s="67"/>
      <c r="I478" s="71"/>
      <c r="J478" s="70"/>
      <c r="K478" s="23"/>
      <c r="L478" s="70"/>
      <c r="M478" s="70"/>
      <c r="N478" s="70"/>
      <c r="O478" s="40"/>
      <c r="P478" s="23"/>
      <c r="Q478" s="23"/>
      <c r="R478" s="72"/>
      <c r="S478" s="72"/>
      <c r="T478" s="23"/>
      <c r="U478" s="40"/>
      <c r="V478" s="23"/>
      <c r="W478" s="72"/>
      <c r="X478" s="23"/>
      <c r="Y478" s="40"/>
      <c r="Z478" s="23"/>
      <c r="AA478" s="72"/>
      <c r="AB478" s="23"/>
      <c r="AC478" s="40"/>
      <c r="AD478" s="23"/>
      <c r="AE478" s="23"/>
    </row>
    <row r="479" spans="1:31" ht="12.75">
      <c r="A479" s="23"/>
      <c r="B479" s="64"/>
      <c r="C479" s="62"/>
      <c r="D479" s="92"/>
      <c r="E479" s="65"/>
      <c r="F479" s="65"/>
      <c r="G479" s="67"/>
      <c r="H479" s="67"/>
      <c r="I479" s="71"/>
      <c r="J479" s="70"/>
      <c r="K479" s="23"/>
      <c r="L479" s="70"/>
      <c r="M479" s="70"/>
      <c r="N479" s="70"/>
      <c r="O479" s="40"/>
      <c r="P479" s="23"/>
      <c r="Q479" s="23"/>
      <c r="R479" s="72"/>
      <c r="S479" s="72"/>
      <c r="T479" s="23"/>
      <c r="U479" s="40"/>
      <c r="V479" s="23"/>
      <c r="W479" s="72"/>
      <c r="X479" s="23"/>
      <c r="Y479" s="40"/>
      <c r="Z479" s="23"/>
      <c r="AA479" s="72"/>
      <c r="AB479" s="23"/>
      <c r="AC479" s="40"/>
      <c r="AD479" s="23"/>
      <c r="AE479" s="23"/>
    </row>
    <row r="480" spans="1:31" ht="12.75">
      <c r="A480" s="23"/>
      <c r="B480" s="64"/>
      <c r="C480" s="62"/>
      <c r="D480" s="92"/>
      <c r="E480" s="65"/>
      <c r="F480" s="65"/>
      <c r="G480" s="67"/>
      <c r="H480" s="67"/>
      <c r="I480" s="71"/>
      <c r="J480" s="70"/>
      <c r="K480" s="23"/>
      <c r="L480" s="70"/>
      <c r="M480" s="70"/>
      <c r="N480" s="70"/>
      <c r="O480" s="40"/>
      <c r="P480" s="23"/>
      <c r="Q480" s="23"/>
      <c r="R480" s="72"/>
      <c r="S480" s="72"/>
      <c r="T480" s="23"/>
      <c r="U480" s="40"/>
      <c r="V480" s="23"/>
      <c r="W480" s="72"/>
      <c r="X480" s="23"/>
      <c r="Y480" s="40"/>
      <c r="Z480" s="23"/>
      <c r="AA480" s="72"/>
      <c r="AB480" s="23"/>
      <c r="AC480" s="40"/>
      <c r="AD480" s="23"/>
      <c r="AE480" s="23"/>
    </row>
    <row r="481" spans="1:31" ht="12.75">
      <c r="A481" s="23"/>
      <c r="B481" s="64"/>
      <c r="C481" s="62"/>
      <c r="D481" s="92"/>
      <c r="E481" s="65"/>
      <c r="F481" s="65"/>
      <c r="G481" s="67"/>
      <c r="H481" s="67"/>
      <c r="I481" s="71"/>
      <c r="J481" s="70"/>
      <c r="K481" s="23"/>
      <c r="L481" s="70"/>
      <c r="M481" s="70"/>
      <c r="N481" s="70"/>
      <c r="O481" s="40"/>
      <c r="P481" s="23"/>
      <c r="Q481" s="23"/>
      <c r="R481" s="72"/>
      <c r="S481" s="72"/>
      <c r="T481" s="23"/>
      <c r="U481" s="40"/>
      <c r="V481" s="23"/>
      <c r="W481" s="72"/>
      <c r="X481" s="23"/>
      <c r="Y481" s="40"/>
      <c r="Z481" s="23"/>
      <c r="AA481" s="72"/>
      <c r="AB481" s="23"/>
      <c r="AC481" s="40"/>
      <c r="AD481" s="23"/>
      <c r="AE481" s="23"/>
    </row>
    <row r="482" spans="1:31" ht="12.75">
      <c r="A482" s="23"/>
      <c r="B482" s="64"/>
      <c r="C482" s="62"/>
      <c r="D482" s="92"/>
      <c r="E482" s="65"/>
      <c r="F482" s="65"/>
      <c r="G482" s="67"/>
      <c r="H482" s="67"/>
      <c r="I482" s="71"/>
      <c r="J482" s="70"/>
      <c r="K482" s="23"/>
      <c r="L482" s="70"/>
      <c r="M482" s="70"/>
      <c r="N482" s="70"/>
      <c r="O482" s="40"/>
      <c r="P482" s="23"/>
      <c r="Q482" s="23"/>
      <c r="R482" s="72"/>
      <c r="S482" s="72"/>
      <c r="T482" s="23"/>
      <c r="U482" s="40"/>
      <c r="V482" s="23"/>
      <c r="W482" s="72"/>
      <c r="X482" s="23"/>
      <c r="Y482" s="40"/>
      <c r="Z482" s="23"/>
      <c r="AA482" s="72"/>
      <c r="AB482" s="23"/>
      <c r="AC482" s="40"/>
      <c r="AD482" s="23"/>
      <c r="AE482" s="23"/>
    </row>
    <row r="483" spans="1:31" ht="12.75">
      <c r="A483" s="23"/>
      <c r="B483" s="64"/>
      <c r="C483" s="62"/>
      <c r="D483" s="92"/>
      <c r="E483" s="65"/>
      <c r="F483" s="65"/>
      <c r="G483" s="67"/>
      <c r="H483" s="67"/>
      <c r="I483" s="71"/>
      <c r="J483" s="70"/>
      <c r="K483" s="23"/>
      <c r="L483" s="70"/>
      <c r="M483" s="70"/>
      <c r="N483" s="70"/>
      <c r="O483" s="40"/>
      <c r="P483" s="23"/>
      <c r="Q483" s="23"/>
      <c r="R483" s="72"/>
      <c r="S483" s="72"/>
      <c r="T483" s="23"/>
      <c r="U483" s="40"/>
      <c r="V483" s="23"/>
      <c r="W483" s="72"/>
      <c r="X483" s="23"/>
      <c r="Y483" s="40"/>
      <c r="Z483" s="23"/>
      <c r="AA483" s="72"/>
      <c r="AB483" s="23"/>
      <c r="AC483" s="40"/>
      <c r="AD483" s="23"/>
      <c r="AE483" s="23"/>
    </row>
    <row r="484" spans="1:31" ht="12.75">
      <c r="A484" s="23"/>
      <c r="B484" s="64"/>
      <c r="C484" s="62"/>
      <c r="D484" s="92"/>
      <c r="E484" s="65"/>
      <c r="F484" s="65"/>
      <c r="G484" s="67"/>
      <c r="H484" s="67"/>
      <c r="I484" s="71"/>
      <c r="J484" s="70"/>
      <c r="K484" s="23"/>
      <c r="L484" s="70"/>
      <c r="M484" s="70"/>
      <c r="N484" s="70"/>
      <c r="O484" s="40"/>
      <c r="P484" s="23"/>
      <c r="Q484" s="23"/>
      <c r="R484" s="72"/>
      <c r="S484" s="72"/>
      <c r="T484" s="23"/>
      <c r="U484" s="40"/>
      <c r="V484" s="23"/>
      <c r="W484" s="72"/>
      <c r="X484" s="23"/>
      <c r="Y484" s="40"/>
      <c r="Z484" s="23"/>
      <c r="AA484" s="72"/>
      <c r="AB484" s="23"/>
      <c r="AC484" s="40"/>
      <c r="AD484" s="23"/>
      <c r="AE484" s="23"/>
    </row>
    <row r="485" spans="1:31" ht="12.75">
      <c r="A485" s="23"/>
      <c r="B485" s="64"/>
      <c r="C485" s="62"/>
      <c r="D485" s="92"/>
      <c r="E485" s="65"/>
      <c r="F485" s="65"/>
      <c r="G485" s="67"/>
      <c r="H485" s="67"/>
      <c r="I485" s="71"/>
      <c r="J485" s="70"/>
      <c r="K485" s="23"/>
      <c r="L485" s="70"/>
      <c r="M485" s="70"/>
      <c r="N485" s="70"/>
      <c r="O485" s="40"/>
      <c r="P485" s="23"/>
      <c r="Q485" s="23"/>
      <c r="R485" s="72"/>
      <c r="S485" s="72"/>
      <c r="T485" s="23"/>
      <c r="U485" s="40"/>
      <c r="V485" s="23"/>
      <c r="W485" s="72"/>
      <c r="X485" s="23"/>
      <c r="Y485" s="40"/>
      <c r="Z485" s="23"/>
      <c r="AA485" s="72"/>
      <c r="AB485" s="23"/>
      <c r="AC485" s="40"/>
      <c r="AD485" s="23"/>
      <c r="AE485" s="23"/>
    </row>
    <row r="486" spans="1:31" ht="12.75">
      <c r="A486" s="23"/>
      <c r="B486" s="64"/>
      <c r="C486" s="62"/>
      <c r="D486" s="92"/>
      <c r="E486" s="65"/>
      <c r="F486" s="65"/>
      <c r="G486" s="67"/>
      <c r="H486" s="67"/>
      <c r="I486" s="71"/>
      <c r="J486" s="70"/>
      <c r="K486" s="23"/>
      <c r="L486" s="70"/>
      <c r="M486" s="70"/>
      <c r="N486" s="70"/>
      <c r="O486" s="40"/>
      <c r="P486" s="23"/>
      <c r="Q486" s="23"/>
      <c r="R486" s="72"/>
      <c r="S486" s="72"/>
      <c r="T486" s="23"/>
      <c r="U486" s="40"/>
      <c r="V486" s="23"/>
      <c r="W486" s="72"/>
      <c r="X486" s="23"/>
      <c r="Y486" s="40"/>
      <c r="Z486" s="23"/>
      <c r="AA486" s="72"/>
      <c r="AB486" s="23"/>
      <c r="AC486" s="40"/>
      <c r="AD486" s="23"/>
      <c r="AE486" s="23"/>
    </row>
    <row r="487" spans="1:31" ht="12.75">
      <c r="A487" s="23"/>
      <c r="B487" s="64"/>
      <c r="C487" s="62"/>
      <c r="D487" s="92"/>
      <c r="E487" s="65"/>
      <c r="F487" s="65"/>
      <c r="G487" s="67"/>
      <c r="H487" s="67"/>
      <c r="I487" s="71"/>
      <c r="J487" s="70"/>
      <c r="K487" s="23"/>
      <c r="L487" s="70"/>
      <c r="M487" s="70"/>
      <c r="N487" s="70"/>
      <c r="O487" s="40"/>
      <c r="P487" s="23"/>
      <c r="Q487" s="23"/>
      <c r="R487" s="72"/>
      <c r="S487" s="72"/>
      <c r="T487" s="23"/>
      <c r="U487" s="40"/>
      <c r="V487" s="23"/>
      <c r="W487" s="72"/>
      <c r="X487" s="23"/>
      <c r="Y487" s="40"/>
      <c r="Z487" s="23"/>
      <c r="AA487" s="72"/>
      <c r="AB487" s="23"/>
      <c r="AC487" s="40"/>
      <c r="AD487" s="23"/>
      <c r="AE487" s="23"/>
    </row>
    <row r="488" spans="1:31" ht="12.75">
      <c r="A488" s="23"/>
      <c r="B488" s="64"/>
      <c r="C488" s="62"/>
      <c r="D488" s="92"/>
      <c r="E488" s="65"/>
      <c r="F488" s="65"/>
      <c r="G488" s="67"/>
      <c r="H488" s="67"/>
      <c r="I488" s="71"/>
      <c r="J488" s="70"/>
      <c r="K488" s="23"/>
      <c r="L488" s="70"/>
      <c r="M488" s="70"/>
      <c r="N488" s="70"/>
      <c r="O488" s="40"/>
      <c r="P488" s="23"/>
      <c r="Q488" s="23"/>
      <c r="R488" s="72"/>
      <c r="S488" s="72"/>
      <c r="T488" s="23"/>
      <c r="U488" s="40"/>
      <c r="V488" s="23"/>
      <c r="W488" s="72"/>
      <c r="X488" s="23"/>
      <c r="Y488" s="40"/>
      <c r="Z488" s="23"/>
      <c r="AA488" s="72"/>
      <c r="AB488" s="23"/>
      <c r="AC488" s="40"/>
      <c r="AD488" s="23"/>
      <c r="AE488" s="23"/>
    </row>
    <row r="489" spans="1:31" ht="12.75">
      <c r="A489" s="23"/>
      <c r="B489" s="64"/>
      <c r="C489" s="62"/>
      <c r="D489" s="92"/>
      <c r="E489" s="65"/>
      <c r="F489" s="65"/>
      <c r="G489" s="67"/>
      <c r="H489" s="67"/>
      <c r="I489" s="71"/>
      <c r="J489" s="70"/>
      <c r="K489" s="23"/>
      <c r="L489" s="70"/>
      <c r="M489" s="70"/>
      <c r="N489" s="70"/>
      <c r="O489" s="40"/>
      <c r="P489" s="23"/>
      <c r="Q489" s="23"/>
      <c r="R489" s="72"/>
      <c r="S489" s="72"/>
      <c r="T489" s="23"/>
      <c r="U489" s="40"/>
      <c r="V489" s="23"/>
      <c r="W489" s="72"/>
      <c r="X489" s="23"/>
      <c r="Y489" s="40"/>
      <c r="Z489" s="23"/>
      <c r="AA489" s="72"/>
      <c r="AB489" s="23"/>
      <c r="AC489" s="40"/>
      <c r="AD489" s="23"/>
      <c r="AE489" s="23"/>
    </row>
    <row r="490" spans="1:31" ht="12.75">
      <c r="A490" s="23"/>
      <c r="B490" s="64"/>
      <c r="C490" s="62"/>
      <c r="D490" s="92"/>
      <c r="E490" s="65"/>
      <c r="F490" s="65"/>
      <c r="G490" s="67"/>
      <c r="H490" s="67"/>
      <c r="I490" s="71"/>
      <c r="J490" s="70"/>
      <c r="K490" s="23"/>
      <c r="L490" s="70"/>
      <c r="M490" s="70"/>
      <c r="N490" s="70"/>
      <c r="O490" s="40"/>
      <c r="P490" s="23"/>
      <c r="Q490" s="23"/>
      <c r="R490" s="72"/>
      <c r="S490" s="72"/>
      <c r="T490" s="23"/>
      <c r="U490" s="40"/>
      <c r="V490" s="23"/>
      <c r="W490" s="72"/>
      <c r="X490" s="23"/>
      <c r="Y490" s="40"/>
      <c r="Z490" s="23"/>
      <c r="AA490" s="72"/>
      <c r="AB490" s="23"/>
      <c r="AC490" s="40"/>
      <c r="AD490" s="23"/>
      <c r="AE490" s="23"/>
    </row>
    <row r="491" spans="1:31" ht="12.75">
      <c r="A491" s="23"/>
      <c r="B491" s="64"/>
      <c r="C491" s="62"/>
      <c r="D491" s="92"/>
      <c r="E491" s="65"/>
      <c r="F491" s="65"/>
      <c r="G491" s="67"/>
      <c r="H491" s="67"/>
      <c r="I491" s="71"/>
      <c r="J491" s="70"/>
      <c r="K491" s="23"/>
      <c r="L491" s="70"/>
      <c r="M491" s="70"/>
      <c r="N491" s="70"/>
      <c r="O491" s="40"/>
      <c r="P491" s="23"/>
      <c r="Q491" s="23"/>
      <c r="R491" s="72"/>
      <c r="S491" s="72"/>
      <c r="T491" s="23"/>
      <c r="U491" s="40"/>
      <c r="V491" s="23"/>
      <c r="W491" s="72"/>
      <c r="X491" s="23"/>
      <c r="Y491" s="40"/>
      <c r="Z491" s="23"/>
      <c r="AA491" s="72"/>
      <c r="AB491" s="23"/>
      <c r="AC491" s="40"/>
      <c r="AD491" s="23"/>
      <c r="AE491" s="23"/>
    </row>
    <row r="492" spans="1:31" ht="12.75">
      <c r="A492" s="23"/>
      <c r="B492" s="64"/>
      <c r="C492" s="62"/>
      <c r="D492" s="92"/>
      <c r="E492" s="65"/>
      <c r="F492" s="65"/>
      <c r="G492" s="67"/>
      <c r="H492" s="67"/>
      <c r="I492" s="71"/>
      <c r="J492" s="70"/>
      <c r="K492" s="23"/>
      <c r="L492" s="70"/>
      <c r="M492" s="70"/>
      <c r="N492" s="70"/>
      <c r="O492" s="40"/>
      <c r="P492" s="23"/>
      <c r="Q492" s="23"/>
      <c r="R492" s="72"/>
      <c r="S492" s="72"/>
      <c r="T492" s="23"/>
      <c r="U492" s="40"/>
      <c r="V492" s="23"/>
      <c r="W492" s="72"/>
      <c r="X492" s="23"/>
      <c r="Y492" s="40"/>
      <c r="Z492" s="23"/>
      <c r="AA492" s="72"/>
      <c r="AB492" s="23"/>
      <c r="AC492" s="40"/>
      <c r="AD492" s="23"/>
      <c r="AE492" s="23"/>
    </row>
    <row r="493" spans="1:31" ht="12.75">
      <c r="A493" s="23"/>
      <c r="B493" s="64"/>
      <c r="C493" s="62"/>
      <c r="D493" s="92"/>
      <c r="E493" s="65"/>
      <c r="F493" s="65"/>
      <c r="G493" s="67"/>
      <c r="H493" s="67"/>
      <c r="I493" s="71"/>
      <c r="J493" s="70"/>
      <c r="K493" s="23"/>
      <c r="L493" s="70"/>
      <c r="M493" s="70"/>
      <c r="N493" s="70"/>
      <c r="O493" s="40"/>
      <c r="P493" s="23"/>
      <c r="Q493" s="23"/>
      <c r="R493" s="72"/>
      <c r="S493" s="72"/>
      <c r="T493" s="23"/>
      <c r="U493" s="40"/>
      <c r="V493" s="23"/>
      <c r="W493" s="72"/>
      <c r="X493" s="23"/>
      <c r="Y493" s="40"/>
      <c r="Z493" s="23"/>
      <c r="AA493" s="72"/>
      <c r="AB493" s="23"/>
      <c r="AC493" s="40"/>
      <c r="AD493" s="23"/>
      <c r="AE493" s="23"/>
    </row>
    <row r="494" spans="1:31" ht="12.75">
      <c r="A494" s="23"/>
      <c r="B494" s="64"/>
      <c r="C494" s="62"/>
      <c r="D494" s="92"/>
      <c r="E494" s="65"/>
      <c r="F494" s="65"/>
      <c r="G494" s="67"/>
      <c r="H494" s="67"/>
      <c r="I494" s="71"/>
      <c r="J494" s="70"/>
      <c r="K494" s="23"/>
      <c r="L494" s="70"/>
      <c r="M494" s="70"/>
      <c r="N494" s="70"/>
      <c r="O494" s="40"/>
      <c r="P494" s="23"/>
      <c r="Q494" s="23"/>
      <c r="R494" s="72"/>
      <c r="S494" s="72"/>
      <c r="T494" s="23"/>
      <c r="U494" s="40"/>
      <c r="V494" s="23"/>
      <c r="W494" s="72"/>
      <c r="X494" s="23"/>
      <c r="Y494" s="40"/>
      <c r="Z494" s="23"/>
      <c r="AA494" s="72"/>
      <c r="AB494" s="23"/>
      <c r="AC494" s="40"/>
      <c r="AD494" s="23"/>
      <c r="AE494" s="23"/>
    </row>
    <row r="495" spans="1:31" ht="12.75">
      <c r="A495" s="23"/>
      <c r="B495" s="64"/>
      <c r="C495" s="62"/>
      <c r="D495" s="92"/>
      <c r="E495" s="65"/>
      <c r="F495" s="65"/>
      <c r="G495" s="67"/>
      <c r="H495" s="67"/>
      <c r="I495" s="71"/>
      <c r="J495" s="70"/>
      <c r="K495" s="23"/>
      <c r="L495" s="70"/>
      <c r="M495" s="70"/>
      <c r="N495" s="70"/>
      <c r="O495" s="40"/>
      <c r="P495" s="23"/>
      <c r="Q495" s="23"/>
      <c r="R495" s="72"/>
      <c r="S495" s="72"/>
      <c r="T495" s="23"/>
      <c r="U495" s="40"/>
      <c r="V495" s="23"/>
      <c r="W495" s="72"/>
      <c r="X495" s="23"/>
      <c r="Y495" s="40"/>
      <c r="Z495" s="23"/>
      <c r="AA495" s="72"/>
      <c r="AB495" s="23"/>
      <c r="AC495" s="40"/>
      <c r="AD495" s="23"/>
      <c r="AE495" s="23"/>
    </row>
    <row r="496" spans="1:31" ht="12.75">
      <c r="A496" s="23"/>
      <c r="B496" s="64"/>
      <c r="C496" s="62"/>
      <c r="D496" s="92"/>
      <c r="E496" s="65"/>
      <c r="F496" s="65"/>
      <c r="G496" s="67"/>
      <c r="H496" s="67"/>
      <c r="I496" s="71"/>
      <c r="J496" s="70"/>
      <c r="K496" s="23"/>
      <c r="L496" s="70"/>
      <c r="M496" s="70"/>
      <c r="N496" s="70"/>
      <c r="O496" s="40"/>
      <c r="P496" s="23"/>
      <c r="Q496" s="23"/>
      <c r="R496" s="72"/>
      <c r="S496" s="72"/>
      <c r="T496" s="23"/>
      <c r="U496" s="40"/>
      <c r="V496" s="23"/>
      <c r="W496" s="72"/>
      <c r="X496" s="23"/>
      <c r="Y496" s="40"/>
      <c r="Z496" s="23"/>
      <c r="AA496" s="72"/>
      <c r="AB496" s="23"/>
      <c r="AC496" s="40"/>
      <c r="AD496" s="23"/>
      <c r="AE496" s="23"/>
    </row>
    <row r="497" spans="1:31" ht="39" customHeight="1">
      <c r="A497" s="23"/>
      <c r="B497" s="64"/>
      <c r="C497" s="62"/>
      <c r="D497" s="92"/>
      <c r="E497" s="65"/>
      <c r="F497" s="65"/>
      <c r="G497" s="67"/>
      <c r="H497" s="67"/>
      <c r="I497" s="71"/>
      <c r="J497" s="70"/>
      <c r="K497" s="23"/>
      <c r="L497" s="70"/>
      <c r="M497" s="70"/>
      <c r="N497" s="70"/>
      <c r="O497" s="40"/>
      <c r="P497" s="23"/>
      <c r="Q497" s="23"/>
      <c r="R497" s="72"/>
      <c r="S497" s="72"/>
      <c r="T497" s="23"/>
      <c r="U497" s="40"/>
      <c r="V497" s="23"/>
      <c r="W497" s="72"/>
      <c r="X497" s="23"/>
      <c r="Y497" s="40"/>
      <c r="Z497" s="23"/>
      <c r="AA497" s="72"/>
      <c r="AB497" s="23"/>
      <c r="AC497" s="40"/>
      <c r="AD497" s="23"/>
      <c r="AE497" s="23"/>
    </row>
    <row r="498" spans="1:31" ht="39" customHeight="1">
      <c r="A498" s="23"/>
      <c r="B498" s="64"/>
      <c r="C498" s="62"/>
      <c r="D498" s="92"/>
      <c r="E498" s="65"/>
      <c r="F498" s="65"/>
      <c r="G498" s="67"/>
      <c r="H498" s="67"/>
      <c r="I498" s="71"/>
      <c r="J498" s="70"/>
      <c r="K498" s="23"/>
      <c r="L498" s="70"/>
      <c r="M498" s="70"/>
      <c r="N498" s="70"/>
      <c r="O498" s="40"/>
      <c r="P498" s="23"/>
      <c r="Q498" s="23"/>
      <c r="R498" s="72"/>
      <c r="S498" s="72"/>
      <c r="T498" s="23"/>
      <c r="U498" s="40"/>
      <c r="V498" s="23"/>
      <c r="W498" s="72"/>
      <c r="X498" s="23"/>
      <c r="Y498" s="40"/>
      <c r="Z498" s="23"/>
      <c r="AA498" s="72"/>
      <c r="AB498" s="23"/>
      <c r="AC498" s="40"/>
      <c r="AD498" s="23"/>
      <c r="AE498" s="23"/>
    </row>
    <row r="499" spans="1:31" ht="39" customHeight="1">
      <c r="A499" s="23"/>
      <c r="B499" s="64"/>
      <c r="C499" s="62"/>
      <c r="D499" s="92"/>
      <c r="E499" s="65"/>
      <c r="F499" s="65"/>
      <c r="G499" s="67"/>
      <c r="H499" s="67"/>
      <c r="I499" s="71"/>
      <c r="J499" s="70"/>
      <c r="K499" s="23"/>
      <c r="L499" s="70"/>
      <c r="M499" s="70"/>
      <c r="N499" s="70"/>
      <c r="O499" s="40"/>
      <c r="P499" s="23"/>
      <c r="Q499" s="23"/>
      <c r="R499" s="72"/>
      <c r="S499" s="72"/>
      <c r="T499" s="23"/>
      <c r="U499" s="40"/>
      <c r="V499" s="23"/>
      <c r="W499" s="72"/>
      <c r="X499" s="23"/>
      <c r="Y499" s="40"/>
      <c r="Z499" s="23"/>
      <c r="AA499" s="72"/>
      <c r="AB499" s="23"/>
      <c r="AC499" s="40"/>
      <c r="AD499" s="23"/>
      <c r="AE499" s="23"/>
    </row>
    <row r="500" spans="1:31" ht="12.75">
      <c r="A500" s="23"/>
      <c r="B500" s="64"/>
      <c r="C500" s="62"/>
      <c r="D500" s="92"/>
      <c r="E500" s="65"/>
      <c r="F500" s="65"/>
      <c r="G500" s="67"/>
      <c r="H500" s="67"/>
      <c r="I500" s="71"/>
      <c r="J500" s="70"/>
      <c r="K500" s="23"/>
      <c r="L500" s="70"/>
      <c r="M500" s="70"/>
      <c r="N500" s="70"/>
      <c r="O500" s="40"/>
      <c r="P500" s="23"/>
      <c r="Q500" s="23"/>
      <c r="R500" s="72"/>
      <c r="S500" s="72"/>
      <c r="T500" s="23"/>
      <c r="U500" s="40"/>
      <c r="V500" s="23"/>
      <c r="W500" s="72"/>
      <c r="X500" s="23"/>
      <c r="Y500" s="40"/>
      <c r="Z500" s="23"/>
      <c r="AA500" s="72"/>
      <c r="AB500" s="23"/>
      <c r="AC500" s="40"/>
      <c r="AD500" s="23"/>
      <c r="AE500" s="23"/>
    </row>
    <row r="501" spans="1:31" ht="12.75">
      <c r="A501" s="23"/>
      <c r="B501" s="64"/>
      <c r="C501" s="62"/>
      <c r="D501" s="92"/>
      <c r="E501" s="65"/>
      <c r="F501" s="65"/>
      <c r="G501" s="67"/>
      <c r="H501" s="67"/>
      <c r="I501" s="71"/>
      <c r="J501" s="70"/>
      <c r="K501" s="23"/>
      <c r="L501" s="70"/>
      <c r="M501" s="70"/>
      <c r="N501" s="70"/>
      <c r="O501" s="40"/>
      <c r="P501" s="23"/>
      <c r="Q501" s="23"/>
      <c r="R501" s="72"/>
      <c r="S501" s="72"/>
      <c r="T501" s="23"/>
      <c r="U501" s="40"/>
      <c r="V501" s="23"/>
      <c r="W501" s="72"/>
      <c r="X501" s="23"/>
      <c r="Y501" s="40"/>
      <c r="Z501" s="23"/>
      <c r="AA501" s="72"/>
      <c r="AB501" s="23"/>
      <c r="AC501" s="40"/>
      <c r="AD501" s="23"/>
      <c r="AE501" s="23"/>
    </row>
    <row r="502" spans="1:31" ht="12.75">
      <c r="A502" s="23"/>
      <c r="B502" s="64"/>
      <c r="C502" s="62"/>
      <c r="D502" s="92"/>
      <c r="E502" s="65"/>
      <c r="F502" s="65"/>
      <c r="G502" s="67"/>
      <c r="H502" s="67"/>
      <c r="I502" s="71"/>
      <c r="J502" s="70"/>
      <c r="K502" s="23"/>
      <c r="L502" s="70"/>
      <c r="M502" s="70"/>
      <c r="N502" s="70"/>
      <c r="O502" s="40"/>
      <c r="P502" s="23"/>
      <c r="Q502" s="23"/>
      <c r="R502" s="72"/>
      <c r="S502" s="72"/>
      <c r="T502" s="23"/>
      <c r="U502" s="40"/>
      <c r="V502" s="23"/>
      <c r="W502" s="72"/>
      <c r="X502" s="23"/>
      <c r="Y502" s="40"/>
      <c r="Z502" s="23"/>
      <c r="AA502" s="72"/>
      <c r="AB502" s="23"/>
      <c r="AC502" s="40"/>
      <c r="AD502" s="23"/>
      <c r="AE502" s="23"/>
    </row>
    <row r="503" spans="1:31" ht="12.75">
      <c r="A503" s="23"/>
      <c r="B503" s="64"/>
      <c r="C503" s="62"/>
      <c r="D503" s="92"/>
      <c r="E503" s="65"/>
      <c r="F503" s="65"/>
      <c r="G503" s="67"/>
      <c r="H503" s="67"/>
      <c r="I503" s="71"/>
      <c r="J503" s="70"/>
      <c r="K503" s="23"/>
      <c r="L503" s="70"/>
      <c r="M503" s="70"/>
      <c r="N503" s="70"/>
      <c r="O503" s="40"/>
      <c r="P503" s="23"/>
      <c r="Q503" s="23"/>
      <c r="R503" s="72"/>
      <c r="S503" s="72"/>
      <c r="T503" s="23"/>
      <c r="U503" s="40"/>
      <c r="V503" s="23"/>
      <c r="W503" s="72"/>
      <c r="X503" s="23"/>
      <c r="Y503" s="40"/>
      <c r="Z503" s="23"/>
      <c r="AA503" s="72"/>
      <c r="AB503" s="23"/>
      <c r="AC503" s="40"/>
      <c r="AD503" s="23"/>
      <c r="AE503" s="23"/>
    </row>
    <row r="504" spans="1:31" ht="12.75">
      <c r="A504" s="23"/>
      <c r="B504" s="64"/>
      <c r="C504" s="62"/>
      <c r="D504" s="92"/>
      <c r="E504" s="65"/>
      <c r="F504" s="65"/>
      <c r="G504" s="67"/>
      <c r="H504" s="67"/>
      <c r="I504" s="71"/>
      <c r="J504" s="70"/>
      <c r="K504" s="23"/>
      <c r="L504" s="70"/>
      <c r="M504" s="70"/>
      <c r="N504" s="70"/>
      <c r="O504" s="40"/>
      <c r="P504" s="23"/>
      <c r="Q504" s="23"/>
      <c r="R504" s="72"/>
      <c r="S504" s="72"/>
      <c r="T504" s="23"/>
      <c r="U504" s="40"/>
      <c r="V504" s="23"/>
      <c r="W504" s="72"/>
      <c r="X504" s="23"/>
      <c r="Y504" s="40"/>
      <c r="Z504" s="23"/>
      <c r="AA504" s="72"/>
      <c r="AB504" s="23"/>
      <c r="AC504" s="40"/>
      <c r="AD504" s="23"/>
      <c r="AE504" s="23"/>
    </row>
    <row r="505" spans="1:31" ht="12.75">
      <c r="A505" s="23"/>
      <c r="B505" s="64"/>
      <c r="C505" s="62"/>
      <c r="D505" s="92"/>
      <c r="E505" s="65"/>
      <c r="F505" s="65"/>
      <c r="G505" s="67"/>
      <c r="H505" s="67"/>
      <c r="I505" s="71"/>
      <c r="J505" s="70"/>
      <c r="K505" s="23"/>
      <c r="L505" s="70"/>
      <c r="M505" s="70"/>
      <c r="N505" s="70"/>
      <c r="O505" s="40"/>
      <c r="P505" s="23"/>
      <c r="Q505" s="23"/>
      <c r="R505" s="72"/>
      <c r="S505" s="72"/>
      <c r="T505" s="23"/>
      <c r="U505" s="40"/>
      <c r="V505" s="23"/>
      <c r="W505" s="72"/>
      <c r="X505" s="23"/>
      <c r="Y505" s="40"/>
      <c r="Z505" s="23"/>
      <c r="AA505" s="72"/>
      <c r="AB505" s="23"/>
      <c r="AC505" s="40"/>
      <c r="AD505" s="23"/>
      <c r="AE505" s="23"/>
    </row>
    <row r="506" spans="1:31" ht="12.75">
      <c r="A506" s="23"/>
      <c r="B506" s="64"/>
      <c r="C506" s="62"/>
      <c r="D506" s="92"/>
      <c r="E506" s="65"/>
      <c r="F506" s="65"/>
      <c r="G506" s="67"/>
      <c r="H506" s="67"/>
      <c r="I506" s="71"/>
      <c r="J506" s="70"/>
      <c r="K506" s="23"/>
      <c r="L506" s="70"/>
      <c r="M506" s="70"/>
      <c r="N506" s="70"/>
      <c r="O506" s="40"/>
      <c r="P506" s="23"/>
      <c r="Q506" s="23"/>
      <c r="R506" s="72"/>
      <c r="S506" s="72"/>
      <c r="T506" s="23"/>
      <c r="U506" s="40"/>
      <c r="V506" s="23"/>
      <c r="W506" s="72"/>
      <c r="X506" s="23"/>
      <c r="Y506" s="40"/>
      <c r="Z506" s="23"/>
      <c r="AA506" s="72"/>
      <c r="AB506" s="23"/>
      <c r="AC506" s="40"/>
      <c r="AD506" s="23"/>
      <c r="AE506" s="23"/>
    </row>
    <row r="507" spans="1:31" ht="12.75">
      <c r="A507" s="23"/>
      <c r="B507" s="64"/>
      <c r="C507" s="62"/>
      <c r="D507" s="92"/>
      <c r="E507" s="65"/>
      <c r="F507" s="65"/>
      <c r="G507" s="67"/>
      <c r="H507" s="67"/>
      <c r="I507" s="71"/>
      <c r="J507" s="70"/>
      <c r="K507" s="23"/>
      <c r="L507" s="70"/>
      <c r="M507" s="70"/>
      <c r="N507" s="70"/>
      <c r="O507" s="40"/>
      <c r="P507" s="23"/>
      <c r="Q507" s="23"/>
      <c r="R507" s="72"/>
      <c r="S507" s="72"/>
      <c r="T507" s="23"/>
      <c r="U507" s="40"/>
      <c r="V507" s="23"/>
      <c r="W507" s="72"/>
      <c r="X507" s="23"/>
      <c r="Y507" s="40"/>
      <c r="Z507" s="23"/>
      <c r="AA507" s="72"/>
      <c r="AB507" s="23"/>
      <c r="AC507" s="40"/>
      <c r="AD507" s="23"/>
      <c r="AE507" s="23"/>
    </row>
    <row r="508" spans="1:31" ht="12.75">
      <c r="A508" s="23"/>
      <c r="B508" s="64"/>
      <c r="C508" s="62"/>
      <c r="D508" s="92"/>
      <c r="E508" s="65"/>
      <c r="F508" s="65"/>
      <c r="G508" s="67"/>
      <c r="H508" s="67"/>
      <c r="I508" s="71"/>
      <c r="J508" s="70"/>
      <c r="K508" s="23"/>
      <c r="L508" s="70"/>
      <c r="M508" s="70"/>
      <c r="N508" s="70"/>
      <c r="O508" s="40"/>
      <c r="P508" s="23"/>
      <c r="Q508" s="23"/>
      <c r="R508" s="72"/>
      <c r="S508" s="72"/>
      <c r="T508" s="23"/>
      <c r="U508" s="40"/>
      <c r="V508" s="23"/>
      <c r="W508" s="72"/>
      <c r="X508" s="23"/>
      <c r="Y508" s="40"/>
      <c r="Z508" s="23"/>
      <c r="AA508" s="72"/>
      <c r="AB508" s="23"/>
      <c r="AC508" s="40"/>
      <c r="AD508" s="23"/>
      <c r="AE508" s="23"/>
    </row>
    <row r="509" spans="1:31" ht="12.75">
      <c r="A509" s="23"/>
      <c r="B509" s="64"/>
      <c r="C509" s="62"/>
      <c r="D509" s="92"/>
      <c r="E509" s="65"/>
      <c r="F509" s="65"/>
      <c r="G509" s="67"/>
      <c r="H509" s="67"/>
      <c r="I509" s="71"/>
      <c r="J509" s="70"/>
      <c r="K509" s="23"/>
      <c r="L509" s="70"/>
      <c r="M509" s="70"/>
      <c r="N509" s="70"/>
      <c r="O509" s="40"/>
      <c r="P509" s="23"/>
      <c r="Q509" s="23"/>
      <c r="R509" s="72"/>
      <c r="S509" s="72"/>
      <c r="T509" s="23"/>
      <c r="U509" s="40"/>
      <c r="V509" s="23"/>
      <c r="W509" s="72"/>
      <c r="X509" s="23"/>
      <c r="Y509" s="40"/>
      <c r="Z509" s="23"/>
      <c r="AA509" s="72"/>
      <c r="AB509" s="23"/>
      <c r="AC509" s="40"/>
      <c r="AD509" s="23"/>
      <c r="AE509" s="23"/>
    </row>
    <row r="510" spans="1:31" ht="12.75">
      <c r="A510" s="23"/>
      <c r="B510" s="64"/>
      <c r="C510" s="62"/>
      <c r="D510" s="92"/>
      <c r="E510" s="65"/>
      <c r="F510" s="65"/>
      <c r="G510" s="67"/>
      <c r="H510" s="67"/>
      <c r="I510" s="71"/>
      <c r="J510" s="70"/>
      <c r="K510" s="23"/>
      <c r="L510" s="70"/>
      <c r="M510" s="70"/>
      <c r="N510" s="70"/>
      <c r="O510" s="40"/>
      <c r="P510" s="23"/>
      <c r="Q510" s="23"/>
      <c r="R510" s="72"/>
      <c r="S510" s="72"/>
      <c r="T510" s="23"/>
      <c r="U510" s="40"/>
      <c r="V510" s="23"/>
      <c r="W510" s="72"/>
      <c r="X510" s="23"/>
      <c r="Y510" s="40"/>
      <c r="Z510" s="23"/>
      <c r="AA510" s="72"/>
      <c r="AB510" s="23"/>
      <c r="AC510" s="40"/>
      <c r="AD510" s="23"/>
      <c r="AE510" s="23"/>
    </row>
    <row r="511" spans="1:31" ht="12.75">
      <c r="A511" s="23"/>
      <c r="B511" s="64"/>
      <c r="C511" s="62"/>
      <c r="D511" s="92"/>
      <c r="E511" s="65"/>
      <c r="F511" s="65"/>
      <c r="G511" s="67"/>
      <c r="H511" s="67"/>
      <c r="I511" s="71"/>
      <c r="J511" s="70"/>
      <c r="K511" s="23"/>
      <c r="L511" s="70"/>
      <c r="M511" s="70"/>
      <c r="N511" s="70"/>
      <c r="O511" s="40"/>
      <c r="P511" s="23"/>
      <c r="Q511" s="23"/>
      <c r="R511" s="72"/>
      <c r="S511" s="72"/>
      <c r="T511" s="23"/>
      <c r="U511" s="40"/>
      <c r="V511" s="23"/>
      <c r="W511" s="72"/>
      <c r="X511" s="23"/>
      <c r="Y511" s="40"/>
      <c r="Z511" s="23"/>
      <c r="AA511" s="72"/>
      <c r="AB511" s="23"/>
      <c r="AC511" s="40"/>
      <c r="AD511" s="23"/>
      <c r="AE511" s="23"/>
    </row>
    <row r="512" spans="1:31" ht="12.75">
      <c r="A512" s="23"/>
      <c r="B512" s="64"/>
      <c r="C512" s="62"/>
      <c r="D512" s="92"/>
      <c r="E512" s="65"/>
      <c r="F512" s="65"/>
      <c r="G512" s="67"/>
      <c r="H512" s="67"/>
      <c r="I512" s="71"/>
      <c r="J512" s="70"/>
      <c r="K512" s="23"/>
      <c r="L512" s="70"/>
      <c r="M512" s="70"/>
      <c r="N512" s="70"/>
      <c r="O512" s="40"/>
      <c r="P512" s="23"/>
      <c r="Q512" s="23"/>
      <c r="R512" s="72"/>
      <c r="S512" s="72"/>
      <c r="T512" s="23"/>
      <c r="U512" s="40"/>
      <c r="V512" s="23"/>
      <c r="W512" s="72"/>
      <c r="X512" s="23"/>
      <c r="Y512" s="40"/>
      <c r="Z512" s="23"/>
      <c r="AA512" s="72"/>
      <c r="AB512" s="23"/>
      <c r="AC512" s="40"/>
      <c r="AD512" s="23"/>
      <c r="AE512" s="23"/>
    </row>
    <row r="513" spans="1:32" ht="12.75">
      <c r="A513" s="23"/>
      <c r="B513" s="64"/>
      <c r="C513" s="62"/>
      <c r="D513" s="92"/>
      <c r="E513" s="65"/>
      <c r="F513" s="65"/>
      <c r="G513" s="67"/>
      <c r="H513" s="67"/>
      <c r="I513" s="71"/>
      <c r="J513" s="70"/>
      <c r="K513" s="23"/>
      <c r="L513" s="70"/>
      <c r="M513" s="70"/>
      <c r="N513" s="70"/>
      <c r="O513" s="40"/>
      <c r="P513" s="23"/>
      <c r="Q513" s="23"/>
      <c r="R513" s="72"/>
      <c r="S513" s="72"/>
      <c r="T513" s="23"/>
      <c r="U513" s="40"/>
      <c r="V513" s="23"/>
      <c r="W513" s="72"/>
      <c r="X513" s="23"/>
      <c r="Y513" s="40"/>
      <c r="Z513" s="23"/>
      <c r="AA513" s="72"/>
      <c r="AB513" s="23"/>
      <c r="AC513" s="40"/>
      <c r="AD513" s="23"/>
      <c r="AE513" s="23"/>
    </row>
    <row r="514" spans="1:32" s="23" customFormat="1" ht="12.75">
      <c r="B514" s="64"/>
      <c r="C514" s="62"/>
      <c r="D514" s="92"/>
      <c r="E514" s="65"/>
      <c r="F514" s="65"/>
      <c r="G514" s="67"/>
      <c r="H514" s="67"/>
      <c r="I514" s="71"/>
      <c r="J514" s="70"/>
      <c r="L514" s="70"/>
      <c r="M514" s="70"/>
      <c r="N514" s="70"/>
      <c r="O514" s="40"/>
      <c r="R514" s="72"/>
      <c r="S514" s="72"/>
      <c r="U514" s="40"/>
      <c r="W514" s="72"/>
      <c r="Y514" s="40"/>
      <c r="AA514" s="72"/>
      <c r="AC514" s="40"/>
      <c r="AF514" s="93"/>
    </row>
    <row r="515" spans="1:32" s="23" customFormat="1" ht="12.75">
      <c r="B515" s="64"/>
      <c r="C515" s="62"/>
      <c r="D515" s="92"/>
      <c r="E515" s="65"/>
      <c r="F515" s="65"/>
      <c r="G515" s="67"/>
      <c r="H515" s="67"/>
      <c r="I515" s="71"/>
      <c r="J515" s="70"/>
      <c r="L515" s="70"/>
      <c r="M515" s="70"/>
      <c r="N515" s="70"/>
      <c r="O515" s="40"/>
      <c r="R515" s="72"/>
      <c r="S515" s="72"/>
      <c r="U515" s="40"/>
      <c r="W515" s="72"/>
      <c r="Y515" s="40"/>
      <c r="AA515" s="72"/>
      <c r="AC515" s="40"/>
      <c r="AF515" s="93"/>
    </row>
    <row r="516" spans="1:32" s="23" customFormat="1" ht="12.75">
      <c r="B516" s="64"/>
      <c r="C516" s="62"/>
      <c r="D516" s="92"/>
      <c r="E516" s="65"/>
      <c r="F516" s="65"/>
      <c r="G516" s="67"/>
      <c r="H516" s="67"/>
      <c r="I516" s="71"/>
      <c r="J516" s="70"/>
      <c r="L516" s="70"/>
      <c r="M516" s="70"/>
      <c r="O516" s="40"/>
      <c r="R516" s="72"/>
      <c r="S516" s="72"/>
      <c r="U516" s="40"/>
      <c r="W516" s="72"/>
      <c r="Y516" s="40"/>
      <c r="AA516" s="72"/>
      <c r="AC516" s="40"/>
      <c r="AF516" s="93"/>
    </row>
    <row r="517" spans="1:32" s="23" customFormat="1" ht="12.75">
      <c r="B517" s="64"/>
      <c r="C517" s="62"/>
      <c r="D517" s="92"/>
      <c r="E517" s="65"/>
      <c r="F517" s="65"/>
      <c r="G517" s="67"/>
      <c r="H517" s="67"/>
      <c r="I517" s="71"/>
      <c r="J517" s="70"/>
      <c r="L517" s="70"/>
      <c r="M517" s="70"/>
      <c r="N517" s="70"/>
      <c r="O517" s="40"/>
      <c r="R517" s="72"/>
      <c r="S517" s="72"/>
      <c r="U517" s="40"/>
      <c r="W517" s="72"/>
      <c r="Y517" s="40"/>
      <c r="AA517" s="72"/>
      <c r="AC517" s="40"/>
      <c r="AF517" s="93"/>
    </row>
    <row r="518" spans="1:32" s="23" customFormat="1" ht="12.75">
      <c r="B518" s="64"/>
      <c r="C518" s="62"/>
      <c r="D518" s="92"/>
      <c r="E518" s="65"/>
      <c r="F518" s="65"/>
      <c r="G518" s="67"/>
      <c r="H518" s="67"/>
      <c r="I518" s="71"/>
      <c r="J518" s="70"/>
      <c r="L518" s="70"/>
      <c r="M518" s="70"/>
      <c r="N518" s="70"/>
      <c r="O518" s="40"/>
      <c r="R518" s="72"/>
      <c r="S518" s="72"/>
      <c r="U518" s="40"/>
      <c r="W518" s="72"/>
      <c r="Y518" s="40"/>
      <c r="AA518" s="72"/>
      <c r="AC518" s="40"/>
      <c r="AF518" s="93"/>
    </row>
    <row r="519" spans="1:32" s="23" customFormat="1" ht="12.75">
      <c r="B519" s="64"/>
      <c r="C519" s="62"/>
      <c r="D519" s="92"/>
      <c r="E519" s="65"/>
      <c r="F519" s="65"/>
      <c r="G519" s="67"/>
      <c r="H519" s="67"/>
      <c r="I519" s="71"/>
      <c r="J519" s="70"/>
      <c r="L519" s="70"/>
      <c r="M519" s="70"/>
      <c r="N519" s="70"/>
      <c r="O519" s="40"/>
      <c r="R519" s="72"/>
      <c r="S519" s="72"/>
      <c r="U519" s="40"/>
      <c r="W519" s="72"/>
      <c r="Y519" s="40"/>
      <c r="AA519" s="72"/>
      <c r="AC519" s="40"/>
      <c r="AF519" s="93"/>
    </row>
    <row r="520" spans="1:32" s="23" customFormat="1" ht="12.75">
      <c r="B520" s="64"/>
      <c r="C520" s="62"/>
      <c r="D520" s="92"/>
      <c r="E520" s="65"/>
      <c r="F520" s="65"/>
      <c r="G520" s="67"/>
      <c r="H520" s="67"/>
      <c r="I520" s="71"/>
      <c r="J520" s="70"/>
      <c r="L520" s="70"/>
      <c r="M520" s="70"/>
      <c r="N520" s="70"/>
      <c r="O520" s="40"/>
      <c r="R520" s="72"/>
      <c r="S520" s="72"/>
      <c r="U520" s="40"/>
      <c r="W520" s="72"/>
      <c r="Y520" s="40"/>
      <c r="AA520" s="72"/>
      <c r="AC520" s="40"/>
      <c r="AF520" s="93"/>
    </row>
    <row r="521" spans="1:32" s="23" customFormat="1" ht="12.75">
      <c r="B521" s="64"/>
      <c r="C521" s="62"/>
      <c r="D521" s="92"/>
      <c r="E521" s="65"/>
      <c r="F521" s="65"/>
      <c r="G521" s="67"/>
      <c r="H521" s="67"/>
      <c r="I521" s="71"/>
      <c r="J521" s="70"/>
      <c r="L521" s="70"/>
      <c r="M521" s="70"/>
      <c r="N521" s="70"/>
      <c r="O521" s="40"/>
      <c r="R521" s="72"/>
      <c r="S521" s="72"/>
      <c r="U521" s="40"/>
      <c r="W521" s="72"/>
      <c r="Y521" s="40"/>
      <c r="AA521" s="72"/>
      <c r="AC521" s="40"/>
      <c r="AF521" s="93"/>
    </row>
    <row r="522" spans="1:32" s="23" customFormat="1" ht="12.75">
      <c r="B522" s="64"/>
      <c r="C522" s="62"/>
      <c r="D522" s="92"/>
      <c r="E522" s="65"/>
      <c r="F522" s="65"/>
      <c r="G522" s="67"/>
      <c r="H522" s="67"/>
      <c r="I522" s="71"/>
      <c r="J522" s="70"/>
      <c r="L522" s="70"/>
      <c r="M522" s="70"/>
      <c r="N522" s="70"/>
      <c r="O522" s="40"/>
      <c r="R522" s="72"/>
      <c r="S522" s="72"/>
      <c r="U522" s="40"/>
      <c r="W522" s="72"/>
      <c r="Y522" s="40"/>
      <c r="AA522" s="72"/>
      <c r="AC522" s="40"/>
      <c r="AF522" s="93"/>
    </row>
    <row r="523" spans="1:32" s="23" customFormat="1" ht="12.75">
      <c r="B523" s="64"/>
      <c r="C523" s="62"/>
      <c r="D523" s="92"/>
      <c r="E523" s="65"/>
      <c r="F523" s="65"/>
      <c r="G523" s="67"/>
      <c r="H523" s="67"/>
      <c r="I523" s="71"/>
      <c r="J523" s="70"/>
      <c r="L523" s="70"/>
      <c r="M523" s="70"/>
      <c r="N523" s="70"/>
      <c r="O523" s="40"/>
      <c r="R523" s="72"/>
      <c r="S523" s="72"/>
      <c r="U523" s="40"/>
      <c r="W523" s="72"/>
      <c r="Y523" s="40"/>
      <c r="AA523" s="72"/>
      <c r="AC523" s="40"/>
      <c r="AF523" s="93"/>
    </row>
    <row r="524" spans="1:32" s="23" customFormat="1" ht="12.75">
      <c r="B524" s="64"/>
      <c r="C524" s="62"/>
      <c r="D524" s="92"/>
      <c r="E524" s="65"/>
      <c r="F524" s="65"/>
      <c r="G524" s="67"/>
      <c r="H524" s="67"/>
      <c r="I524" s="71"/>
      <c r="J524" s="70"/>
      <c r="L524" s="70"/>
      <c r="M524" s="70"/>
      <c r="N524" s="70"/>
      <c r="O524" s="40"/>
      <c r="R524" s="72"/>
      <c r="S524" s="72"/>
      <c r="U524" s="40"/>
      <c r="W524" s="72"/>
      <c r="Y524" s="40"/>
      <c r="AA524" s="72"/>
      <c r="AC524" s="40"/>
      <c r="AF524" s="93"/>
    </row>
    <row r="525" spans="1:32" s="23" customFormat="1" ht="12.75">
      <c r="B525" s="64"/>
      <c r="C525" s="62"/>
      <c r="D525" s="92"/>
      <c r="E525" s="65"/>
      <c r="F525" s="65"/>
      <c r="G525" s="67"/>
      <c r="H525" s="67"/>
      <c r="I525" s="71"/>
      <c r="J525" s="70"/>
      <c r="L525" s="70"/>
      <c r="M525" s="70"/>
      <c r="N525" s="70"/>
      <c r="O525" s="40"/>
      <c r="R525" s="72"/>
      <c r="S525" s="72"/>
      <c r="U525" s="40"/>
      <c r="W525" s="72"/>
      <c r="Y525" s="40"/>
      <c r="AA525" s="72"/>
      <c r="AC525" s="40"/>
      <c r="AF525" s="93"/>
    </row>
    <row r="526" spans="1:32" s="23" customFormat="1" ht="12.75">
      <c r="B526" s="64"/>
      <c r="C526" s="62"/>
      <c r="D526" s="92"/>
      <c r="E526" s="65"/>
      <c r="F526" s="65"/>
      <c r="G526" s="67"/>
      <c r="H526" s="67"/>
      <c r="I526" s="71"/>
      <c r="J526" s="70"/>
      <c r="L526" s="70"/>
      <c r="M526" s="70"/>
      <c r="N526" s="70"/>
      <c r="O526" s="40"/>
      <c r="R526" s="72"/>
      <c r="S526" s="72"/>
      <c r="U526" s="40"/>
      <c r="W526" s="72"/>
      <c r="Y526" s="40"/>
      <c r="AA526" s="72"/>
      <c r="AC526" s="40"/>
      <c r="AF526" s="93"/>
    </row>
    <row r="527" spans="1:32" s="23" customFormat="1" ht="12.75">
      <c r="B527" s="64"/>
      <c r="C527" s="62"/>
      <c r="D527" s="92"/>
      <c r="E527" s="65"/>
      <c r="F527" s="65"/>
      <c r="G527" s="67"/>
      <c r="H527" s="67"/>
      <c r="I527" s="71"/>
      <c r="J527" s="70"/>
      <c r="L527" s="70"/>
      <c r="M527" s="70"/>
      <c r="N527" s="70"/>
      <c r="O527" s="40"/>
      <c r="R527" s="72"/>
      <c r="S527" s="72"/>
      <c r="U527" s="40"/>
      <c r="W527" s="72"/>
      <c r="Y527" s="40"/>
      <c r="AA527" s="72"/>
      <c r="AC527" s="40"/>
      <c r="AF527" s="93"/>
    </row>
    <row r="528" spans="1:32" s="23" customFormat="1" ht="12.75">
      <c r="B528" s="64"/>
      <c r="C528" s="62"/>
      <c r="D528" s="92"/>
      <c r="E528" s="65"/>
      <c r="F528" s="65"/>
      <c r="G528" s="67"/>
      <c r="H528" s="67"/>
      <c r="I528" s="71"/>
      <c r="J528" s="70"/>
      <c r="L528" s="70"/>
      <c r="M528" s="70"/>
      <c r="N528" s="70"/>
      <c r="O528" s="40"/>
      <c r="R528" s="72"/>
      <c r="S528" s="72"/>
      <c r="U528" s="40"/>
      <c r="W528" s="72"/>
      <c r="Y528" s="40"/>
      <c r="AA528" s="72"/>
      <c r="AC528" s="40"/>
      <c r="AF528" s="93"/>
    </row>
    <row r="529" spans="1:32" s="23" customFormat="1" ht="12.75">
      <c r="B529" s="64"/>
      <c r="C529" s="62"/>
      <c r="D529" s="92"/>
      <c r="E529" s="65"/>
      <c r="F529" s="65"/>
      <c r="G529" s="67"/>
      <c r="H529" s="67"/>
      <c r="I529" s="71"/>
      <c r="J529" s="70"/>
      <c r="L529" s="70"/>
      <c r="M529" s="70"/>
      <c r="N529" s="70"/>
      <c r="O529" s="40"/>
      <c r="R529" s="72"/>
      <c r="S529" s="72"/>
      <c r="U529" s="40"/>
      <c r="W529" s="72"/>
      <c r="Y529" s="40"/>
      <c r="AA529" s="72"/>
      <c r="AC529" s="40"/>
      <c r="AF529" s="93"/>
    </row>
    <row r="530" spans="1:32" s="23" customFormat="1" ht="12.75">
      <c r="B530" s="64"/>
      <c r="C530" s="62"/>
      <c r="D530" s="92"/>
      <c r="E530" s="65"/>
      <c r="F530" s="65"/>
      <c r="G530" s="67"/>
      <c r="H530" s="67"/>
      <c r="I530" s="71"/>
      <c r="J530" s="70"/>
      <c r="L530" s="70"/>
      <c r="M530" s="70"/>
      <c r="N530" s="70"/>
      <c r="O530" s="40"/>
      <c r="R530" s="72"/>
      <c r="S530" s="72"/>
      <c r="U530" s="40"/>
      <c r="W530" s="72"/>
      <c r="Y530" s="40"/>
      <c r="AA530" s="72"/>
      <c r="AC530" s="40"/>
      <c r="AF530" s="93"/>
    </row>
    <row r="531" spans="1:32" s="23" customFormat="1" ht="12.75">
      <c r="B531" s="64"/>
      <c r="C531" s="62"/>
      <c r="D531" s="92"/>
      <c r="E531" s="65"/>
      <c r="F531" s="65"/>
      <c r="G531" s="67"/>
      <c r="H531" s="67"/>
      <c r="I531" s="71"/>
      <c r="J531" s="70"/>
      <c r="L531" s="70"/>
      <c r="M531" s="70"/>
      <c r="N531" s="70"/>
      <c r="O531" s="40"/>
      <c r="R531" s="72"/>
      <c r="S531" s="72"/>
      <c r="U531" s="40"/>
      <c r="W531" s="72"/>
      <c r="Y531" s="40"/>
      <c r="AA531" s="72"/>
      <c r="AC531" s="40"/>
      <c r="AF531" s="93"/>
    </row>
    <row r="532" spans="1:32" ht="12.75">
      <c r="A532" s="23"/>
      <c r="B532" s="64"/>
      <c r="C532" s="62"/>
      <c r="D532" s="92"/>
      <c r="E532" s="65"/>
      <c r="F532" s="65"/>
      <c r="G532" s="67"/>
      <c r="H532" s="67"/>
      <c r="I532" s="71"/>
      <c r="J532" s="70"/>
      <c r="K532" s="23"/>
      <c r="L532" s="70"/>
      <c r="M532" s="70"/>
      <c r="N532" s="70"/>
      <c r="O532" s="40"/>
      <c r="P532" s="23"/>
      <c r="Q532" s="23"/>
      <c r="R532" s="72"/>
      <c r="S532" s="72"/>
      <c r="T532" s="23"/>
      <c r="U532" s="40"/>
      <c r="V532" s="23"/>
      <c r="W532" s="72"/>
      <c r="X532" s="23"/>
      <c r="Y532" s="40"/>
      <c r="Z532" s="23"/>
      <c r="AA532" s="72"/>
      <c r="AB532" s="23"/>
      <c r="AC532" s="40"/>
      <c r="AD532" s="23"/>
      <c r="AE532" s="23"/>
    </row>
    <row r="533" spans="1:32" ht="12.75">
      <c r="A533" s="23"/>
      <c r="B533" s="64"/>
      <c r="C533" s="62"/>
      <c r="D533" s="92"/>
      <c r="E533" s="65"/>
      <c r="F533" s="65"/>
      <c r="G533" s="67"/>
      <c r="H533" s="67"/>
      <c r="I533" s="71"/>
      <c r="J533" s="70"/>
      <c r="K533" s="23"/>
      <c r="L533" s="70"/>
      <c r="M533" s="70"/>
      <c r="N533" s="70"/>
      <c r="O533" s="40"/>
      <c r="P533" s="23"/>
      <c r="Q533" s="23"/>
      <c r="R533" s="72"/>
      <c r="S533" s="72"/>
      <c r="T533" s="23"/>
      <c r="U533" s="40"/>
      <c r="V533" s="23"/>
      <c r="W533" s="72"/>
      <c r="X533" s="23"/>
      <c r="Y533" s="40"/>
      <c r="Z533" s="23"/>
      <c r="AA533" s="72"/>
      <c r="AB533" s="23"/>
      <c r="AC533" s="40"/>
      <c r="AD533" s="23"/>
      <c r="AE533" s="23"/>
    </row>
    <row r="534" spans="1:32" ht="12.75">
      <c r="A534" s="23"/>
      <c r="B534" s="64"/>
      <c r="C534" s="62"/>
      <c r="D534" s="92"/>
      <c r="E534" s="65"/>
      <c r="F534" s="65"/>
      <c r="G534" s="67"/>
      <c r="H534" s="67"/>
      <c r="I534" s="71"/>
      <c r="J534" s="70"/>
      <c r="K534" s="23"/>
      <c r="L534" s="70"/>
      <c r="M534" s="70"/>
      <c r="N534" s="70"/>
      <c r="O534" s="40"/>
      <c r="P534" s="23"/>
      <c r="Q534" s="23"/>
      <c r="R534" s="72"/>
      <c r="S534" s="72"/>
      <c r="T534" s="23"/>
      <c r="U534" s="40"/>
      <c r="V534" s="23"/>
      <c r="W534" s="72"/>
      <c r="X534" s="23"/>
      <c r="Y534" s="40"/>
      <c r="Z534" s="23"/>
      <c r="AA534" s="72"/>
      <c r="AB534" s="23"/>
      <c r="AC534" s="40"/>
      <c r="AD534" s="23"/>
      <c r="AE534" s="23"/>
    </row>
    <row r="535" spans="1:32" ht="12.75">
      <c r="A535" s="23"/>
      <c r="B535" s="64"/>
      <c r="C535" s="62"/>
      <c r="D535" s="92"/>
      <c r="E535" s="65"/>
      <c r="F535" s="65"/>
      <c r="G535" s="67"/>
      <c r="H535" s="67"/>
      <c r="I535" s="71"/>
      <c r="J535" s="70"/>
      <c r="K535" s="23"/>
      <c r="L535" s="70"/>
      <c r="M535" s="70"/>
      <c r="N535" s="70"/>
      <c r="O535" s="40"/>
      <c r="P535" s="23"/>
      <c r="Q535" s="23"/>
      <c r="R535" s="72"/>
      <c r="S535" s="72"/>
      <c r="T535" s="23"/>
      <c r="U535" s="40"/>
      <c r="V535" s="23"/>
      <c r="W535" s="72"/>
      <c r="X535" s="23"/>
      <c r="Y535" s="40"/>
      <c r="Z535" s="23"/>
      <c r="AA535" s="72"/>
      <c r="AB535" s="23"/>
      <c r="AC535" s="40"/>
      <c r="AD535" s="23"/>
      <c r="AE535" s="23"/>
    </row>
    <row r="536" spans="1:32" ht="12.75">
      <c r="A536" s="23"/>
      <c r="B536" s="64"/>
      <c r="C536" s="62"/>
      <c r="D536" s="92"/>
      <c r="E536" s="65"/>
      <c r="F536" s="65"/>
      <c r="G536" s="67"/>
      <c r="H536" s="67"/>
      <c r="I536" s="71"/>
      <c r="J536" s="70"/>
      <c r="K536" s="23"/>
      <c r="L536" s="70"/>
      <c r="M536" s="70"/>
      <c r="N536" s="70"/>
      <c r="O536" s="40"/>
      <c r="P536" s="23"/>
      <c r="Q536" s="23"/>
      <c r="R536" s="72"/>
      <c r="S536" s="72"/>
      <c r="T536" s="23"/>
      <c r="U536" s="40"/>
      <c r="V536" s="23"/>
      <c r="W536" s="72"/>
      <c r="X536" s="23"/>
      <c r="Y536" s="40"/>
      <c r="Z536" s="23"/>
      <c r="AA536" s="72"/>
      <c r="AB536" s="23"/>
      <c r="AC536" s="40"/>
      <c r="AD536" s="23"/>
      <c r="AE536" s="23"/>
    </row>
    <row r="537" spans="1:32" ht="12.75">
      <c r="A537" s="23"/>
      <c r="B537" s="64"/>
      <c r="C537" s="62"/>
      <c r="D537" s="92"/>
      <c r="E537" s="65"/>
      <c r="F537" s="65"/>
      <c r="G537" s="67"/>
      <c r="H537" s="67"/>
      <c r="I537" s="71"/>
      <c r="J537" s="70"/>
      <c r="K537" s="23"/>
      <c r="L537" s="70"/>
      <c r="M537" s="70"/>
      <c r="N537" s="70"/>
      <c r="O537" s="40"/>
      <c r="P537" s="23"/>
      <c r="Q537" s="23"/>
      <c r="R537" s="72"/>
      <c r="S537" s="72"/>
      <c r="T537" s="23"/>
      <c r="U537" s="40"/>
      <c r="V537" s="23"/>
      <c r="W537" s="72"/>
      <c r="X537" s="23"/>
      <c r="Y537" s="40"/>
      <c r="Z537" s="23"/>
      <c r="AA537" s="72"/>
      <c r="AB537" s="23"/>
      <c r="AC537" s="40"/>
      <c r="AD537" s="23"/>
      <c r="AE537" s="23"/>
    </row>
    <row r="538" spans="1:32" ht="12.75">
      <c r="A538" s="23"/>
      <c r="B538" s="64"/>
      <c r="C538" s="62"/>
      <c r="D538" s="92"/>
      <c r="E538" s="65"/>
      <c r="F538" s="65"/>
      <c r="G538" s="67"/>
      <c r="H538" s="67"/>
      <c r="I538" s="71"/>
      <c r="J538" s="70"/>
      <c r="K538" s="23"/>
      <c r="L538" s="70"/>
      <c r="M538" s="70"/>
      <c r="N538" s="70"/>
      <c r="O538" s="40"/>
      <c r="P538" s="23"/>
      <c r="Q538" s="23"/>
      <c r="R538" s="72"/>
      <c r="S538" s="72"/>
      <c r="T538" s="23"/>
      <c r="U538" s="40"/>
      <c r="V538" s="23"/>
      <c r="W538" s="72"/>
      <c r="X538" s="23"/>
      <c r="Y538" s="40"/>
      <c r="Z538" s="23"/>
      <c r="AA538" s="72"/>
      <c r="AB538" s="23"/>
      <c r="AC538" s="40"/>
      <c r="AD538" s="23"/>
      <c r="AE538" s="23"/>
    </row>
    <row r="539" spans="1:32" ht="12.75">
      <c r="A539" s="23"/>
      <c r="B539" s="64"/>
      <c r="C539" s="62"/>
      <c r="D539" s="92"/>
      <c r="E539" s="65"/>
      <c r="F539" s="65"/>
      <c r="G539" s="67"/>
      <c r="H539" s="67"/>
      <c r="I539" s="71"/>
      <c r="J539" s="70"/>
      <c r="K539" s="23"/>
      <c r="L539" s="70"/>
      <c r="M539" s="70"/>
      <c r="N539" s="70"/>
      <c r="O539" s="40"/>
      <c r="P539" s="23"/>
      <c r="Q539" s="23"/>
      <c r="R539" s="72"/>
      <c r="S539" s="72"/>
      <c r="T539" s="23"/>
      <c r="U539" s="40"/>
      <c r="V539" s="23"/>
      <c r="W539" s="72"/>
      <c r="X539" s="23"/>
      <c r="Y539" s="40"/>
      <c r="Z539" s="23"/>
      <c r="AA539" s="72"/>
      <c r="AB539" s="23"/>
      <c r="AC539" s="40"/>
      <c r="AD539" s="23"/>
      <c r="AE539" s="23"/>
    </row>
    <row r="540" spans="1:32" ht="12.75">
      <c r="A540" s="23"/>
      <c r="B540" s="64"/>
      <c r="C540" s="62"/>
      <c r="D540" s="92"/>
      <c r="E540" s="65"/>
      <c r="F540" s="65"/>
      <c r="G540" s="67"/>
      <c r="H540" s="67"/>
      <c r="I540" s="71"/>
      <c r="J540" s="70"/>
      <c r="K540" s="23"/>
      <c r="L540" s="70"/>
      <c r="M540" s="70"/>
      <c r="N540" s="70"/>
      <c r="O540" s="40"/>
      <c r="P540" s="23"/>
      <c r="Q540" s="23"/>
      <c r="R540" s="72"/>
      <c r="S540" s="72"/>
      <c r="T540" s="23"/>
      <c r="U540" s="40"/>
      <c r="V540" s="23"/>
      <c r="W540" s="72"/>
      <c r="X540" s="23"/>
      <c r="Y540" s="40"/>
      <c r="Z540" s="23"/>
      <c r="AA540" s="72"/>
      <c r="AB540" s="23"/>
      <c r="AC540" s="40"/>
      <c r="AD540" s="23"/>
      <c r="AE540" s="23"/>
    </row>
    <row r="541" spans="1:32" ht="12.75">
      <c r="A541" s="23"/>
      <c r="B541" s="64"/>
      <c r="C541" s="62"/>
      <c r="D541" s="92"/>
      <c r="E541" s="65"/>
      <c r="F541" s="65"/>
      <c r="G541" s="67"/>
      <c r="H541" s="67"/>
      <c r="I541" s="71"/>
      <c r="J541" s="70"/>
      <c r="K541" s="23"/>
      <c r="L541" s="70"/>
      <c r="M541" s="70"/>
      <c r="N541" s="70"/>
      <c r="O541" s="40"/>
      <c r="P541" s="23"/>
      <c r="Q541" s="23"/>
      <c r="R541" s="72"/>
      <c r="S541" s="72"/>
      <c r="T541" s="23"/>
      <c r="U541" s="40"/>
      <c r="V541" s="23"/>
      <c r="W541" s="72"/>
      <c r="X541" s="23"/>
      <c r="Y541" s="40"/>
      <c r="Z541" s="23"/>
      <c r="AA541" s="72"/>
      <c r="AB541" s="23"/>
      <c r="AC541" s="40"/>
      <c r="AD541" s="23"/>
      <c r="AE541" s="23"/>
    </row>
    <row r="542" spans="1:32" ht="12.75">
      <c r="A542" s="23"/>
      <c r="B542" s="64"/>
      <c r="C542" s="62"/>
      <c r="D542" s="92"/>
      <c r="E542" s="65"/>
      <c r="F542" s="65"/>
      <c r="G542" s="67"/>
      <c r="H542" s="67"/>
      <c r="I542" s="71"/>
      <c r="J542" s="70"/>
      <c r="K542" s="23"/>
      <c r="L542" s="70"/>
      <c r="M542" s="70"/>
      <c r="N542" s="70"/>
      <c r="O542" s="40"/>
      <c r="P542" s="23"/>
      <c r="Q542" s="23"/>
      <c r="R542" s="72"/>
      <c r="S542" s="72"/>
      <c r="T542" s="23"/>
      <c r="U542" s="40"/>
      <c r="V542" s="23"/>
      <c r="W542" s="72"/>
      <c r="X542" s="23"/>
      <c r="Y542" s="40"/>
      <c r="Z542" s="23"/>
      <c r="AA542" s="72"/>
      <c r="AB542" s="23"/>
      <c r="AC542" s="40"/>
      <c r="AD542" s="23"/>
      <c r="AE542" s="23"/>
    </row>
    <row r="543" spans="1:32" ht="12.75">
      <c r="A543" s="23"/>
      <c r="B543" s="64"/>
      <c r="C543" s="62"/>
      <c r="D543" s="92"/>
      <c r="E543" s="65"/>
      <c r="F543" s="65"/>
      <c r="G543" s="67"/>
      <c r="H543" s="67"/>
      <c r="I543" s="71"/>
      <c r="J543" s="70"/>
      <c r="K543" s="23"/>
      <c r="L543" s="70"/>
      <c r="M543" s="70"/>
      <c r="N543" s="70"/>
      <c r="O543" s="40"/>
      <c r="P543" s="23"/>
      <c r="Q543" s="23"/>
      <c r="R543" s="72"/>
      <c r="S543" s="72"/>
      <c r="T543" s="23"/>
      <c r="U543" s="40"/>
      <c r="V543" s="23"/>
      <c r="W543" s="72"/>
      <c r="X543" s="23"/>
      <c r="Y543" s="40"/>
      <c r="Z543" s="23"/>
      <c r="AA543" s="72"/>
      <c r="AB543" s="23"/>
      <c r="AC543" s="40"/>
      <c r="AD543" s="23"/>
      <c r="AE543" s="23"/>
    </row>
    <row r="544" spans="1:32" ht="12.75">
      <c r="A544" s="23"/>
      <c r="B544" s="64"/>
      <c r="C544" s="62"/>
      <c r="D544" s="92"/>
      <c r="E544" s="65"/>
      <c r="F544" s="65"/>
      <c r="G544" s="67"/>
      <c r="H544" s="67"/>
      <c r="I544" s="71"/>
      <c r="J544" s="70"/>
      <c r="K544" s="23"/>
      <c r="L544" s="70"/>
      <c r="M544" s="70"/>
      <c r="N544" s="70"/>
      <c r="O544" s="40"/>
      <c r="P544" s="23"/>
      <c r="Q544" s="23"/>
      <c r="R544" s="72"/>
      <c r="S544" s="72"/>
      <c r="T544" s="23"/>
      <c r="U544" s="40"/>
      <c r="V544" s="23"/>
      <c r="W544" s="72"/>
      <c r="X544" s="23"/>
      <c r="Y544" s="40"/>
      <c r="Z544" s="23"/>
      <c r="AA544" s="72"/>
      <c r="AB544" s="23"/>
      <c r="AC544" s="40"/>
      <c r="AD544" s="23"/>
      <c r="AE544" s="23"/>
    </row>
    <row r="545" spans="1:31" ht="12.75">
      <c r="A545" s="23"/>
      <c r="B545" s="64"/>
      <c r="C545" s="62"/>
      <c r="D545" s="92"/>
      <c r="E545" s="65"/>
      <c r="F545" s="65"/>
      <c r="G545" s="67"/>
      <c r="H545" s="67"/>
      <c r="I545" s="71"/>
      <c r="J545" s="70"/>
      <c r="K545" s="23"/>
      <c r="L545" s="70"/>
      <c r="M545" s="70"/>
      <c r="N545" s="70"/>
      <c r="O545" s="40"/>
      <c r="P545" s="23"/>
      <c r="Q545" s="23"/>
      <c r="R545" s="72"/>
      <c r="S545" s="72"/>
      <c r="T545" s="23"/>
      <c r="U545" s="40"/>
      <c r="V545" s="23"/>
      <c r="W545" s="72"/>
      <c r="X545" s="23"/>
      <c r="Y545" s="40"/>
      <c r="Z545" s="23"/>
      <c r="AA545" s="72"/>
      <c r="AB545" s="23"/>
      <c r="AC545" s="40"/>
      <c r="AD545" s="23"/>
      <c r="AE545" s="23"/>
    </row>
    <row r="546" spans="1:31" ht="12.75">
      <c r="A546" s="23"/>
      <c r="B546" s="64"/>
      <c r="C546" s="62"/>
      <c r="D546" s="92"/>
      <c r="E546" s="65"/>
      <c r="F546" s="65"/>
      <c r="G546" s="67"/>
      <c r="H546" s="67"/>
      <c r="I546" s="71"/>
      <c r="J546" s="70"/>
      <c r="K546" s="23"/>
      <c r="L546" s="70"/>
      <c r="M546" s="70"/>
      <c r="N546" s="70"/>
      <c r="O546" s="40"/>
      <c r="P546" s="23"/>
      <c r="Q546" s="23"/>
      <c r="R546" s="72"/>
      <c r="S546" s="72"/>
      <c r="T546" s="23"/>
      <c r="U546" s="40"/>
      <c r="V546" s="23"/>
      <c r="W546" s="72"/>
      <c r="X546" s="23"/>
      <c r="Y546" s="40"/>
      <c r="Z546" s="23"/>
      <c r="AA546" s="72"/>
      <c r="AB546" s="23"/>
      <c r="AC546" s="40"/>
      <c r="AD546" s="23"/>
      <c r="AE546" s="23"/>
    </row>
    <row r="547" spans="1:31" ht="12.75">
      <c r="A547" s="23"/>
      <c r="B547" s="64"/>
      <c r="C547" s="62"/>
      <c r="D547" s="92"/>
      <c r="E547" s="65"/>
      <c r="F547" s="65"/>
      <c r="G547" s="67"/>
      <c r="H547" s="67"/>
      <c r="I547" s="71"/>
      <c r="J547" s="70"/>
      <c r="K547" s="23"/>
      <c r="L547" s="70"/>
      <c r="M547" s="70"/>
      <c r="N547" s="70"/>
      <c r="O547" s="40"/>
      <c r="P547" s="23"/>
      <c r="Q547" s="23"/>
      <c r="R547" s="72"/>
      <c r="S547" s="72"/>
      <c r="T547" s="23"/>
      <c r="U547" s="40"/>
      <c r="V547" s="23"/>
      <c r="W547" s="72"/>
      <c r="X547" s="23"/>
      <c r="Y547" s="40"/>
      <c r="Z547" s="23"/>
      <c r="AA547" s="72"/>
      <c r="AB547" s="23"/>
      <c r="AC547" s="40"/>
      <c r="AD547" s="23"/>
      <c r="AE547" s="23"/>
    </row>
    <row r="548" spans="1:31" ht="12.75">
      <c r="A548" s="23"/>
      <c r="B548" s="64"/>
      <c r="C548" s="62"/>
      <c r="D548" s="92"/>
      <c r="E548" s="65"/>
      <c r="F548" s="65"/>
      <c r="G548" s="67"/>
      <c r="H548" s="67"/>
      <c r="I548" s="71"/>
      <c r="J548" s="70"/>
      <c r="K548" s="23"/>
      <c r="L548" s="70"/>
      <c r="M548" s="70"/>
      <c r="N548" s="70"/>
      <c r="O548" s="40"/>
      <c r="P548" s="23"/>
      <c r="Q548" s="23"/>
      <c r="R548" s="72"/>
      <c r="S548" s="72"/>
      <c r="T548" s="23"/>
      <c r="U548" s="40"/>
      <c r="V548" s="23"/>
      <c r="W548" s="72"/>
      <c r="X548" s="23"/>
      <c r="Y548" s="40"/>
      <c r="Z548" s="23"/>
      <c r="AA548" s="72"/>
      <c r="AB548" s="23"/>
      <c r="AC548" s="40"/>
      <c r="AD548" s="23"/>
      <c r="AE548" s="23"/>
    </row>
    <row r="549" spans="1:31" ht="12.75">
      <c r="A549" s="23"/>
      <c r="B549" s="64"/>
      <c r="C549" s="62"/>
      <c r="D549" s="92"/>
      <c r="E549" s="65"/>
      <c r="F549" s="65"/>
      <c r="G549" s="67"/>
      <c r="H549" s="67"/>
      <c r="I549" s="71"/>
      <c r="J549" s="70"/>
      <c r="K549" s="23"/>
      <c r="L549" s="70"/>
      <c r="M549" s="70"/>
      <c r="N549" s="70"/>
      <c r="O549" s="40"/>
      <c r="P549" s="23"/>
      <c r="Q549" s="23"/>
      <c r="R549" s="72"/>
      <c r="S549" s="72"/>
      <c r="T549" s="23"/>
      <c r="U549" s="40"/>
      <c r="V549" s="23"/>
      <c r="W549" s="72"/>
      <c r="X549" s="23"/>
      <c r="Y549" s="40"/>
      <c r="Z549" s="23"/>
      <c r="AA549" s="72"/>
      <c r="AB549" s="23"/>
      <c r="AC549" s="40"/>
      <c r="AD549" s="23"/>
      <c r="AE549" s="23"/>
    </row>
    <row r="550" spans="1:31" ht="12.75">
      <c r="A550" s="23"/>
      <c r="B550" s="64"/>
      <c r="C550" s="62"/>
      <c r="D550" s="92"/>
      <c r="E550" s="65"/>
      <c r="F550" s="65"/>
      <c r="G550" s="67"/>
      <c r="H550" s="67"/>
      <c r="I550" s="71"/>
      <c r="J550" s="70"/>
      <c r="K550" s="23"/>
      <c r="L550" s="70"/>
      <c r="M550" s="70"/>
      <c r="N550" s="70"/>
      <c r="O550" s="40"/>
      <c r="P550" s="23"/>
      <c r="Q550" s="23"/>
      <c r="R550" s="72"/>
      <c r="S550" s="72"/>
      <c r="T550" s="23"/>
      <c r="U550" s="40"/>
      <c r="V550" s="23"/>
      <c r="W550" s="72"/>
      <c r="X550" s="23"/>
      <c r="Y550" s="40"/>
      <c r="Z550" s="23"/>
      <c r="AA550" s="72"/>
      <c r="AB550" s="23"/>
      <c r="AC550" s="40"/>
      <c r="AD550" s="23"/>
      <c r="AE550" s="23"/>
    </row>
    <row r="551" spans="1:31" ht="12.75">
      <c r="A551" s="23"/>
      <c r="B551" s="64"/>
      <c r="C551" s="62"/>
      <c r="D551" s="92"/>
      <c r="E551" s="65"/>
      <c r="F551" s="65"/>
      <c r="G551" s="67"/>
      <c r="H551" s="67"/>
      <c r="I551" s="71"/>
      <c r="J551" s="70"/>
      <c r="K551" s="23"/>
      <c r="L551" s="70"/>
      <c r="M551" s="70"/>
      <c r="N551" s="70"/>
      <c r="O551" s="40"/>
      <c r="P551" s="23"/>
      <c r="Q551" s="23"/>
      <c r="R551" s="72"/>
      <c r="S551" s="72"/>
      <c r="T551" s="23"/>
      <c r="U551" s="40"/>
      <c r="V551" s="23"/>
      <c r="W551" s="72"/>
      <c r="X551" s="23"/>
      <c r="Y551" s="40"/>
      <c r="Z551" s="23"/>
      <c r="AA551" s="72"/>
      <c r="AB551" s="23"/>
      <c r="AC551" s="40"/>
      <c r="AD551" s="23"/>
      <c r="AE551" s="23"/>
    </row>
    <row r="552" spans="1:31" ht="12.75">
      <c r="A552" s="23"/>
      <c r="B552" s="64"/>
      <c r="C552" s="62"/>
      <c r="D552" s="92"/>
      <c r="E552" s="65"/>
      <c r="F552" s="65"/>
      <c r="G552" s="67"/>
      <c r="H552" s="67"/>
      <c r="I552" s="71"/>
      <c r="J552" s="70"/>
      <c r="K552" s="23"/>
      <c r="L552" s="70"/>
      <c r="M552" s="70"/>
      <c r="N552" s="70"/>
      <c r="O552" s="40"/>
      <c r="P552" s="23"/>
      <c r="Q552" s="23"/>
      <c r="R552" s="72"/>
      <c r="S552" s="72"/>
      <c r="T552" s="23"/>
      <c r="U552" s="40"/>
      <c r="V552" s="23"/>
      <c r="W552" s="72"/>
      <c r="X552" s="23"/>
      <c r="Y552" s="40"/>
      <c r="Z552" s="23"/>
      <c r="AA552" s="72"/>
      <c r="AB552" s="23"/>
      <c r="AC552" s="40"/>
      <c r="AD552" s="23"/>
      <c r="AE552" s="23"/>
    </row>
    <row r="553" spans="1:31" ht="12.75">
      <c r="A553" s="23"/>
      <c r="B553" s="64"/>
      <c r="C553" s="62"/>
      <c r="D553" s="92"/>
      <c r="E553" s="65"/>
      <c r="F553" s="65"/>
      <c r="G553" s="67"/>
      <c r="H553" s="67"/>
      <c r="I553" s="71"/>
      <c r="J553" s="70"/>
      <c r="K553" s="23"/>
      <c r="L553" s="70"/>
      <c r="M553" s="70"/>
      <c r="N553" s="70"/>
      <c r="O553" s="40"/>
      <c r="P553" s="23"/>
      <c r="Q553" s="23"/>
      <c r="R553" s="72"/>
      <c r="S553" s="72"/>
      <c r="T553" s="23"/>
      <c r="U553" s="40"/>
      <c r="V553" s="23"/>
      <c r="W553" s="72"/>
      <c r="X553" s="23"/>
      <c r="Y553" s="40"/>
      <c r="Z553" s="23"/>
      <c r="AA553" s="72"/>
      <c r="AB553" s="23"/>
      <c r="AC553" s="40"/>
      <c r="AD553" s="23"/>
      <c r="AE553" s="23"/>
    </row>
    <row r="554" spans="1:31" ht="12.75">
      <c r="A554" s="23"/>
      <c r="B554" s="64"/>
      <c r="C554" s="62"/>
      <c r="D554" s="92"/>
      <c r="E554" s="65"/>
      <c r="F554" s="65"/>
      <c r="G554" s="67"/>
      <c r="H554" s="67"/>
      <c r="I554" s="71"/>
      <c r="J554" s="70"/>
      <c r="K554" s="23"/>
      <c r="L554" s="70"/>
      <c r="M554" s="70"/>
      <c r="N554" s="70"/>
      <c r="O554" s="40"/>
      <c r="P554" s="23"/>
      <c r="Q554" s="23"/>
      <c r="R554" s="72"/>
      <c r="S554" s="72"/>
      <c r="T554" s="23"/>
      <c r="U554" s="40"/>
      <c r="V554" s="23"/>
      <c r="W554" s="72"/>
      <c r="X554" s="23"/>
      <c r="Y554" s="40"/>
      <c r="Z554" s="23"/>
      <c r="AA554" s="72"/>
      <c r="AB554" s="23"/>
      <c r="AC554" s="40"/>
      <c r="AD554" s="23"/>
      <c r="AE554" s="23"/>
    </row>
    <row r="555" spans="1:31" ht="12.75">
      <c r="A555" s="23"/>
      <c r="B555" s="64"/>
      <c r="C555" s="62"/>
      <c r="D555" s="92"/>
      <c r="E555" s="65"/>
      <c r="F555" s="65"/>
      <c r="G555" s="67"/>
      <c r="H555" s="67"/>
      <c r="I555" s="71"/>
      <c r="J555" s="70"/>
      <c r="K555" s="23"/>
      <c r="L555" s="70"/>
      <c r="M555" s="70"/>
      <c r="N555" s="70"/>
      <c r="O555" s="40"/>
      <c r="P555" s="23"/>
      <c r="Q555" s="23"/>
      <c r="R555" s="72"/>
      <c r="S555" s="72"/>
      <c r="T555" s="23"/>
      <c r="U555" s="40"/>
      <c r="V555" s="23"/>
      <c r="W555" s="72"/>
      <c r="X555" s="23"/>
      <c r="Y555" s="40"/>
      <c r="Z555" s="23"/>
      <c r="AA555" s="72"/>
      <c r="AB555" s="23"/>
      <c r="AC555" s="40"/>
      <c r="AD555" s="23"/>
      <c r="AE555" s="23"/>
    </row>
    <row r="556" spans="1:31" ht="12.75">
      <c r="A556" s="23"/>
      <c r="B556" s="64"/>
      <c r="C556" s="62"/>
      <c r="D556" s="92"/>
      <c r="E556" s="65"/>
      <c r="F556" s="65"/>
      <c r="G556" s="67"/>
      <c r="H556" s="67"/>
      <c r="I556" s="71"/>
      <c r="J556" s="70"/>
      <c r="K556" s="23"/>
      <c r="L556" s="70"/>
      <c r="M556" s="70"/>
      <c r="N556" s="70"/>
      <c r="O556" s="40"/>
      <c r="P556" s="23"/>
      <c r="Q556" s="23"/>
      <c r="R556" s="72"/>
      <c r="S556" s="72"/>
      <c r="T556" s="23"/>
      <c r="U556" s="40"/>
      <c r="V556" s="23"/>
      <c r="W556" s="72"/>
      <c r="X556" s="23"/>
      <c r="Y556" s="40"/>
      <c r="Z556" s="23"/>
      <c r="AA556" s="72"/>
      <c r="AB556" s="23"/>
      <c r="AC556" s="40"/>
      <c r="AD556" s="23"/>
      <c r="AE556" s="23"/>
    </row>
    <row r="557" spans="1:31" ht="12.75">
      <c r="A557" s="23"/>
      <c r="B557" s="64"/>
      <c r="C557" s="62"/>
      <c r="D557" s="92"/>
      <c r="E557" s="65"/>
      <c r="F557" s="65"/>
      <c r="G557" s="67"/>
      <c r="H557" s="67"/>
      <c r="I557" s="71"/>
      <c r="J557" s="70"/>
      <c r="K557" s="23"/>
      <c r="L557" s="70"/>
      <c r="M557" s="70"/>
      <c r="N557" s="70"/>
      <c r="O557" s="40"/>
      <c r="P557" s="23"/>
      <c r="Q557" s="23"/>
      <c r="R557" s="72"/>
      <c r="S557" s="72"/>
      <c r="T557" s="23"/>
      <c r="U557" s="40"/>
      <c r="V557" s="23"/>
      <c r="W557" s="72"/>
      <c r="X557" s="23"/>
      <c r="Y557" s="40"/>
      <c r="Z557" s="23"/>
      <c r="AA557" s="72"/>
      <c r="AB557" s="23"/>
      <c r="AC557" s="40"/>
      <c r="AD557" s="23"/>
      <c r="AE557" s="23"/>
    </row>
    <row r="558" spans="1:31" ht="12.75">
      <c r="A558" s="23"/>
      <c r="B558" s="64"/>
      <c r="C558" s="62"/>
      <c r="D558" s="92"/>
      <c r="E558" s="65"/>
      <c r="F558" s="65"/>
      <c r="G558" s="67"/>
      <c r="H558" s="67"/>
      <c r="I558" s="71"/>
      <c r="J558" s="70"/>
      <c r="K558" s="23"/>
      <c r="L558" s="70"/>
      <c r="M558" s="70"/>
      <c r="N558" s="70"/>
      <c r="O558" s="40"/>
      <c r="P558" s="23"/>
      <c r="Q558" s="23"/>
      <c r="R558" s="72"/>
      <c r="S558" s="72"/>
      <c r="T558" s="23"/>
      <c r="U558" s="40"/>
      <c r="V558" s="23"/>
      <c r="W558" s="72"/>
      <c r="X558" s="23"/>
      <c r="Y558" s="40"/>
      <c r="Z558" s="23"/>
      <c r="AA558" s="72"/>
      <c r="AB558" s="23"/>
      <c r="AC558" s="40"/>
      <c r="AD558" s="23"/>
      <c r="AE558" s="23"/>
    </row>
    <row r="559" spans="1:31" ht="12.75">
      <c r="A559" s="23"/>
      <c r="B559" s="64"/>
      <c r="C559" s="62"/>
      <c r="D559" s="92"/>
      <c r="E559" s="65"/>
      <c r="F559" s="65"/>
      <c r="G559" s="67"/>
      <c r="H559" s="67"/>
      <c r="I559" s="71"/>
      <c r="J559" s="70"/>
      <c r="K559" s="23"/>
      <c r="L559" s="70"/>
      <c r="M559" s="70"/>
      <c r="N559" s="70"/>
      <c r="O559" s="40"/>
      <c r="P559" s="23"/>
      <c r="Q559" s="23"/>
      <c r="R559" s="72"/>
      <c r="S559" s="72"/>
      <c r="T559" s="23"/>
      <c r="U559" s="40"/>
      <c r="V559" s="23"/>
      <c r="W559" s="72"/>
      <c r="X559" s="23"/>
      <c r="Y559" s="40"/>
      <c r="Z559" s="23"/>
      <c r="AA559" s="72"/>
      <c r="AB559" s="23"/>
      <c r="AC559" s="40"/>
      <c r="AD559" s="23"/>
      <c r="AE559" s="23"/>
    </row>
    <row r="560" spans="1:31" ht="12.75">
      <c r="A560" s="23"/>
      <c r="B560" s="64"/>
      <c r="C560" s="62"/>
      <c r="D560" s="92"/>
      <c r="E560" s="65"/>
      <c r="F560" s="65"/>
      <c r="G560" s="67"/>
      <c r="H560" s="67"/>
      <c r="I560" s="71"/>
      <c r="J560" s="70"/>
      <c r="K560" s="23"/>
      <c r="L560" s="70"/>
      <c r="M560" s="70"/>
      <c r="N560" s="70"/>
      <c r="O560" s="40"/>
      <c r="P560" s="23"/>
      <c r="Q560" s="23"/>
      <c r="R560" s="72"/>
      <c r="S560" s="72"/>
      <c r="T560" s="23"/>
      <c r="U560" s="40"/>
      <c r="V560" s="23"/>
      <c r="W560" s="72"/>
      <c r="X560" s="23"/>
      <c r="Y560" s="40"/>
      <c r="Z560" s="23"/>
      <c r="AA560" s="72"/>
      <c r="AB560" s="23"/>
      <c r="AC560" s="40"/>
      <c r="AD560" s="23"/>
      <c r="AE560" s="23"/>
    </row>
    <row r="561" spans="1:31" ht="12.75">
      <c r="A561" s="23"/>
      <c r="B561" s="64"/>
      <c r="C561" s="62"/>
      <c r="D561" s="92"/>
      <c r="E561" s="65"/>
      <c r="F561" s="65"/>
      <c r="G561" s="67"/>
      <c r="H561" s="67"/>
      <c r="I561" s="71"/>
      <c r="J561" s="70"/>
      <c r="K561" s="23"/>
      <c r="L561" s="70"/>
      <c r="M561" s="70"/>
      <c r="N561" s="70"/>
      <c r="O561" s="40"/>
      <c r="P561" s="23"/>
      <c r="Q561" s="23"/>
      <c r="R561" s="72"/>
      <c r="S561" s="72"/>
      <c r="T561" s="23"/>
      <c r="U561" s="40"/>
      <c r="V561" s="23"/>
      <c r="W561" s="72"/>
      <c r="X561" s="23"/>
      <c r="Y561" s="40"/>
      <c r="Z561" s="23"/>
      <c r="AA561" s="72"/>
      <c r="AB561" s="23"/>
      <c r="AC561" s="40"/>
      <c r="AD561" s="23"/>
      <c r="AE561" s="23"/>
    </row>
    <row r="562" spans="1:31" ht="12.75">
      <c r="A562" s="23"/>
      <c r="B562" s="64"/>
      <c r="C562" s="62"/>
      <c r="D562" s="92"/>
      <c r="E562" s="65"/>
      <c r="F562" s="65"/>
      <c r="G562" s="67"/>
      <c r="H562" s="67"/>
      <c r="I562" s="71"/>
      <c r="J562" s="70"/>
      <c r="K562" s="23"/>
      <c r="L562" s="70"/>
      <c r="M562" s="70"/>
      <c r="N562" s="70"/>
      <c r="O562" s="40"/>
      <c r="P562" s="23"/>
      <c r="Q562" s="23"/>
      <c r="R562" s="72"/>
      <c r="S562" s="72"/>
      <c r="T562" s="23"/>
      <c r="U562" s="40"/>
      <c r="V562" s="23"/>
      <c r="W562" s="72"/>
      <c r="X562" s="23"/>
      <c r="Y562" s="40"/>
      <c r="Z562" s="23"/>
      <c r="AA562" s="72"/>
      <c r="AB562" s="23"/>
      <c r="AC562" s="40"/>
      <c r="AD562" s="23"/>
      <c r="AE562" s="23"/>
    </row>
    <row r="563" spans="1:31" ht="12.75">
      <c r="A563" s="23"/>
      <c r="B563" s="64"/>
      <c r="C563" s="62"/>
      <c r="D563" s="92"/>
      <c r="E563" s="65"/>
      <c r="F563" s="65"/>
      <c r="G563" s="67"/>
      <c r="H563" s="67"/>
      <c r="I563" s="71"/>
      <c r="J563" s="70"/>
      <c r="K563" s="23"/>
      <c r="L563" s="70"/>
      <c r="M563" s="70"/>
      <c r="N563" s="70"/>
      <c r="O563" s="40"/>
      <c r="P563" s="23"/>
      <c r="Q563" s="23"/>
      <c r="R563" s="72"/>
      <c r="S563" s="72"/>
      <c r="T563" s="23"/>
      <c r="U563" s="40"/>
      <c r="V563" s="23"/>
      <c r="W563" s="72"/>
      <c r="X563" s="23"/>
      <c r="Y563" s="40"/>
      <c r="Z563" s="23"/>
      <c r="AA563" s="72"/>
      <c r="AB563" s="23"/>
      <c r="AC563" s="40"/>
      <c r="AD563" s="23"/>
      <c r="AE563" s="23"/>
    </row>
    <row r="564" spans="1:31" ht="12.75">
      <c r="A564" s="23"/>
      <c r="B564" s="64"/>
      <c r="C564" s="62"/>
      <c r="D564" s="92"/>
      <c r="E564" s="65"/>
      <c r="F564" s="65"/>
      <c r="G564" s="67"/>
      <c r="H564" s="67"/>
      <c r="I564" s="71"/>
      <c r="J564" s="70"/>
      <c r="K564" s="23"/>
      <c r="L564" s="70"/>
      <c r="M564" s="70"/>
      <c r="N564" s="70"/>
      <c r="O564" s="40"/>
      <c r="P564" s="23"/>
      <c r="Q564" s="23"/>
      <c r="R564" s="72"/>
      <c r="S564" s="72"/>
      <c r="T564" s="23"/>
      <c r="U564" s="40"/>
      <c r="V564" s="23"/>
      <c r="W564" s="72"/>
      <c r="X564" s="23"/>
      <c r="Y564" s="40"/>
      <c r="Z564" s="23"/>
      <c r="AA564" s="72"/>
      <c r="AB564" s="23"/>
      <c r="AC564" s="40"/>
      <c r="AD564" s="23"/>
      <c r="AE564" s="23"/>
    </row>
    <row r="565" spans="1:31" ht="12.75">
      <c r="A565" s="23"/>
      <c r="B565" s="64"/>
      <c r="C565" s="62"/>
      <c r="D565" s="92"/>
      <c r="E565" s="65"/>
      <c r="F565" s="65"/>
      <c r="G565" s="67"/>
      <c r="H565" s="67"/>
      <c r="I565" s="71"/>
      <c r="J565" s="70"/>
      <c r="K565" s="23"/>
      <c r="L565" s="70"/>
      <c r="M565" s="70"/>
      <c r="N565" s="70"/>
      <c r="O565" s="40"/>
      <c r="P565" s="23"/>
      <c r="Q565" s="23"/>
      <c r="R565" s="72"/>
      <c r="S565" s="72"/>
      <c r="T565" s="23"/>
      <c r="U565" s="40"/>
      <c r="V565" s="23"/>
      <c r="W565" s="72"/>
      <c r="X565" s="23"/>
      <c r="Y565" s="40"/>
      <c r="Z565" s="23"/>
      <c r="AA565" s="72"/>
      <c r="AB565" s="23"/>
      <c r="AC565" s="40"/>
      <c r="AD565" s="23"/>
      <c r="AE565" s="23"/>
    </row>
    <row r="566" spans="1:31" ht="12.75">
      <c r="A566" s="23"/>
      <c r="B566" s="64"/>
      <c r="C566" s="62"/>
      <c r="D566" s="92"/>
      <c r="E566" s="65"/>
      <c r="F566" s="65"/>
      <c r="G566" s="67"/>
      <c r="H566" s="67"/>
      <c r="I566" s="71"/>
      <c r="J566" s="70"/>
      <c r="K566" s="23"/>
      <c r="L566" s="70"/>
      <c r="M566" s="70"/>
      <c r="N566" s="70"/>
      <c r="O566" s="40"/>
      <c r="P566" s="23"/>
      <c r="Q566" s="23"/>
      <c r="R566" s="72"/>
      <c r="S566" s="72"/>
      <c r="T566" s="23"/>
      <c r="U566" s="40"/>
      <c r="V566" s="23"/>
      <c r="W566" s="72"/>
      <c r="X566" s="23"/>
      <c r="Y566" s="40"/>
      <c r="Z566" s="23"/>
      <c r="AA566" s="72"/>
      <c r="AB566" s="23"/>
      <c r="AC566" s="40"/>
      <c r="AD566" s="23"/>
      <c r="AE566" s="23"/>
    </row>
    <row r="567" spans="1:31" ht="12.75">
      <c r="A567" s="23"/>
      <c r="B567" s="64"/>
      <c r="C567" s="62"/>
      <c r="D567" s="92"/>
      <c r="E567" s="65"/>
      <c r="F567" s="65"/>
      <c r="G567" s="67"/>
      <c r="H567" s="67"/>
      <c r="I567" s="71"/>
      <c r="J567" s="70"/>
      <c r="K567" s="23"/>
      <c r="L567" s="70"/>
      <c r="M567" s="70"/>
      <c r="N567" s="70"/>
      <c r="O567" s="40"/>
      <c r="P567" s="23"/>
      <c r="Q567" s="23"/>
      <c r="R567" s="72"/>
      <c r="S567" s="72"/>
      <c r="T567" s="23"/>
      <c r="U567" s="40"/>
      <c r="V567" s="23"/>
      <c r="W567" s="72"/>
      <c r="X567" s="23"/>
      <c r="Y567" s="40"/>
      <c r="Z567" s="23"/>
      <c r="AA567" s="72"/>
      <c r="AB567" s="23"/>
      <c r="AC567" s="40"/>
      <c r="AD567" s="23"/>
      <c r="AE567" s="23"/>
    </row>
    <row r="568" spans="1:31" ht="12.75">
      <c r="A568" s="23"/>
      <c r="B568" s="64"/>
      <c r="C568" s="62"/>
      <c r="D568" s="92"/>
      <c r="E568" s="65"/>
      <c r="F568" s="65"/>
      <c r="G568" s="67"/>
      <c r="H568" s="67"/>
      <c r="I568" s="71"/>
      <c r="J568" s="70"/>
      <c r="K568" s="23"/>
      <c r="L568" s="70"/>
      <c r="M568" s="70"/>
      <c r="N568" s="70"/>
      <c r="O568" s="40"/>
      <c r="P568" s="23"/>
      <c r="Q568" s="23"/>
      <c r="R568" s="72"/>
      <c r="S568" s="72"/>
      <c r="T568" s="23"/>
      <c r="U568" s="40"/>
      <c r="V568" s="23"/>
      <c r="W568" s="72"/>
      <c r="X568" s="23"/>
      <c r="Y568" s="40"/>
      <c r="Z568" s="23"/>
      <c r="AA568" s="72"/>
      <c r="AB568" s="23"/>
      <c r="AC568" s="40"/>
      <c r="AD568" s="23"/>
      <c r="AE568" s="23"/>
    </row>
    <row r="569" spans="1:31" ht="12.75">
      <c r="A569" s="23"/>
      <c r="B569" s="64"/>
      <c r="C569" s="62"/>
      <c r="D569" s="92"/>
      <c r="E569" s="65"/>
      <c r="F569" s="65"/>
      <c r="G569" s="67"/>
      <c r="H569" s="67"/>
      <c r="I569" s="71"/>
      <c r="J569" s="70"/>
      <c r="K569" s="23"/>
      <c r="L569" s="70"/>
      <c r="M569" s="70"/>
      <c r="N569" s="70"/>
      <c r="O569" s="40"/>
      <c r="P569" s="23"/>
      <c r="Q569" s="23"/>
      <c r="R569" s="72"/>
      <c r="S569" s="72"/>
      <c r="T569" s="23"/>
      <c r="U569" s="40"/>
      <c r="V569" s="23"/>
      <c r="W569" s="72"/>
      <c r="X569" s="23"/>
      <c r="Y569" s="40"/>
      <c r="Z569" s="23"/>
      <c r="AA569" s="72"/>
      <c r="AB569" s="23"/>
      <c r="AC569" s="40"/>
      <c r="AD569" s="23"/>
      <c r="AE569" s="23"/>
    </row>
    <row r="570" spans="1:31" ht="12.75">
      <c r="A570" s="23"/>
      <c r="B570" s="64"/>
      <c r="C570" s="62"/>
      <c r="D570" s="92"/>
      <c r="E570" s="65"/>
      <c r="F570" s="65"/>
      <c r="G570" s="67"/>
      <c r="H570" s="67"/>
      <c r="I570" s="71"/>
      <c r="J570" s="70"/>
      <c r="K570" s="23"/>
      <c r="L570" s="70"/>
      <c r="M570" s="70"/>
      <c r="N570" s="70"/>
      <c r="O570" s="40"/>
      <c r="P570" s="23"/>
      <c r="Q570" s="23"/>
      <c r="R570" s="72"/>
      <c r="S570" s="72"/>
      <c r="T570" s="23"/>
      <c r="U570" s="40"/>
      <c r="V570" s="23"/>
      <c r="W570" s="72"/>
      <c r="X570" s="23"/>
      <c r="Y570" s="40"/>
      <c r="Z570" s="23"/>
      <c r="AA570" s="72"/>
      <c r="AB570" s="23"/>
      <c r="AC570" s="40"/>
      <c r="AD570" s="23"/>
      <c r="AE570" s="23"/>
    </row>
    <row r="571" spans="1:31" ht="12.75">
      <c r="A571" s="23"/>
      <c r="B571" s="64"/>
      <c r="C571" s="62"/>
      <c r="D571" s="92"/>
      <c r="E571" s="65"/>
      <c r="F571" s="65"/>
      <c r="G571" s="67"/>
      <c r="H571" s="67"/>
      <c r="I571" s="71"/>
      <c r="J571" s="70"/>
      <c r="K571" s="23"/>
      <c r="L571" s="70"/>
      <c r="M571" s="70"/>
      <c r="N571" s="70"/>
      <c r="O571" s="40"/>
      <c r="P571" s="23"/>
      <c r="Q571" s="23"/>
      <c r="R571" s="72"/>
      <c r="S571" s="72"/>
      <c r="T571" s="23"/>
      <c r="U571" s="40"/>
      <c r="V571" s="23"/>
      <c r="W571" s="72"/>
      <c r="X571" s="23"/>
      <c r="Y571" s="40"/>
      <c r="Z571" s="23"/>
      <c r="AA571" s="72"/>
      <c r="AB571" s="23"/>
      <c r="AC571" s="40"/>
      <c r="AD571" s="23"/>
      <c r="AE571" s="23"/>
    </row>
    <row r="572" spans="1:31" ht="12.75">
      <c r="A572" s="23"/>
      <c r="B572" s="64"/>
      <c r="C572" s="62"/>
      <c r="D572" s="92"/>
      <c r="E572" s="65"/>
      <c r="F572" s="65"/>
      <c r="G572" s="67"/>
      <c r="H572" s="67"/>
      <c r="I572" s="71"/>
      <c r="J572" s="70"/>
      <c r="K572" s="23"/>
      <c r="L572" s="70"/>
      <c r="M572" s="70"/>
      <c r="N572" s="70"/>
      <c r="O572" s="40"/>
      <c r="P572" s="23"/>
      <c r="Q572" s="23"/>
      <c r="R572" s="72"/>
      <c r="S572" s="72"/>
      <c r="T572" s="23"/>
      <c r="U572" s="40"/>
      <c r="V572" s="23"/>
      <c r="W572" s="72"/>
      <c r="X572" s="23"/>
      <c r="Y572" s="40"/>
      <c r="Z572" s="23"/>
      <c r="AA572" s="72"/>
      <c r="AB572" s="23"/>
      <c r="AC572" s="40"/>
      <c r="AD572" s="23"/>
      <c r="AE572" s="23"/>
    </row>
    <row r="573" spans="1:31" ht="12.75">
      <c r="A573" s="23"/>
      <c r="B573" s="64"/>
      <c r="C573" s="62"/>
      <c r="D573" s="92"/>
      <c r="E573" s="65"/>
      <c r="F573" s="65"/>
      <c r="G573" s="67"/>
      <c r="H573" s="67"/>
      <c r="I573" s="71"/>
      <c r="J573" s="70"/>
      <c r="K573" s="23"/>
      <c r="L573" s="70"/>
      <c r="M573" s="70"/>
      <c r="N573" s="70"/>
      <c r="O573" s="40"/>
      <c r="P573" s="23"/>
      <c r="Q573" s="23"/>
      <c r="R573" s="72"/>
      <c r="S573" s="72"/>
      <c r="T573" s="23"/>
      <c r="U573" s="40"/>
      <c r="V573" s="23"/>
      <c r="W573" s="72"/>
      <c r="X573" s="23"/>
      <c r="Y573" s="40"/>
      <c r="Z573" s="23"/>
      <c r="AA573" s="72"/>
      <c r="AB573" s="23"/>
      <c r="AC573" s="40"/>
      <c r="AD573" s="23"/>
      <c r="AE573" s="23"/>
    </row>
    <row r="574" spans="1:31" ht="12.75">
      <c r="A574" s="23"/>
      <c r="B574" s="64"/>
      <c r="C574" s="62"/>
      <c r="D574" s="92"/>
      <c r="E574" s="65"/>
      <c r="F574" s="65"/>
      <c r="G574" s="67"/>
      <c r="H574" s="67"/>
      <c r="I574" s="71"/>
      <c r="J574" s="70"/>
      <c r="K574" s="23"/>
      <c r="L574" s="70"/>
      <c r="M574" s="70"/>
      <c r="N574" s="70"/>
      <c r="O574" s="40"/>
      <c r="P574" s="23"/>
      <c r="Q574" s="23"/>
      <c r="R574" s="72"/>
      <c r="S574" s="72"/>
      <c r="T574" s="23"/>
      <c r="U574" s="40"/>
      <c r="V574" s="23"/>
      <c r="W574" s="72"/>
      <c r="X574" s="23"/>
      <c r="Y574" s="40"/>
      <c r="Z574" s="23"/>
      <c r="AA574" s="72"/>
      <c r="AB574" s="23"/>
      <c r="AC574" s="40"/>
      <c r="AD574" s="23"/>
      <c r="AE574" s="23"/>
    </row>
    <row r="575" spans="1:31" ht="12.75">
      <c r="A575" s="23"/>
      <c r="B575" s="64"/>
      <c r="C575" s="62"/>
      <c r="D575" s="92"/>
      <c r="E575" s="65"/>
      <c r="F575" s="65"/>
      <c r="G575" s="67"/>
      <c r="H575" s="67"/>
      <c r="I575" s="71"/>
      <c r="J575" s="70"/>
      <c r="K575" s="23"/>
      <c r="L575" s="70"/>
      <c r="M575" s="70"/>
      <c r="N575" s="70"/>
      <c r="O575" s="40"/>
      <c r="P575" s="23"/>
      <c r="Q575" s="23"/>
      <c r="R575" s="72"/>
      <c r="S575" s="72"/>
      <c r="T575" s="23"/>
      <c r="U575" s="40"/>
      <c r="V575" s="23"/>
      <c r="W575" s="72"/>
      <c r="X575" s="23"/>
      <c r="Y575" s="40"/>
      <c r="Z575" s="23"/>
      <c r="AA575" s="72"/>
      <c r="AB575" s="23"/>
      <c r="AC575" s="40"/>
      <c r="AD575" s="23"/>
      <c r="AE575" s="23"/>
    </row>
    <row r="576" spans="1:31" ht="12.75">
      <c r="A576" s="23"/>
      <c r="B576" s="64"/>
      <c r="C576" s="62"/>
      <c r="D576" s="92"/>
      <c r="E576" s="65"/>
      <c r="F576" s="65"/>
      <c r="G576" s="67"/>
      <c r="H576" s="67"/>
      <c r="I576" s="71"/>
      <c r="J576" s="70"/>
      <c r="K576" s="23"/>
      <c r="L576" s="70"/>
      <c r="M576" s="70"/>
      <c r="N576" s="70"/>
      <c r="O576" s="40"/>
      <c r="P576" s="23"/>
      <c r="Q576" s="23"/>
      <c r="R576" s="72"/>
      <c r="S576" s="72"/>
      <c r="T576" s="23"/>
      <c r="U576" s="40"/>
      <c r="V576" s="23"/>
      <c r="W576" s="72"/>
      <c r="X576" s="23"/>
      <c r="Y576" s="40"/>
      <c r="Z576" s="23"/>
      <c r="AA576" s="72"/>
      <c r="AB576" s="23"/>
      <c r="AC576" s="40"/>
      <c r="AD576" s="23"/>
      <c r="AE576" s="23"/>
    </row>
    <row r="577" spans="1:31" ht="12.75">
      <c r="A577" s="23"/>
      <c r="B577" s="64"/>
      <c r="C577" s="62"/>
      <c r="D577" s="92"/>
      <c r="E577" s="65"/>
      <c r="F577" s="65"/>
      <c r="G577" s="67"/>
      <c r="H577" s="67"/>
      <c r="I577" s="71"/>
      <c r="J577" s="70"/>
      <c r="K577" s="23"/>
      <c r="L577" s="70"/>
      <c r="M577" s="70"/>
      <c r="N577" s="70"/>
      <c r="O577" s="40"/>
      <c r="P577" s="23"/>
      <c r="Q577" s="23"/>
      <c r="R577" s="72"/>
      <c r="S577" s="72"/>
      <c r="T577" s="23"/>
      <c r="U577" s="40"/>
      <c r="V577" s="23"/>
      <c r="W577" s="72"/>
      <c r="X577" s="23"/>
      <c r="Y577" s="40"/>
      <c r="Z577" s="23"/>
      <c r="AA577" s="72"/>
      <c r="AB577" s="23"/>
      <c r="AC577" s="40"/>
      <c r="AD577" s="23"/>
      <c r="AE577" s="23"/>
    </row>
    <row r="578" spans="1:31" ht="12.75">
      <c r="A578" s="23"/>
      <c r="B578" s="64"/>
      <c r="C578" s="62"/>
      <c r="D578" s="92"/>
      <c r="E578" s="65"/>
      <c r="F578" s="65"/>
      <c r="G578" s="67"/>
      <c r="H578" s="67"/>
      <c r="I578" s="71"/>
      <c r="J578" s="70"/>
      <c r="K578" s="23"/>
      <c r="L578" s="70"/>
      <c r="M578" s="70"/>
      <c r="N578" s="70"/>
      <c r="O578" s="40"/>
      <c r="P578" s="23"/>
      <c r="Q578" s="23"/>
      <c r="R578" s="72"/>
      <c r="S578" s="72"/>
      <c r="T578" s="23"/>
      <c r="U578" s="40"/>
      <c r="V578" s="23"/>
      <c r="W578" s="72"/>
      <c r="X578" s="23"/>
      <c r="Y578" s="40"/>
      <c r="Z578" s="23"/>
      <c r="AA578" s="72"/>
      <c r="AB578" s="23"/>
      <c r="AC578" s="40"/>
      <c r="AD578" s="23"/>
      <c r="AE578" s="23"/>
    </row>
    <row r="579" spans="1:31" ht="12.75">
      <c r="A579" s="23"/>
      <c r="B579" s="64"/>
      <c r="C579" s="62"/>
      <c r="D579" s="92"/>
      <c r="E579" s="65"/>
      <c r="F579" s="65"/>
      <c r="G579" s="67"/>
      <c r="H579" s="67"/>
      <c r="I579" s="71"/>
      <c r="J579" s="70"/>
      <c r="K579" s="23"/>
      <c r="L579" s="70"/>
      <c r="M579" s="70"/>
      <c r="N579" s="70"/>
      <c r="O579" s="40"/>
      <c r="P579" s="23"/>
      <c r="Q579" s="23"/>
      <c r="R579" s="72"/>
      <c r="S579" s="72"/>
      <c r="T579" s="23"/>
      <c r="U579" s="40"/>
      <c r="V579" s="23"/>
      <c r="W579" s="72"/>
      <c r="X579" s="23"/>
      <c r="Y579" s="40"/>
      <c r="Z579" s="23"/>
      <c r="AA579" s="72"/>
      <c r="AB579" s="23"/>
      <c r="AC579" s="40"/>
      <c r="AD579" s="23"/>
      <c r="AE579" s="23"/>
    </row>
    <row r="580" spans="1:31" ht="12.75">
      <c r="A580" s="23"/>
      <c r="B580" s="64"/>
      <c r="C580" s="62"/>
      <c r="D580" s="92"/>
      <c r="E580" s="65"/>
      <c r="F580" s="65"/>
      <c r="G580" s="67"/>
      <c r="H580" s="67"/>
      <c r="I580" s="71"/>
      <c r="J580" s="70"/>
      <c r="K580" s="23"/>
      <c r="L580" s="70"/>
      <c r="M580" s="70"/>
      <c r="N580" s="70"/>
      <c r="O580" s="40"/>
      <c r="P580" s="23"/>
      <c r="Q580" s="23"/>
      <c r="R580" s="72"/>
      <c r="S580" s="72"/>
      <c r="T580" s="23"/>
      <c r="U580" s="40"/>
      <c r="V580" s="23"/>
      <c r="W580" s="72"/>
      <c r="X580" s="23"/>
      <c r="Y580" s="40"/>
      <c r="Z580" s="23"/>
      <c r="AA580" s="72"/>
      <c r="AB580" s="23"/>
      <c r="AC580" s="40"/>
      <c r="AD580" s="23"/>
      <c r="AE580" s="23"/>
    </row>
    <row r="581" spans="1:31" ht="12.75">
      <c r="A581" s="23"/>
      <c r="B581" s="64"/>
      <c r="C581" s="62"/>
      <c r="D581" s="92"/>
      <c r="E581" s="65"/>
      <c r="F581" s="65"/>
      <c r="G581" s="67"/>
      <c r="H581" s="67"/>
      <c r="I581" s="71"/>
      <c r="J581" s="70"/>
      <c r="K581" s="23"/>
      <c r="L581" s="70"/>
      <c r="M581" s="70"/>
      <c r="N581" s="70"/>
      <c r="O581" s="40"/>
      <c r="P581" s="23"/>
      <c r="Q581" s="23"/>
      <c r="R581" s="72"/>
      <c r="S581" s="72"/>
      <c r="T581" s="23"/>
      <c r="U581" s="40"/>
      <c r="V581" s="23"/>
      <c r="W581" s="72"/>
      <c r="X581" s="23"/>
      <c r="Y581" s="40"/>
      <c r="Z581" s="23"/>
      <c r="AA581" s="72"/>
      <c r="AB581" s="23"/>
      <c r="AC581" s="40"/>
      <c r="AD581" s="23"/>
      <c r="AE581" s="23"/>
    </row>
    <row r="582" spans="1:31" ht="12.75">
      <c r="A582" s="23"/>
      <c r="B582" s="64"/>
      <c r="C582" s="62"/>
      <c r="D582" s="92"/>
      <c r="E582" s="65"/>
      <c r="F582" s="65"/>
      <c r="G582" s="67"/>
      <c r="H582" s="67"/>
      <c r="I582" s="71"/>
      <c r="J582" s="70"/>
      <c r="K582" s="23"/>
      <c r="L582" s="70"/>
      <c r="M582" s="70"/>
      <c r="N582" s="70"/>
      <c r="O582" s="40"/>
      <c r="P582" s="23"/>
      <c r="Q582" s="23"/>
      <c r="R582" s="72"/>
      <c r="S582" s="72"/>
      <c r="T582" s="23"/>
      <c r="U582" s="40"/>
      <c r="V582" s="23"/>
      <c r="W582" s="72"/>
      <c r="X582" s="23"/>
      <c r="Y582" s="40"/>
      <c r="Z582" s="23"/>
      <c r="AA582" s="72"/>
      <c r="AB582" s="23"/>
      <c r="AC582" s="40"/>
      <c r="AD582" s="23"/>
      <c r="AE582" s="23"/>
    </row>
    <row r="583" spans="1:31" ht="12.75">
      <c r="A583" s="23"/>
      <c r="B583" s="64"/>
      <c r="C583" s="62"/>
      <c r="D583" s="92"/>
      <c r="E583" s="65"/>
      <c r="F583" s="65"/>
      <c r="G583" s="67"/>
      <c r="H583" s="67"/>
      <c r="I583" s="71"/>
      <c r="J583" s="70"/>
      <c r="K583" s="23"/>
      <c r="L583" s="70"/>
      <c r="M583" s="70"/>
      <c r="N583" s="70"/>
      <c r="O583" s="40"/>
      <c r="P583" s="23"/>
      <c r="Q583" s="23"/>
      <c r="R583" s="72"/>
      <c r="S583" s="72"/>
      <c r="T583" s="23"/>
      <c r="U583" s="40"/>
      <c r="V583" s="23"/>
      <c r="W583" s="72"/>
      <c r="X583" s="23"/>
      <c r="Y583" s="40"/>
      <c r="Z583" s="23"/>
      <c r="AA583" s="72"/>
      <c r="AB583" s="23"/>
      <c r="AC583" s="40"/>
      <c r="AD583" s="23"/>
      <c r="AE583" s="23"/>
    </row>
    <row r="584" spans="1:31" ht="12.75">
      <c r="A584" s="23"/>
      <c r="B584" s="64"/>
      <c r="C584" s="62"/>
      <c r="D584" s="92"/>
      <c r="E584" s="65"/>
      <c r="F584" s="65"/>
      <c r="G584" s="67"/>
      <c r="H584" s="67"/>
      <c r="I584" s="71"/>
      <c r="J584" s="70"/>
      <c r="K584" s="23"/>
      <c r="L584" s="70"/>
      <c r="M584" s="70"/>
      <c r="N584" s="70"/>
      <c r="O584" s="40"/>
      <c r="P584" s="23"/>
      <c r="Q584" s="23"/>
      <c r="R584" s="72"/>
      <c r="S584" s="72"/>
      <c r="T584" s="23"/>
      <c r="U584" s="40"/>
      <c r="V584" s="23"/>
      <c r="W584" s="72"/>
      <c r="X584" s="23"/>
      <c r="Y584" s="40"/>
      <c r="Z584" s="23"/>
      <c r="AA584" s="72"/>
      <c r="AB584" s="23"/>
      <c r="AC584" s="40"/>
      <c r="AD584" s="23"/>
      <c r="AE584" s="23"/>
    </row>
    <row r="585" spans="1:31" ht="12.75">
      <c r="A585" s="23"/>
      <c r="B585" s="64"/>
      <c r="C585" s="62"/>
      <c r="D585" s="92"/>
      <c r="E585" s="65"/>
      <c r="F585" s="65"/>
      <c r="G585" s="67"/>
      <c r="H585" s="67"/>
      <c r="I585" s="71"/>
      <c r="J585" s="70"/>
      <c r="K585" s="23"/>
      <c r="L585" s="70"/>
      <c r="M585" s="70"/>
      <c r="N585" s="70"/>
      <c r="O585" s="40"/>
      <c r="P585" s="23"/>
      <c r="Q585" s="23"/>
      <c r="R585" s="72"/>
      <c r="S585" s="72"/>
      <c r="T585" s="23"/>
      <c r="U585" s="40"/>
      <c r="V585" s="23"/>
      <c r="W585" s="72"/>
      <c r="X585" s="23"/>
      <c r="Y585" s="40"/>
      <c r="Z585" s="23"/>
      <c r="AA585" s="72"/>
      <c r="AB585" s="23"/>
      <c r="AC585" s="40"/>
      <c r="AD585" s="23"/>
      <c r="AE585" s="23"/>
    </row>
    <row r="586" spans="1:31" ht="12.75">
      <c r="A586" s="23"/>
      <c r="B586" s="64"/>
      <c r="C586" s="62"/>
      <c r="D586" s="92"/>
      <c r="E586" s="65"/>
      <c r="F586" s="65"/>
      <c r="G586" s="67"/>
      <c r="H586" s="67"/>
      <c r="I586" s="71"/>
      <c r="J586" s="70"/>
      <c r="K586" s="23"/>
      <c r="L586" s="70"/>
      <c r="M586" s="70"/>
      <c r="N586" s="70"/>
      <c r="O586" s="40"/>
      <c r="P586" s="23"/>
      <c r="Q586" s="23"/>
      <c r="R586" s="72"/>
      <c r="S586" s="72"/>
      <c r="T586" s="23"/>
      <c r="U586" s="40"/>
      <c r="V586" s="23"/>
      <c r="W586" s="72"/>
      <c r="X586" s="23"/>
      <c r="Y586" s="40"/>
      <c r="Z586" s="23"/>
      <c r="AA586" s="72"/>
      <c r="AB586" s="23"/>
      <c r="AC586" s="40"/>
      <c r="AD586" s="23"/>
      <c r="AE586" s="23"/>
    </row>
    <row r="587" spans="1:31" ht="12.75">
      <c r="A587" s="23"/>
      <c r="B587" s="40"/>
      <c r="C587" s="40"/>
      <c r="D587" s="92"/>
      <c r="E587" s="65"/>
      <c r="F587" s="65"/>
      <c r="G587" s="67"/>
      <c r="H587" s="67"/>
      <c r="I587" s="71"/>
      <c r="J587" s="70"/>
      <c r="K587" s="23"/>
      <c r="L587" s="70"/>
      <c r="M587" s="70"/>
      <c r="N587" s="70"/>
      <c r="O587" s="23"/>
      <c r="P587" s="23"/>
      <c r="Q587" s="23"/>
      <c r="R587" s="72"/>
      <c r="S587" s="23"/>
      <c r="T587" s="23"/>
      <c r="U587" s="23"/>
      <c r="V587" s="23"/>
      <c r="W587" s="23"/>
      <c r="X587" s="23"/>
      <c r="Y587" s="23"/>
      <c r="Z587" s="23"/>
      <c r="AA587" s="23"/>
      <c r="AB587" s="23"/>
      <c r="AC587" s="23"/>
      <c r="AD587" s="23"/>
      <c r="AE587" s="23"/>
    </row>
    <row r="588" spans="1:31" ht="12.75">
      <c r="A588" s="23"/>
      <c r="B588" s="40"/>
      <c r="C588" s="40"/>
      <c r="D588" s="92"/>
      <c r="E588" s="65"/>
      <c r="F588" s="65"/>
      <c r="G588" s="67"/>
      <c r="H588" s="67"/>
      <c r="I588" s="71"/>
      <c r="J588" s="70"/>
      <c r="K588" s="23"/>
      <c r="L588" s="70"/>
      <c r="M588" s="70"/>
      <c r="N588" s="70"/>
      <c r="O588" s="23"/>
      <c r="P588" s="23"/>
      <c r="Q588" s="23"/>
      <c r="R588" s="72"/>
      <c r="S588" s="23"/>
      <c r="T588" s="23"/>
      <c r="U588" s="23"/>
      <c r="V588" s="23"/>
      <c r="W588" s="23"/>
      <c r="X588" s="23"/>
      <c r="Y588" s="23"/>
      <c r="Z588" s="23"/>
      <c r="AA588" s="23"/>
      <c r="AB588" s="23"/>
      <c r="AC588" s="23"/>
      <c r="AD588" s="23"/>
      <c r="AE588" s="23"/>
    </row>
    <row r="589" spans="1:31" ht="12" customHeight="1">
      <c r="A589" s="23"/>
      <c r="B589" s="40"/>
      <c r="C589" s="40"/>
      <c r="D589" s="92"/>
      <c r="E589" s="65"/>
      <c r="F589" s="65"/>
      <c r="G589" s="67"/>
      <c r="H589" s="67"/>
      <c r="I589" s="71"/>
      <c r="J589" s="70"/>
      <c r="K589" s="23"/>
      <c r="L589" s="70"/>
      <c r="M589" s="70"/>
      <c r="N589" s="70"/>
      <c r="O589" s="23"/>
      <c r="P589" s="23"/>
      <c r="Q589" s="23"/>
      <c r="R589" s="72"/>
      <c r="S589" s="23"/>
      <c r="T589" s="23"/>
      <c r="U589" s="23"/>
      <c r="V589" s="23"/>
      <c r="W589" s="23"/>
      <c r="X589" s="23"/>
      <c r="Y589" s="23"/>
      <c r="Z589" s="23"/>
      <c r="AA589" s="23"/>
      <c r="AB589" s="23"/>
      <c r="AC589" s="23"/>
      <c r="AD589" s="23"/>
      <c r="AE589" s="23"/>
    </row>
    <row r="590" spans="1:31" ht="12" customHeight="1">
      <c r="A590" s="23"/>
      <c r="B590" s="40"/>
      <c r="C590" s="40"/>
      <c r="D590" s="92"/>
      <c r="E590" s="65"/>
      <c r="F590" s="65"/>
      <c r="G590" s="67"/>
      <c r="H590" s="67"/>
      <c r="I590" s="71"/>
      <c r="J590" s="70"/>
      <c r="K590" s="23"/>
      <c r="L590" s="70"/>
      <c r="M590" s="70"/>
      <c r="N590" s="70"/>
      <c r="O590" s="23"/>
      <c r="P590" s="23"/>
      <c r="Q590" s="23"/>
      <c r="R590" s="72"/>
      <c r="S590" s="23"/>
      <c r="T590" s="23"/>
      <c r="U590" s="23"/>
      <c r="V590" s="23"/>
      <c r="W590" s="23"/>
      <c r="X590" s="23"/>
      <c r="Y590" s="23"/>
      <c r="Z590" s="23"/>
      <c r="AA590" s="23"/>
      <c r="AB590" s="23"/>
      <c r="AC590" s="23"/>
      <c r="AD590" s="23"/>
      <c r="AE590" s="23"/>
    </row>
    <row r="591" spans="1:31" ht="12" customHeight="1">
      <c r="A591" s="23"/>
      <c r="B591" s="40"/>
      <c r="C591" s="40"/>
      <c r="D591" s="92"/>
      <c r="E591" s="65"/>
      <c r="F591" s="65"/>
      <c r="G591" s="67"/>
      <c r="H591" s="67"/>
      <c r="I591" s="71"/>
      <c r="J591" s="70"/>
      <c r="K591" s="23"/>
      <c r="L591" s="70"/>
      <c r="M591" s="70"/>
      <c r="N591" s="70"/>
      <c r="O591" s="23"/>
      <c r="P591" s="23"/>
      <c r="Q591" s="23"/>
      <c r="R591" s="72"/>
      <c r="S591" s="23"/>
      <c r="T591" s="23"/>
      <c r="U591" s="23"/>
      <c r="V591" s="23"/>
      <c r="W591" s="23"/>
      <c r="X591" s="23"/>
      <c r="Y591" s="23"/>
      <c r="Z591" s="23"/>
      <c r="AA591" s="23"/>
      <c r="AB591" s="23"/>
      <c r="AC591" s="23"/>
      <c r="AD591" s="23"/>
      <c r="AE591" s="23"/>
    </row>
    <row r="592" spans="1:31" ht="12" customHeight="1">
      <c r="A592" s="23"/>
      <c r="B592" s="40"/>
      <c r="C592" s="40"/>
      <c r="D592" s="92"/>
      <c r="E592" s="65"/>
      <c r="F592" s="65"/>
      <c r="G592" s="67"/>
      <c r="H592" s="67"/>
      <c r="I592" s="71"/>
      <c r="J592" s="70"/>
      <c r="K592" s="23"/>
      <c r="L592" s="70"/>
      <c r="M592" s="70"/>
      <c r="N592" s="70"/>
      <c r="O592" s="23"/>
      <c r="P592" s="23"/>
      <c r="Q592" s="23"/>
      <c r="R592" s="72"/>
      <c r="S592" s="23"/>
      <c r="T592" s="23"/>
      <c r="U592" s="23"/>
      <c r="V592" s="23"/>
      <c r="W592" s="23"/>
      <c r="X592" s="23"/>
      <c r="Y592" s="23"/>
      <c r="Z592" s="23"/>
      <c r="AA592" s="23"/>
      <c r="AB592" s="23"/>
      <c r="AC592" s="23"/>
      <c r="AD592" s="23"/>
      <c r="AE592" s="23"/>
    </row>
    <row r="593" spans="1:31" ht="12.75">
      <c r="A593" s="23"/>
      <c r="B593" s="64"/>
      <c r="C593" s="62"/>
      <c r="D593" s="92"/>
      <c r="E593" s="65"/>
      <c r="F593" s="65"/>
      <c r="G593" s="67"/>
      <c r="H593" s="67"/>
      <c r="I593" s="71"/>
      <c r="J593" s="70"/>
      <c r="K593" s="23"/>
      <c r="L593" s="70"/>
      <c r="M593" s="70"/>
      <c r="N593" s="70"/>
      <c r="O593" s="40"/>
      <c r="P593" s="23"/>
      <c r="Q593" s="23"/>
      <c r="R593" s="72"/>
      <c r="S593" s="72"/>
      <c r="T593" s="23"/>
      <c r="U593" s="40"/>
      <c r="V593" s="23"/>
      <c r="W593" s="72"/>
      <c r="X593" s="23"/>
      <c r="Y593" s="40"/>
      <c r="Z593" s="23"/>
      <c r="AA593" s="72"/>
      <c r="AB593" s="23"/>
      <c r="AC593" s="40"/>
      <c r="AD593" s="23"/>
      <c r="AE593" s="23"/>
    </row>
    <row r="594" spans="1:31" ht="12.75">
      <c r="A594" s="23"/>
      <c r="B594" s="64"/>
      <c r="C594" s="62"/>
      <c r="D594" s="92"/>
      <c r="E594" s="65"/>
      <c r="F594" s="65"/>
      <c r="G594" s="67"/>
      <c r="H594" s="67"/>
      <c r="I594" s="71"/>
      <c r="J594" s="70"/>
      <c r="K594" s="23"/>
      <c r="L594" s="70"/>
      <c r="M594" s="70"/>
      <c r="N594" s="70"/>
      <c r="O594" s="40"/>
      <c r="P594" s="23"/>
      <c r="Q594" s="23"/>
      <c r="R594" s="72"/>
      <c r="S594" s="72"/>
      <c r="T594" s="23"/>
      <c r="U594" s="40"/>
      <c r="V594" s="23"/>
      <c r="W594" s="72"/>
      <c r="X594" s="23"/>
      <c r="Y594" s="40"/>
      <c r="Z594" s="23"/>
      <c r="AA594" s="72"/>
      <c r="AB594" s="23"/>
      <c r="AC594" s="40"/>
      <c r="AD594" s="23"/>
      <c r="AE594" s="23"/>
    </row>
    <row r="595" spans="1:31" ht="12.75">
      <c r="A595" s="23"/>
      <c r="B595" s="64"/>
      <c r="C595" s="62"/>
      <c r="D595" s="92"/>
      <c r="E595" s="65"/>
      <c r="F595" s="65"/>
      <c r="G595" s="67"/>
      <c r="H595" s="67"/>
      <c r="I595" s="71"/>
      <c r="J595" s="70"/>
      <c r="K595" s="23"/>
      <c r="L595" s="70"/>
      <c r="M595" s="70"/>
      <c r="N595" s="70"/>
      <c r="O595" s="40"/>
      <c r="P595" s="23"/>
      <c r="Q595" s="23"/>
      <c r="R595" s="72"/>
      <c r="S595" s="72"/>
      <c r="T595" s="23"/>
      <c r="U595" s="40"/>
      <c r="V595" s="23"/>
      <c r="W595" s="72"/>
      <c r="X595" s="23"/>
      <c r="Y595" s="40"/>
      <c r="Z595" s="23"/>
      <c r="AA595" s="72"/>
      <c r="AB595" s="23"/>
      <c r="AC595" s="40"/>
      <c r="AD595" s="23"/>
      <c r="AE595" s="23"/>
    </row>
    <row r="596" spans="1:31" ht="12.75">
      <c r="A596" s="23"/>
      <c r="B596" s="64"/>
      <c r="C596" s="62"/>
      <c r="D596" s="92"/>
      <c r="E596" s="65"/>
      <c r="F596" s="65"/>
      <c r="G596" s="67"/>
      <c r="H596" s="67"/>
      <c r="I596" s="71"/>
      <c r="J596" s="70"/>
      <c r="K596" s="23"/>
      <c r="L596" s="70"/>
      <c r="M596" s="70"/>
      <c r="N596" s="70"/>
      <c r="O596" s="40"/>
      <c r="P596" s="23"/>
      <c r="Q596" s="23"/>
      <c r="R596" s="72"/>
      <c r="S596" s="72"/>
      <c r="T596" s="23"/>
      <c r="U596" s="40"/>
      <c r="V596" s="23"/>
      <c r="W596" s="72"/>
      <c r="X596" s="23"/>
      <c r="Y596" s="40"/>
      <c r="Z596" s="23"/>
      <c r="AA596" s="72"/>
      <c r="AB596" s="23"/>
      <c r="AC596" s="40"/>
      <c r="AD596" s="23"/>
      <c r="AE596" s="23"/>
    </row>
    <row r="597" spans="1:31" ht="12.75">
      <c r="A597" s="23"/>
      <c r="B597" s="64"/>
      <c r="C597" s="62"/>
      <c r="D597" s="92"/>
      <c r="E597" s="65"/>
      <c r="F597" s="65"/>
      <c r="G597" s="67"/>
      <c r="H597" s="67"/>
      <c r="I597" s="71"/>
      <c r="J597" s="70"/>
      <c r="K597" s="23"/>
      <c r="L597" s="70"/>
      <c r="M597" s="70"/>
      <c r="N597" s="70"/>
      <c r="O597" s="40"/>
      <c r="P597" s="23"/>
      <c r="Q597" s="23"/>
      <c r="R597" s="72"/>
      <c r="S597" s="72"/>
      <c r="T597" s="23"/>
      <c r="U597" s="40"/>
      <c r="V597" s="23"/>
      <c r="W597" s="72"/>
      <c r="X597" s="23"/>
      <c r="Y597" s="40"/>
      <c r="Z597" s="23"/>
      <c r="AA597" s="72"/>
      <c r="AB597" s="23"/>
      <c r="AC597" s="40"/>
      <c r="AD597" s="23"/>
      <c r="AE597" s="23"/>
    </row>
    <row r="598" spans="1:31" ht="12.75">
      <c r="A598" s="23"/>
      <c r="B598" s="64"/>
      <c r="C598" s="62"/>
      <c r="D598" s="92"/>
      <c r="E598" s="65"/>
      <c r="F598" s="65"/>
      <c r="G598" s="67"/>
      <c r="H598" s="67"/>
      <c r="I598" s="71"/>
      <c r="J598" s="70"/>
      <c r="K598" s="23"/>
      <c r="L598" s="70"/>
      <c r="M598" s="70"/>
      <c r="N598" s="70"/>
      <c r="O598" s="40"/>
      <c r="P598" s="23"/>
      <c r="Q598" s="23"/>
      <c r="R598" s="72"/>
      <c r="S598" s="72"/>
      <c r="T598" s="23"/>
      <c r="U598" s="40"/>
      <c r="V598" s="23"/>
      <c r="W598" s="72"/>
      <c r="X598" s="23"/>
      <c r="Y598" s="40"/>
      <c r="Z598" s="23"/>
      <c r="AA598" s="72"/>
      <c r="AB598" s="23"/>
      <c r="AC598" s="40"/>
      <c r="AD598" s="23"/>
      <c r="AE598" s="23"/>
    </row>
    <row r="599" spans="1:31" ht="12.75">
      <c r="A599" s="23"/>
      <c r="B599" s="64"/>
      <c r="C599" s="62"/>
      <c r="D599" s="92"/>
      <c r="E599" s="65"/>
      <c r="F599" s="65"/>
      <c r="G599" s="67"/>
      <c r="H599" s="67"/>
      <c r="I599" s="71"/>
      <c r="J599" s="70"/>
      <c r="K599" s="23"/>
      <c r="L599" s="70"/>
      <c r="M599" s="70"/>
      <c r="N599" s="70"/>
      <c r="O599" s="40"/>
      <c r="P599" s="23"/>
      <c r="Q599" s="23"/>
      <c r="R599" s="72"/>
      <c r="S599" s="72"/>
      <c r="T599" s="23"/>
      <c r="U599" s="40"/>
      <c r="V599" s="23"/>
      <c r="W599" s="72"/>
      <c r="X599" s="23"/>
      <c r="Y599" s="40"/>
      <c r="Z599" s="23"/>
      <c r="AA599" s="72"/>
      <c r="AB599" s="23"/>
      <c r="AC599" s="40"/>
      <c r="AD599" s="23"/>
      <c r="AE599" s="23"/>
    </row>
    <row r="600" spans="1:31" ht="12.75">
      <c r="A600" s="23"/>
      <c r="B600" s="64"/>
      <c r="C600" s="62"/>
      <c r="D600" s="92"/>
      <c r="E600" s="65"/>
      <c r="F600" s="65"/>
      <c r="G600" s="67"/>
      <c r="H600" s="67"/>
      <c r="I600" s="71"/>
      <c r="J600" s="70"/>
      <c r="K600" s="23"/>
      <c r="L600" s="70"/>
      <c r="M600" s="70"/>
      <c r="N600" s="70"/>
      <c r="O600" s="40"/>
      <c r="P600" s="23"/>
      <c r="Q600" s="23"/>
      <c r="R600" s="72"/>
      <c r="S600" s="72"/>
      <c r="T600" s="23"/>
      <c r="U600" s="40"/>
      <c r="V600" s="23"/>
      <c r="W600" s="72"/>
      <c r="X600" s="23"/>
      <c r="Y600" s="40"/>
      <c r="Z600" s="23"/>
      <c r="AA600" s="72"/>
      <c r="AB600" s="23"/>
      <c r="AC600" s="40"/>
      <c r="AD600" s="23"/>
      <c r="AE600" s="23"/>
    </row>
    <row r="601" spans="1:31" ht="12.75">
      <c r="A601" s="23"/>
      <c r="B601" s="64"/>
      <c r="C601" s="62"/>
      <c r="D601" s="92"/>
      <c r="E601" s="65"/>
      <c r="F601" s="65"/>
      <c r="G601" s="67"/>
      <c r="H601" s="67"/>
      <c r="I601" s="71"/>
      <c r="J601" s="70"/>
      <c r="K601" s="23"/>
      <c r="L601" s="70"/>
      <c r="M601" s="70"/>
      <c r="N601" s="70"/>
      <c r="O601" s="40"/>
      <c r="P601" s="23"/>
      <c r="Q601" s="23"/>
      <c r="R601" s="72"/>
      <c r="S601" s="72"/>
      <c r="T601" s="23"/>
      <c r="U601" s="40"/>
      <c r="V601" s="23"/>
      <c r="W601" s="72"/>
      <c r="X601" s="23"/>
      <c r="Y601" s="40"/>
      <c r="Z601" s="23"/>
      <c r="AA601" s="72"/>
      <c r="AB601" s="23"/>
      <c r="AC601" s="40"/>
      <c r="AD601" s="23"/>
      <c r="AE601" s="23"/>
    </row>
    <row r="602" spans="1:31" ht="12.75">
      <c r="A602" s="23"/>
      <c r="B602" s="64"/>
      <c r="C602" s="62"/>
      <c r="D602" s="92"/>
      <c r="E602" s="65"/>
      <c r="F602" s="65"/>
      <c r="G602" s="67"/>
      <c r="H602" s="67"/>
      <c r="I602" s="71"/>
      <c r="J602" s="70"/>
      <c r="K602" s="23"/>
      <c r="L602" s="70"/>
      <c r="M602" s="70"/>
      <c r="N602" s="70"/>
      <c r="O602" s="40"/>
      <c r="P602" s="23"/>
      <c r="Q602" s="23"/>
      <c r="R602" s="72"/>
      <c r="S602" s="72"/>
      <c r="T602" s="23"/>
      <c r="U602" s="40"/>
      <c r="V602" s="23"/>
      <c r="W602" s="72"/>
      <c r="X602" s="23"/>
      <c r="Y602" s="40"/>
      <c r="Z602" s="23"/>
      <c r="AA602" s="72"/>
      <c r="AB602" s="23"/>
      <c r="AC602" s="40"/>
      <c r="AD602" s="23"/>
      <c r="AE602" s="23"/>
    </row>
    <row r="603" spans="1:31" ht="12.75">
      <c r="A603" s="23"/>
      <c r="B603" s="64"/>
      <c r="C603" s="62"/>
      <c r="D603" s="92"/>
      <c r="E603" s="65"/>
      <c r="F603" s="65"/>
      <c r="G603" s="67"/>
      <c r="H603" s="67"/>
      <c r="I603" s="71"/>
      <c r="J603" s="70"/>
      <c r="K603" s="23"/>
      <c r="L603" s="70"/>
      <c r="M603" s="70"/>
      <c r="N603" s="70"/>
      <c r="O603" s="40"/>
      <c r="P603" s="23"/>
      <c r="Q603" s="23"/>
      <c r="R603" s="72"/>
      <c r="S603" s="72"/>
      <c r="T603" s="23"/>
      <c r="U603" s="40"/>
      <c r="V603" s="23"/>
      <c r="W603" s="72"/>
      <c r="X603" s="23"/>
      <c r="Y603" s="40"/>
      <c r="Z603" s="23"/>
      <c r="AA603" s="72"/>
      <c r="AB603" s="23"/>
      <c r="AC603" s="40"/>
      <c r="AD603" s="23"/>
      <c r="AE603" s="23"/>
    </row>
    <row r="604" spans="1:31" ht="12.75">
      <c r="A604" s="23"/>
      <c r="B604" s="64"/>
      <c r="C604" s="62"/>
      <c r="D604" s="92"/>
      <c r="E604" s="65"/>
      <c r="F604" s="65"/>
      <c r="G604" s="67"/>
      <c r="H604" s="67"/>
      <c r="I604" s="71"/>
      <c r="J604" s="70"/>
      <c r="K604" s="23"/>
      <c r="L604" s="70"/>
      <c r="M604" s="70"/>
      <c r="N604" s="70"/>
      <c r="O604" s="40"/>
      <c r="P604" s="23"/>
      <c r="Q604" s="23"/>
      <c r="R604" s="72"/>
      <c r="S604" s="72"/>
      <c r="T604" s="23"/>
      <c r="U604" s="40"/>
      <c r="V604" s="23"/>
      <c r="W604" s="72"/>
      <c r="X604" s="23"/>
      <c r="Y604" s="40"/>
      <c r="Z604" s="23"/>
      <c r="AA604" s="72"/>
      <c r="AB604" s="23"/>
      <c r="AC604" s="40"/>
      <c r="AD604" s="23"/>
      <c r="AE604" s="23"/>
    </row>
    <row r="605" spans="1:31" ht="12.75">
      <c r="A605" s="23"/>
      <c r="B605" s="64"/>
      <c r="C605" s="62"/>
      <c r="D605" s="92"/>
      <c r="E605" s="65"/>
      <c r="F605" s="65"/>
      <c r="G605" s="67"/>
      <c r="H605" s="67"/>
      <c r="I605" s="71"/>
      <c r="J605" s="70"/>
      <c r="K605" s="23"/>
      <c r="L605" s="70"/>
      <c r="M605" s="70"/>
      <c r="N605" s="70"/>
      <c r="O605" s="40"/>
      <c r="P605" s="23"/>
      <c r="Q605" s="23"/>
      <c r="R605" s="72"/>
      <c r="S605" s="72"/>
      <c r="T605" s="23"/>
      <c r="U605" s="40"/>
      <c r="V605" s="23"/>
      <c r="W605" s="72"/>
      <c r="X605" s="23"/>
      <c r="Y605" s="40"/>
      <c r="Z605" s="23"/>
      <c r="AA605" s="72"/>
      <c r="AB605" s="23"/>
      <c r="AC605" s="40"/>
      <c r="AD605" s="23"/>
      <c r="AE605" s="23"/>
    </row>
    <row r="606" spans="1:31" ht="12" customHeight="1">
      <c r="A606" s="23"/>
      <c r="B606" s="40"/>
      <c r="C606" s="40"/>
      <c r="D606" s="92"/>
      <c r="E606" s="65"/>
      <c r="F606" s="65"/>
      <c r="G606" s="67"/>
      <c r="H606" s="67"/>
      <c r="I606" s="71"/>
      <c r="J606" s="70"/>
      <c r="K606" s="23"/>
      <c r="L606" s="70"/>
      <c r="M606" s="70"/>
      <c r="N606" s="70"/>
      <c r="O606" s="23"/>
      <c r="P606" s="23"/>
      <c r="Q606" s="23"/>
      <c r="R606" s="72"/>
      <c r="S606" s="23"/>
      <c r="T606" s="23"/>
      <c r="U606" s="23"/>
      <c r="V606" s="23"/>
      <c r="W606" s="23"/>
      <c r="X606" s="23"/>
      <c r="Y606" s="23"/>
      <c r="Z606" s="23"/>
      <c r="AA606" s="23"/>
      <c r="AB606" s="23"/>
      <c r="AC606" s="23"/>
      <c r="AD606" s="23"/>
      <c r="AE606" s="23"/>
    </row>
    <row r="607" spans="1:31" ht="12" customHeight="1">
      <c r="A607" s="23"/>
      <c r="B607" s="40"/>
      <c r="C607" s="40"/>
      <c r="D607" s="92"/>
      <c r="E607" s="65"/>
      <c r="F607" s="65"/>
      <c r="G607" s="67"/>
      <c r="H607" s="67"/>
      <c r="I607" s="71"/>
      <c r="J607" s="70"/>
      <c r="K607" s="23"/>
      <c r="L607" s="70"/>
      <c r="M607" s="70"/>
      <c r="N607" s="70"/>
      <c r="O607" s="23"/>
      <c r="P607" s="23"/>
      <c r="Q607" s="23"/>
      <c r="R607" s="72"/>
      <c r="S607" s="23"/>
      <c r="T607" s="23"/>
      <c r="U607" s="23"/>
      <c r="V607" s="23"/>
      <c r="W607" s="23"/>
      <c r="X607" s="23"/>
      <c r="Y607" s="23"/>
      <c r="Z607" s="23"/>
      <c r="AA607" s="23"/>
      <c r="AB607" s="23"/>
      <c r="AC607" s="23"/>
      <c r="AD607" s="23"/>
      <c r="AE607" s="23"/>
    </row>
    <row r="608" spans="1:31" ht="12" customHeight="1">
      <c r="A608" s="23"/>
      <c r="B608" s="40"/>
      <c r="C608" s="40"/>
      <c r="D608" s="92"/>
      <c r="E608" s="65"/>
      <c r="F608" s="65"/>
      <c r="G608" s="67"/>
      <c r="H608" s="67"/>
      <c r="I608" s="71"/>
      <c r="J608" s="70"/>
      <c r="K608" s="23"/>
      <c r="L608" s="70"/>
      <c r="M608" s="70"/>
      <c r="N608" s="70"/>
      <c r="O608" s="23"/>
      <c r="P608" s="23"/>
      <c r="Q608" s="23"/>
      <c r="R608" s="72"/>
      <c r="S608" s="23"/>
      <c r="T608" s="23"/>
      <c r="U608" s="23"/>
      <c r="V608" s="23"/>
      <c r="W608" s="23"/>
      <c r="X608" s="23"/>
      <c r="Y608" s="23"/>
      <c r="Z608" s="23"/>
      <c r="AA608" s="23"/>
      <c r="AB608" s="23"/>
      <c r="AC608" s="23"/>
      <c r="AD608" s="23"/>
      <c r="AE608" s="23"/>
    </row>
    <row r="609" spans="1:31" ht="12" customHeight="1">
      <c r="A609" s="23"/>
      <c r="B609" s="40"/>
      <c r="C609" s="40"/>
      <c r="D609" s="92"/>
      <c r="E609" s="65"/>
      <c r="F609" s="65"/>
      <c r="G609" s="67"/>
      <c r="H609" s="67"/>
      <c r="I609" s="71"/>
      <c r="J609" s="70"/>
      <c r="K609" s="23"/>
      <c r="L609" s="70"/>
      <c r="M609" s="70"/>
      <c r="N609" s="70"/>
      <c r="O609" s="23"/>
      <c r="P609" s="23"/>
      <c r="Q609" s="23"/>
      <c r="R609" s="72"/>
      <c r="S609" s="23"/>
      <c r="T609" s="23"/>
      <c r="U609" s="23"/>
      <c r="V609" s="23"/>
      <c r="W609" s="23"/>
      <c r="X609" s="23"/>
      <c r="Y609" s="23"/>
      <c r="Z609" s="23"/>
      <c r="AA609" s="23"/>
      <c r="AB609" s="23"/>
      <c r="AC609" s="23"/>
      <c r="AD609" s="23"/>
      <c r="AE609" s="23"/>
    </row>
    <row r="610" spans="1:31" ht="12" customHeight="1">
      <c r="A610" s="23"/>
      <c r="B610" s="40"/>
      <c r="C610" s="40"/>
      <c r="D610" s="92"/>
      <c r="E610" s="65"/>
      <c r="F610" s="65"/>
      <c r="G610" s="67"/>
      <c r="H610" s="67"/>
      <c r="I610" s="71"/>
      <c r="J610" s="70"/>
      <c r="K610" s="23"/>
      <c r="L610" s="70"/>
      <c r="M610" s="70"/>
      <c r="N610" s="70"/>
      <c r="O610" s="23"/>
      <c r="P610" s="23"/>
      <c r="Q610" s="23"/>
      <c r="R610" s="72"/>
      <c r="S610" s="23"/>
      <c r="T610" s="23"/>
      <c r="U610" s="23"/>
      <c r="V610" s="23"/>
      <c r="W610" s="23"/>
      <c r="X610" s="23"/>
      <c r="Y610" s="23"/>
      <c r="Z610" s="23"/>
      <c r="AA610" s="23"/>
      <c r="AB610" s="23"/>
      <c r="AC610" s="23"/>
      <c r="AD610" s="23"/>
      <c r="AE610" s="23"/>
    </row>
    <row r="611" spans="1:31" ht="12" customHeight="1">
      <c r="A611" s="23"/>
      <c r="B611" s="40"/>
      <c r="C611" s="40"/>
      <c r="D611" s="92"/>
      <c r="E611" s="65"/>
      <c r="F611" s="65"/>
      <c r="G611" s="67"/>
      <c r="H611" s="67"/>
      <c r="I611" s="71"/>
      <c r="J611" s="70"/>
      <c r="K611" s="23"/>
      <c r="L611" s="70"/>
      <c r="M611" s="70"/>
      <c r="N611" s="70"/>
      <c r="O611" s="23"/>
      <c r="P611" s="23"/>
      <c r="Q611" s="23"/>
      <c r="R611" s="72"/>
      <c r="S611" s="23"/>
      <c r="T611" s="23"/>
      <c r="U611" s="23"/>
      <c r="V611" s="23"/>
      <c r="W611" s="23"/>
      <c r="X611" s="23"/>
      <c r="Y611" s="23"/>
      <c r="Z611" s="23"/>
      <c r="AA611" s="23"/>
      <c r="AB611" s="23"/>
      <c r="AC611" s="23"/>
      <c r="AD611" s="23"/>
      <c r="AE611" s="23"/>
    </row>
    <row r="612" spans="1:31" ht="12" customHeight="1">
      <c r="A612" s="23"/>
      <c r="B612" s="40"/>
      <c r="C612" s="40"/>
      <c r="D612" s="92"/>
      <c r="E612" s="65"/>
      <c r="F612" s="65"/>
      <c r="G612" s="67"/>
      <c r="H612" s="67"/>
      <c r="I612" s="71"/>
      <c r="J612" s="70"/>
      <c r="K612" s="23"/>
      <c r="L612" s="70"/>
      <c r="M612" s="70"/>
      <c r="N612" s="70"/>
      <c r="O612" s="23"/>
      <c r="P612" s="23"/>
      <c r="Q612" s="23"/>
      <c r="R612" s="72"/>
      <c r="S612" s="23"/>
      <c r="T612" s="23"/>
      <c r="U612" s="23"/>
      <c r="V612" s="23"/>
      <c r="W612" s="23"/>
      <c r="X612" s="23"/>
      <c r="Y612" s="23"/>
      <c r="Z612" s="23"/>
      <c r="AA612" s="23"/>
      <c r="AB612" s="23"/>
      <c r="AC612" s="23"/>
      <c r="AD612" s="23"/>
      <c r="AE612" s="23"/>
    </row>
    <row r="613" spans="1:31" ht="12" customHeight="1">
      <c r="A613" s="23"/>
      <c r="B613" s="40"/>
      <c r="C613" s="40"/>
      <c r="D613" s="92"/>
      <c r="E613" s="65"/>
      <c r="F613" s="65"/>
      <c r="G613" s="67"/>
      <c r="H613" s="67"/>
      <c r="I613" s="71"/>
      <c r="J613" s="70"/>
      <c r="K613" s="23"/>
      <c r="L613" s="70"/>
      <c r="M613" s="70"/>
      <c r="N613" s="70"/>
      <c r="O613" s="23"/>
      <c r="P613" s="23"/>
      <c r="Q613" s="23"/>
      <c r="R613" s="72"/>
      <c r="S613" s="23"/>
      <c r="T613" s="23"/>
      <c r="U613" s="23"/>
      <c r="V613" s="23"/>
      <c r="W613" s="23"/>
      <c r="X613" s="23"/>
      <c r="Y613" s="23"/>
      <c r="Z613" s="23"/>
      <c r="AA613" s="23"/>
      <c r="AB613" s="23"/>
      <c r="AC613" s="23"/>
      <c r="AD613" s="23"/>
      <c r="AE613" s="23"/>
    </row>
    <row r="614" spans="1:31" ht="12" customHeight="1">
      <c r="A614" s="23"/>
      <c r="B614" s="40"/>
      <c r="C614" s="40"/>
      <c r="D614" s="92"/>
      <c r="E614" s="65"/>
      <c r="F614" s="65"/>
      <c r="G614" s="67"/>
      <c r="H614" s="67"/>
      <c r="I614" s="71"/>
      <c r="J614" s="70"/>
      <c r="K614" s="23"/>
      <c r="L614" s="70"/>
      <c r="M614" s="70"/>
      <c r="N614" s="70"/>
      <c r="O614" s="23"/>
      <c r="P614" s="23"/>
      <c r="Q614" s="23"/>
      <c r="R614" s="72"/>
      <c r="S614" s="23"/>
      <c r="T614" s="23"/>
      <c r="U614" s="23"/>
      <c r="V614" s="23"/>
      <c r="W614" s="23"/>
      <c r="X614" s="23"/>
      <c r="Y614" s="23"/>
      <c r="Z614" s="23"/>
      <c r="AA614" s="23"/>
      <c r="AB614" s="23"/>
      <c r="AC614" s="23"/>
      <c r="AD614" s="23"/>
      <c r="AE614" s="23"/>
    </row>
    <row r="615" spans="1:31" ht="12" customHeight="1">
      <c r="A615" s="23"/>
      <c r="B615" s="40"/>
      <c r="C615" s="40"/>
      <c r="D615" s="92"/>
      <c r="E615" s="65"/>
      <c r="F615" s="65"/>
      <c r="G615" s="67"/>
      <c r="H615" s="67"/>
      <c r="I615" s="71"/>
      <c r="J615" s="70"/>
      <c r="K615" s="23"/>
      <c r="L615" s="70"/>
      <c r="M615" s="70"/>
      <c r="N615" s="70"/>
      <c r="O615" s="23"/>
      <c r="P615" s="23"/>
      <c r="Q615" s="23"/>
      <c r="R615" s="72"/>
      <c r="S615" s="23"/>
      <c r="T615" s="23"/>
      <c r="U615" s="23"/>
      <c r="V615" s="23"/>
      <c r="W615" s="23"/>
      <c r="X615" s="23"/>
      <c r="Y615" s="23"/>
      <c r="Z615" s="23"/>
      <c r="AA615" s="23"/>
      <c r="AB615" s="23"/>
      <c r="AC615" s="23"/>
      <c r="AD615" s="23"/>
      <c r="AE615" s="23"/>
    </row>
    <row r="616" spans="1:31" ht="12" customHeight="1">
      <c r="A616" s="23"/>
      <c r="B616" s="40"/>
      <c r="C616" s="40"/>
      <c r="D616" s="92"/>
      <c r="E616" s="65"/>
      <c r="F616" s="65"/>
      <c r="G616" s="67"/>
      <c r="H616" s="67"/>
      <c r="I616" s="71"/>
      <c r="J616" s="70"/>
      <c r="K616" s="23"/>
      <c r="L616" s="70"/>
      <c r="M616" s="70"/>
      <c r="N616" s="70"/>
      <c r="O616" s="23"/>
      <c r="P616" s="23"/>
      <c r="Q616" s="23"/>
      <c r="R616" s="72"/>
      <c r="S616" s="23"/>
      <c r="T616" s="23"/>
      <c r="U616" s="23"/>
      <c r="V616" s="23"/>
      <c r="W616" s="23"/>
      <c r="X616" s="23"/>
      <c r="Y616" s="23"/>
      <c r="Z616" s="23"/>
      <c r="AA616" s="23"/>
      <c r="AB616" s="23"/>
      <c r="AC616" s="23"/>
      <c r="AD616" s="23"/>
      <c r="AE616" s="23"/>
    </row>
    <row r="617" spans="1:31" ht="12" customHeight="1">
      <c r="A617" s="23"/>
      <c r="B617" s="40"/>
      <c r="C617" s="40"/>
      <c r="D617" s="92"/>
      <c r="E617" s="65"/>
      <c r="F617" s="65"/>
      <c r="G617" s="67"/>
      <c r="H617" s="67"/>
      <c r="I617" s="71"/>
      <c r="J617" s="70"/>
      <c r="K617" s="23"/>
      <c r="L617" s="70"/>
      <c r="M617" s="70"/>
      <c r="N617" s="70"/>
      <c r="O617" s="23"/>
      <c r="P617" s="23"/>
      <c r="Q617" s="23"/>
      <c r="R617" s="72"/>
      <c r="S617" s="23"/>
      <c r="T617" s="23"/>
      <c r="U617" s="23"/>
      <c r="V617" s="23"/>
      <c r="W617" s="23"/>
      <c r="X617" s="23"/>
      <c r="Y617" s="23"/>
      <c r="Z617" s="23"/>
      <c r="AA617" s="23"/>
      <c r="AB617" s="23"/>
      <c r="AC617" s="23"/>
      <c r="AD617" s="23"/>
      <c r="AE617" s="23"/>
    </row>
    <row r="618" spans="1:31" ht="12" customHeight="1">
      <c r="A618" s="23"/>
      <c r="B618" s="40"/>
      <c r="C618" s="40"/>
      <c r="D618" s="92"/>
      <c r="E618" s="65"/>
      <c r="F618" s="65"/>
      <c r="G618" s="67"/>
      <c r="H618" s="67"/>
      <c r="I618" s="71"/>
      <c r="J618" s="70"/>
      <c r="K618" s="23"/>
      <c r="L618" s="70"/>
      <c r="M618" s="70"/>
      <c r="N618" s="70"/>
      <c r="O618" s="23"/>
      <c r="P618" s="23"/>
      <c r="Q618" s="23"/>
      <c r="R618" s="72"/>
      <c r="S618" s="23"/>
      <c r="T618" s="23"/>
      <c r="U618" s="23"/>
      <c r="V618" s="23"/>
      <c r="W618" s="23"/>
      <c r="X618" s="23"/>
      <c r="Y618" s="23"/>
      <c r="Z618" s="23"/>
      <c r="AA618" s="23"/>
      <c r="AB618" s="23"/>
      <c r="AC618" s="23"/>
      <c r="AD618" s="23"/>
      <c r="AE618" s="23"/>
    </row>
    <row r="619" spans="1:31" ht="12" customHeight="1">
      <c r="A619" s="23"/>
      <c r="B619" s="40"/>
      <c r="C619" s="40"/>
      <c r="D619" s="92"/>
      <c r="E619" s="65"/>
      <c r="F619" s="65"/>
      <c r="G619" s="67"/>
      <c r="H619" s="67"/>
      <c r="I619" s="71"/>
      <c r="J619" s="70"/>
      <c r="K619" s="23"/>
      <c r="L619" s="70"/>
      <c r="M619" s="70"/>
      <c r="N619" s="70"/>
      <c r="O619" s="23"/>
      <c r="P619" s="23"/>
      <c r="Q619" s="23"/>
      <c r="R619" s="72"/>
      <c r="S619" s="23"/>
      <c r="T619" s="23"/>
      <c r="U619" s="23"/>
      <c r="V619" s="23"/>
      <c r="W619" s="23"/>
      <c r="X619" s="23"/>
      <c r="Y619" s="23"/>
      <c r="Z619" s="23"/>
      <c r="AA619" s="23"/>
      <c r="AB619" s="23"/>
      <c r="AC619" s="23"/>
      <c r="AD619" s="23"/>
      <c r="AE619" s="23"/>
    </row>
    <row r="620" spans="1:31" ht="12" customHeight="1">
      <c r="A620" s="23"/>
      <c r="B620" s="40"/>
      <c r="C620" s="40"/>
      <c r="D620" s="92"/>
      <c r="E620" s="65"/>
      <c r="F620" s="65"/>
      <c r="G620" s="67"/>
      <c r="H620" s="67"/>
      <c r="I620" s="71"/>
      <c r="J620" s="70"/>
      <c r="K620" s="23"/>
      <c r="L620" s="70"/>
      <c r="M620" s="70"/>
      <c r="N620" s="70"/>
      <c r="O620" s="23"/>
      <c r="P620" s="23"/>
      <c r="Q620" s="23"/>
      <c r="R620" s="72"/>
      <c r="S620" s="23"/>
      <c r="T620" s="23"/>
      <c r="U620" s="23"/>
      <c r="V620" s="23"/>
      <c r="W620" s="23"/>
      <c r="X620" s="23"/>
      <c r="Y620" s="23"/>
      <c r="Z620" s="23"/>
      <c r="AA620" s="23"/>
      <c r="AB620" s="23"/>
      <c r="AC620" s="23"/>
      <c r="AD620" s="23"/>
      <c r="AE620" s="23"/>
    </row>
    <row r="621" spans="1:31" ht="12.75">
      <c r="A621" s="23"/>
      <c r="B621" s="40"/>
      <c r="C621" s="40"/>
      <c r="D621" s="92"/>
      <c r="E621" s="65"/>
      <c r="F621" s="65"/>
      <c r="G621" s="67"/>
      <c r="H621" s="67"/>
      <c r="I621" s="40"/>
      <c r="J621" s="70"/>
      <c r="K621" s="23"/>
      <c r="L621" s="70"/>
      <c r="M621" s="70"/>
      <c r="N621" s="23"/>
      <c r="O621" s="23"/>
      <c r="P621" s="23"/>
      <c r="Q621" s="23"/>
      <c r="R621" s="72"/>
      <c r="S621" s="23"/>
      <c r="T621" s="23"/>
      <c r="U621" s="23"/>
      <c r="V621" s="23"/>
      <c r="W621" s="23"/>
      <c r="X621" s="23"/>
      <c r="Y621" s="23"/>
      <c r="Z621" s="23"/>
      <c r="AA621" s="23"/>
      <c r="AB621" s="23"/>
      <c r="AC621" s="23"/>
      <c r="AD621" s="23"/>
      <c r="AE621" s="23"/>
    </row>
    <row r="622" spans="1:31" ht="12.75">
      <c r="A622" s="23"/>
      <c r="B622" s="40"/>
      <c r="C622" s="40"/>
      <c r="D622" s="92"/>
      <c r="E622" s="65"/>
      <c r="F622" s="65"/>
      <c r="G622" s="67"/>
      <c r="H622" s="67"/>
      <c r="I622" s="40"/>
      <c r="J622" s="70"/>
      <c r="K622" s="23"/>
      <c r="L622" s="70"/>
      <c r="M622" s="70"/>
      <c r="N622" s="23"/>
      <c r="O622" s="23"/>
      <c r="P622" s="23"/>
      <c r="Q622" s="23"/>
      <c r="R622" s="72"/>
      <c r="S622" s="23"/>
      <c r="T622" s="23"/>
      <c r="U622" s="23"/>
      <c r="V622" s="23"/>
      <c r="W622" s="23"/>
      <c r="X622" s="23"/>
      <c r="Y622" s="23"/>
      <c r="Z622" s="23"/>
      <c r="AA622" s="23"/>
      <c r="AB622" s="23"/>
      <c r="AC622" s="23"/>
      <c r="AD622" s="23"/>
      <c r="AE622" s="23"/>
    </row>
    <row r="623" spans="1:31" ht="12.75">
      <c r="A623" s="23"/>
      <c r="B623" s="40"/>
      <c r="C623" s="40"/>
      <c r="D623" s="92"/>
      <c r="E623" s="65"/>
      <c r="F623" s="65"/>
      <c r="G623" s="67"/>
      <c r="H623" s="67"/>
      <c r="I623" s="40"/>
      <c r="J623" s="70"/>
      <c r="K623" s="23"/>
      <c r="L623" s="70"/>
      <c r="M623" s="70"/>
      <c r="N623" s="23"/>
      <c r="O623" s="23"/>
      <c r="P623" s="23"/>
      <c r="Q623" s="23"/>
      <c r="R623" s="72"/>
      <c r="S623" s="23"/>
      <c r="T623" s="23"/>
      <c r="U623" s="23"/>
      <c r="V623" s="23"/>
      <c r="W623" s="23"/>
      <c r="X623" s="23"/>
      <c r="Y623" s="23"/>
      <c r="Z623" s="23"/>
      <c r="AA623" s="23"/>
      <c r="AB623" s="23"/>
      <c r="AC623" s="23"/>
      <c r="AD623" s="23"/>
      <c r="AE623" s="23"/>
    </row>
    <row r="624" spans="1:31" ht="12.75">
      <c r="A624" s="23"/>
      <c r="B624" s="40"/>
      <c r="C624" s="40"/>
      <c r="D624" s="92"/>
      <c r="E624" s="65"/>
      <c r="F624" s="65"/>
      <c r="G624" s="67"/>
      <c r="H624" s="67"/>
      <c r="I624" s="40"/>
      <c r="J624" s="70"/>
      <c r="K624" s="23"/>
      <c r="L624" s="70"/>
      <c r="M624" s="70"/>
      <c r="N624" s="23"/>
      <c r="O624" s="23"/>
      <c r="P624" s="23"/>
      <c r="Q624" s="23"/>
      <c r="R624" s="72"/>
      <c r="S624" s="23"/>
      <c r="T624" s="23"/>
      <c r="U624" s="23"/>
      <c r="V624" s="23"/>
      <c r="W624" s="23"/>
      <c r="X624" s="23"/>
      <c r="Y624" s="23"/>
      <c r="Z624" s="23"/>
      <c r="AA624" s="23"/>
      <c r="AB624" s="23"/>
      <c r="AC624" s="23"/>
      <c r="AD624" s="23"/>
      <c r="AE624" s="23"/>
    </row>
    <row r="625" spans="1:31" ht="12.75">
      <c r="A625" s="23"/>
      <c r="B625" s="40"/>
      <c r="C625" s="40"/>
      <c r="D625" s="92"/>
      <c r="E625" s="65"/>
      <c r="F625" s="65"/>
      <c r="G625" s="67"/>
      <c r="H625" s="67"/>
      <c r="I625" s="40"/>
      <c r="J625" s="70"/>
      <c r="K625" s="23"/>
      <c r="L625" s="70"/>
      <c r="M625" s="70"/>
      <c r="N625" s="23"/>
      <c r="O625" s="23"/>
      <c r="P625" s="23"/>
      <c r="Q625" s="23"/>
      <c r="R625" s="72"/>
      <c r="S625" s="23"/>
      <c r="T625" s="23"/>
      <c r="U625" s="23"/>
      <c r="V625" s="23"/>
      <c r="W625" s="23"/>
      <c r="X625" s="23"/>
      <c r="Y625" s="23"/>
      <c r="Z625" s="23"/>
      <c r="AA625" s="23"/>
      <c r="AB625" s="23"/>
      <c r="AC625" s="23"/>
      <c r="AD625" s="23"/>
      <c r="AE625" s="23"/>
    </row>
    <row r="626" spans="1:31" ht="12.75">
      <c r="A626" s="23"/>
      <c r="B626" s="40"/>
      <c r="C626" s="40"/>
      <c r="D626" s="92"/>
      <c r="E626" s="65"/>
      <c r="F626" s="65"/>
      <c r="G626" s="67"/>
      <c r="H626" s="67"/>
      <c r="I626" s="40"/>
      <c r="J626" s="70"/>
      <c r="K626" s="23"/>
      <c r="L626" s="70"/>
      <c r="M626" s="70"/>
      <c r="N626" s="23"/>
      <c r="O626" s="23"/>
      <c r="P626" s="23"/>
      <c r="Q626" s="23"/>
      <c r="R626" s="72"/>
      <c r="S626" s="23"/>
      <c r="T626" s="23"/>
      <c r="U626" s="23"/>
      <c r="V626" s="23"/>
      <c r="W626" s="23"/>
      <c r="X626" s="23"/>
      <c r="Y626" s="23"/>
      <c r="Z626" s="23"/>
      <c r="AA626" s="23"/>
      <c r="AB626" s="23"/>
      <c r="AC626" s="23"/>
      <c r="AD626" s="23"/>
      <c r="AE626" s="23"/>
    </row>
    <row r="627" spans="1:31">
      <c r="A627" s="23"/>
      <c r="B627" s="40"/>
      <c r="C627" s="40"/>
      <c r="D627" s="23"/>
      <c r="E627" s="65"/>
      <c r="F627" s="23"/>
      <c r="G627" s="67"/>
      <c r="H627" s="67"/>
      <c r="I627" s="40"/>
      <c r="J627" s="70"/>
      <c r="K627" s="23"/>
      <c r="L627" s="70"/>
      <c r="M627" s="70"/>
      <c r="N627" s="23"/>
      <c r="O627" s="23"/>
      <c r="P627" s="23"/>
      <c r="Q627" s="23"/>
      <c r="R627" s="72"/>
      <c r="S627" s="23"/>
      <c r="T627" s="23"/>
      <c r="U627" s="23"/>
      <c r="V627" s="23"/>
      <c r="W627" s="23"/>
      <c r="X627" s="23"/>
      <c r="Y627" s="23"/>
      <c r="Z627" s="23"/>
      <c r="AA627" s="23"/>
      <c r="AB627" s="23"/>
      <c r="AC627" s="23"/>
      <c r="AD627" s="23"/>
      <c r="AE627" s="23"/>
    </row>
    <row r="628" spans="1:31" s="56" customFormat="1">
      <c r="A628" s="73"/>
      <c r="B628" s="85"/>
      <c r="C628" s="85"/>
      <c r="D628" s="73"/>
      <c r="E628" s="73"/>
      <c r="F628" s="73"/>
      <c r="G628" s="73"/>
      <c r="H628" s="99"/>
      <c r="I628" s="85"/>
      <c r="J628" s="86"/>
      <c r="K628" s="73"/>
      <c r="L628" s="86"/>
      <c r="M628" s="86"/>
      <c r="N628" s="73"/>
      <c r="O628" s="73"/>
      <c r="P628" s="73"/>
      <c r="Q628" s="73"/>
      <c r="R628" s="90"/>
      <c r="S628" s="73"/>
      <c r="T628" s="73"/>
      <c r="U628" s="73"/>
      <c r="V628" s="73"/>
      <c r="W628" s="73"/>
      <c r="X628" s="73"/>
      <c r="Y628" s="73"/>
      <c r="Z628" s="73"/>
      <c r="AA628" s="73"/>
      <c r="AB628" s="73"/>
      <c r="AC628" s="73"/>
      <c r="AD628" s="73"/>
      <c r="AE628" s="73"/>
    </row>
    <row r="629" spans="1:31" ht="50.1" customHeight="1">
      <c r="A629" s="23"/>
      <c r="B629" s="40"/>
      <c r="C629" s="40"/>
      <c r="D629" s="23"/>
      <c r="E629" s="23"/>
      <c r="F629" s="23"/>
      <c r="G629" s="67"/>
      <c r="H629" s="67"/>
      <c r="I629" s="40"/>
      <c r="J629" s="70"/>
      <c r="K629" s="23"/>
      <c r="L629" s="70"/>
      <c r="M629" s="70"/>
      <c r="N629" s="23"/>
      <c r="O629" s="23"/>
      <c r="P629" s="23"/>
      <c r="Q629" s="23"/>
      <c r="R629" s="72"/>
      <c r="S629" s="23"/>
      <c r="T629" s="23"/>
      <c r="U629" s="23"/>
      <c r="V629" s="23"/>
      <c r="W629" s="23"/>
      <c r="X629" s="23"/>
      <c r="Y629" s="23"/>
      <c r="Z629" s="23"/>
      <c r="AA629" s="23"/>
      <c r="AB629" s="23"/>
      <c r="AC629" s="23"/>
      <c r="AD629" s="23"/>
      <c r="AE629" s="23"/>
    </row>
    <row r="630" spans="1:31" ht="24" customHeight="1">
      <c r="A630" s="23"/>
      <c r="B630" s="40"/>
      <c r="C630" s="40"/>
      <c r="D630" s="23"/>
      <c r="E630" s="23"/>
      <c r="F630" s="23"/>
      <c r="G630" s="67"/>
      <c r="H630" s="67"/>
      <c r="I630" s="40"/>
      <c r="J630" s="70"/>
      <c r="K630" s="23"/>
      <c r="L630" s="70"/>
      <c r="M630" s="70"/>
      <c r="N630" s="23"/>
      <c r="O630" s="23"/>
      <c r="P630" s="23"/>
      <c r="Q630" s="23"/>
      <c r="R630" s="72"/>
      <c r="S630" s="23"/>
      <c r="T630" s="23"/>
      <c r="U630" s="23"/>
      <c r="V630" s="23"/>
      <c r="W630" s="23"/>
      <c r="X630" s="23"/>
      <c r="Y630" s="23"/>
      <c r="Z630" s="23"/>
      <c r="AA630" s="23"/>
      <c r="AB630" s="23"/>
      <c r="AC630" s="23"/>
      <c r="AD630" s="23"/>
      <c r="AE630" s="23"/>
    </row>
    <row r="631" spans="1:31">
      <c r="A631" s="23"/>
      <c r="B631" s="40"/>
      <c r="C631" s="40"/>
      <c r="D631" s="23"/>
      <c r="E631" s="23"/>
      <c r="F631" s="23"/>
      <c r="G631" s="23"/>
      <c r="H631" s="67"/>
      <c r="I631" s="40"/>
      <c r="J631" s="70"/>
      <c r="K631" s="23"/>
      <c r="L631" s="70"/>
      <c r="M631" s="70"/>
      <c r="N631" s="23"/>
      <c r="O631" s="23"/>
      <c r="P631" s="23"/>
      <c r="Q631" s="23"/>
      <c r="R631" s="72"/>
      <c r="S631" s="23"/>
      <c r="T631" s="23"/>
      <c r="U631" s="23"/>
      <c r="V631" s="23"/>
      <c r="W631" s="23"/>
      <c r="X631" s="23"/>
      <c r="Y631" s="23"/>
      <c r="Z631" s="23"/>
      <c r="AA631" s="23"/>
      <c r="AB631" s="23"/>
      <c r="AC631" s="23"/>
      <c r="AD631" s="23"/>
      <c r="AE631" s="23"/>
    </row>
    <row r="632" spans="1:31" ht="45" customHeight="1">
      <c r="A632" s="23"/>
      <c r="B632" s="40"/>
      <c r="C632" s="40"/>
      <c r="D632" s="23"/>
      <c r="E632" s="23"/>
      <c r="F632" s="23"/>
      <c r="G632" s="23"/>
      <c r="H632" s="67"/>
      <c r="I632" s="40"/>
      <c r="J632" s="70"/>
      <c r="K632" s="23"/>
      <c r="L632" s="70"/>
      <c r="M632" s="70"/>
      <c r="N632" s="23"/>
      <c r="O632" s="23"/>
      <c r="P632" s="23"/>
      <c r="Q632" s="23"/>
      <c r="R632" s="72"/>
      <c r="S632" s="23"/>
      <c r="T632" s="23"/>
      <c r="U632" s="23"/>
      <c r="V632" s="23"/>
      <c r="W632" s="23"/>
      <c r="X632" s="23"/>
      <c r="Y632" s="23"/>
      <c r="Z632" s="23"/>
      <c r="AA632" s="23"/>
      <c r="AB632" s="23"/>
      <c r="AC632" s="23"/>
      <c r="AD632" s="23"/>
      <c r="AE632" s="23"/>
    </row>
    <row r="633" spans="1:31">
      <c r="A633" s="23"/>
      <c r="B633" s="40"/>
      <c r="C633" s="40"/>
      <c r="D633" s="23"/>
      <c r="E633" s="23"/>
      <c r="F633" s="23"/>
      <c r="G633" s="23"/>
      <c r="H633" s="67"/>
      <c r="I633" s="40"/>
      <c r="J633" s="70"/>
      <c r="K633" s="23"/>
      <c r="L633" s="70"/>
      <c r="M633" s="70"/>
      <c r="N633" s="23"/>
      <c r="O633" s="23"/>
      <c r="P633" s="23"/>
      <c r="Q633" s="23"/>
      <c r="R633" s="72"/>
      <c r="S633" s="23"/>
      <c r="T633" s="23"/>
      <c r="U633" s="23"/>
      <c r="V633" s="23"/>
      <c r="W633" s="23"/>
      <c r="X633" s="23"/>
      <c r="Y633" s="23"/>
      <c r="Z633" s="23"/>
      <c r="AA633" s="23"/>
      <c r="AB633" s="23"/>
      <c r="AC633" s="23"/>
      <c r="AD633" s="23"/>
      <c r="AE633" s="23"/>
    </row>
    <row r="634" spans="1:31">
      <c r="A634" s="23"/>
      <c r="B634" s="40"/>
      <c r="C634" s="40"/>
      <c r="D634" s="23"/>
      <c r="E634" s="23"/>
      <c r="F634" s="23"/>
      <c r="G634" s="23"/>
      <c r="H634" s="67"/>
      <c r="I634" s="40"/>
      <c r="J634" s="70"/>
      <c r="K634" s="23"/>
      <c r="L634" s="70"/>
      <c r="M634" s="70"/>
      <c r="N634" s="23"/>
      <c r="O634" s="23"/>
      <c r="P634" s="23"/>
      <c r="Q634" s="23"/>
      <c r="R634" s="72"/>
      <c r="S634" s="23"/>
      <c r="T634" s="23"/>
      <c r="U634" s="23"/>
      <c r="V634" s="23"/>
      <c r="W634" s="23"/>
      <c r="X634" s="23"/>
      <c r="Y634" s="23"/>
      <c r="Z634" s="23"/>
      <c r="AA634" s="23"/>
      <c r="AB634" s="23"/>
      <c r="AC634" s="23"/>
      <c r="AD634" s="23"/>
      <c r="AE634" s="23"/>
    </row>
    <row r="635" spans="1:31">
      <c r="A635" s="23"/>
      <c r="B635" s="40"/>
      <c r="C635" s="40"/>
      <c r="D635" s="23"/>
      <c r="E635" s="23"/>
      <c r="F635" s="23"/>
      <c r="G635" s="23"/>
      <c r="H635" s="67"/>
      <c r="I635" s="40"/>
      <c r="J635" s="70"/>
      <c r="K635" s="23"/>
      <c r="L635" s="70"/>
      <c r="M635" s="70"/>
      <c r="N635" s="23"/>
      <c r="O635" s="23"/>
      <c r="P635" s="23"/>
      <c r="Q635" s="23"/>
      <c r="R635" s="72"/>
      <c r="S635" s="23"/>
      <c r="T635" s="23"/>
      <c r="U635" s="23"/>
      <c r="V635" s="23"/>
      <c r="W635" s="23"/>
      <c r="X635" s="23"/>
      <c r="Y635" s="23"/>
      <c r="Z635" s="23"/>
      <c r="AA635" s="23"/>
      <c r="AB635" s="23"/>
      <c r="AC635" s="23"/>
      <c r="AD635" s="23"/>
      <c r="AE635" s="23"/>
    </row>
    <row r="636" spans="1:31" ht="24" customHeight="1">
      <c r="A636" s="23"/>
      <c r="B636" s="40"/>
      <c r="C636" s="40"/>
      <c r="D636" s="23"/>
      <c r="E636" s="23"/>
      <c r="F636" s="23"/>
      <c r="G636" s="23"/>
      <c r="H636" s="67"/>
      <c r="I636" s="40"/>
      <c r="J636" s="70"/>
      <c r="K636" s="23"/>
      <c r="L636" s="70"/>
      <c r="M636" s="70"/>
      <c r="N636" s="23"/>
      <c r="O636" s="23"/>
      <c r="P636" s="23"/>
      <c r="Q636" s="23"/>
      <c r="R636" s="72"/>
      <c r="S636" s="23"/>
      <c r="T636" s="23"/>
      <c r="U636" s="23"/>
      <c r="V636" s="23"/>
      <c r="W636" s="23"/>
      <c r="X636" s="23"/>
      <c r="Y636" s="23"/>
      <c r="Z636" s="23"/>
      <c r="AA636" s="23"/>
      <c r="AB636" s="23"/>
      <c r="AC636" s="23"/>
      <c r="AD636" s="23"/>
      <c r="AE636" s="23"/>
    </row>
    <row r="637" spans="1:31">
      <c r="A637" s="23"/>
      <c r="B637" s="64"/>
      <c r="C637" s="62"/>
      <c r="D637" s="65"/>
      <c r="E637" s="66"/>
      <c r="F637" s="65"/>
      <c r="G637" s="67"/>
      <c r="H637" s="67"/>
      <c r="I637" s="67"/>
      <c r="J637" s="23"/>
      <c r="K637" s="23"/>
      <c r="L637" s="23"/>
      <c r="M637" s="23"/>
      <c r="N637" s="70"/>
      <c r="O637" s="40"/>
      <c r="P637" s="23"/>
      <c r="Q637" s="23"/>
      <c r="R637" s="72"/>
      <c r="S637" s="72"/>
      <c r="T637" s="23"/>
      <c r="U637" s="40"/>
      <c r="V637" s="23"/>
      <c r="W637" s="72"/>
      <c r="X637" s="23"/>
      <c r="Y637" s="40"/>
      <c r="Z637" s="23"/>
      <c r="AA637" s="72"/>
      <c r="AB637" s="23"/>
      <c r="AC637" s="40"/>
      <c r="AD637" s="23"/>
      <c r="AE637" s="23"/>
    </row>
    <row r="638" spans="1:31">
      <c r="A638" s="23"/>
      <c r="B638" s="64"/>
      <c r="C638" s="62"/>
      <c r="D638" s="65"/>
      <c r="E638" s="66"/>
      <c r="F638" s="65"/>
      <c r="G638" s="67"/>
      <c r="H638" s="67"/>
      <c r="I638" s="67"/>
      <c r="J638" s="23"/>
      <c r="K638" s="23"/>
      <c r="L638" s="23"/>
      <c r="M638" s="23"/>
      <c r="N638" s="70"/>
      <c r="O638" s="40"/>
      <c r="P638" s="23"/>
      <c r="Q638" s="23"/>
      <c r="R638" s="72"/>
      <c r="S638" s="72"/>
      <c r="T638" s="23"/>
      <c r="U638" s="40"/>
      <c r="V638" s="23"/>
      <c r="W638" s="72"/>
      <c r="X638" s="23"/>
      <c r="Y638" s="40"/>
      <c r="Z638" s="23"/>
      <c r="AA638" s="72"/>
      <c r="AB638" s="23"/>
      <c r="AC638" s="40"/>
      <c r="AD638" s="23"/>
      <c r="AE638" s="23"/>
    </row>
    <row r="639" spans="1:31">
      <c r="A639" s="23"/>
      <c r="B639" s="64"/>
      <c r="C639" s="62"/>
      <c r="D639" s="65"/>
      <c r="E639" s="66"/>
      <c r="F639" s="65"/>
      <c r="G639" s="67"/>
      <c r="H639" s="67"/>
      <c r="I639" s="67"/>
      <c r="J639" s="23"/>
      <c r="K639" s="23"/>
      <c r="L639" s="23"/>
      <c r="M639" s="23"/>
      <c r="N639" s="70"/>
      <c r="O639" s="40"/>
      <c r="P639" s="23"/>
      <c r="Q639" s="23"/>
      <c r="R639" s="72"/>
      <c r="S639" s="72"/>
      <c r="T639" s="23"/>
      <c r="U639" s="40"/>
      <c r="V639" s="23"/>
      <c r="W639" s="72"/>
      <c r="X639" s="23"/>
      <c r="Y639" s="40"/>
      <c r="Z639" s="23"/>
      <c r="AA639" s="72"/>
      <c r="AB639" s="23"/>
      <c r="AC639" s="40"/>
      <c r="AD639" s="23"/>
      <c r="AE639" s="23"/>
    </row>
    <row r="640" spans="1:31">
      <c r="A640" s="23"/>
      <c r="B640" s="64"/>
      <c r="C640" s="62"/>
      <c r="D640" s="65"/>
      <c r="E640" s="66"/>
      <c r="F640" s="65"/>
      <c r="G640" s="67"/>
      <c r="H640" s="71"/>
      <c r="I640" s="71"/>
      <c r="J640" s="40"/>
      <c r="K640" s="23"/>
      <c r="L640" s="23"/>
      <c r="M640" s="23"/>
      <c r="N640" s="70"/>
      <c r="O640" s="40"/>
      <c r="P640" s="23"/>
      <c r="Q640" s="23"/>
      <c r="R640" s="72"/>
      <c r="S640" s="72"/>
      <c r="T640" s="23"/>
      <c r="U640" s="40"/>
      <c r="V640" s="23"/>
      <c r="W640" s="72"/>
      <c r="X640" s="23"/>
      <c r="Y640" s="40"/>
      <c r="Z640" s="23"/>
      <c r="AA640" s="72"/>
      <c r="AB640" s="23"/>
      <c r="AC640" s="40"/>
      <c r="AD640" s="23"/>
      <c r="AE640" s="23"/>
    </row>
    <row r="641" spans="1:31">
      <c r="A641" s="23"/>
      <c r="B641" s="64"/>
      <c r="C641" s="62"/>
      <c r="D641" s="65"/>
      <c r="E641" s="66"/>
      <c r="F641" s="65"/>
      <c r="G641" s="67"/>
      <c r="H641" s="67"/>
      <c r="I641" s="67"/>
      <c r="J641" s="23"/>
      <c r="K641" s="23"/>
      <c r="L641" s="23"/>
      <c r="M641" s="23"/>
      <c r="N641" s="70"/>
      <c r="O641" s="40"/>
      <c r="P641" s="23"/>
      <c r="Q641" s="23"/>
      <c r="R641" s="72"/>
      <c r="S641" s="72"/>
      <c r="T641" s="23"/>
      <c r="U641" s="40"/>
      <c r="V641" s="23"/>
      <c r="W641" s="72"/>
      <c r="X641" s="23"/>
      <c r="Y641" s="40"/>
      <c r="Z641" s="23"/>
      <c r="AA641" s="72"/>
      <c r="AB641" s="23"/>
      <c r="AC641" s="40"/>
      <c r="AD641" s="23"/>
      <c r="AE641" s="23"/>
    </row>
    <row r="642" spans="1:31">
      <c r="A642" s="23"/>
      <c r="B642" s="64"/>
      <c r="C642" s="62"/>
      <c r="D642" s="65"/>
      <c r="E642" s="66"/>
      <c r="F642" s="65"/>
      <c r="G642" s="67"/>
      <c r="H642" s="71"/>
      <c r="I642" s="71"/>
      <c r="J642" s="40"/>
      <c r="K642" s="23"/>
      <c r="L642" s="23"/>
      <c r="M642" s="23"/>
      <c r="N642" s="70"/>
      <c r="O642" s="40"/>
      <c r="P642" s="23"/>
      <c r="Q642" s="23"/>
      <c r="R642" s="72"/>
      <c r="S642" s="72"/>
      <c r="T642" s="23"/>
      <c r="U642" s="40"/>
      <c r="V642" s="23"/>
      <c r="W642" s="72"/>
      <c r="X642" s="23"/>
      <c r="Y642" s="40"/>
      <c r="Z642" s="23"/>
      <c r="AA642" s="72"/>
      <c r="AB642" s="23"/>
      <c r="AC642" s="40"/>
      <c r="AD642" s="23"/>
      <c r="AE642" s="23"/>
    </row>
    <row r="643" spans="1:31">
      <c r="A643" s="23"/>
      <c r="B643" s="40"/>
      <c r="C643" s="40"/>
      <c r="D643" s="23"/>
      <c r="E643" s="23"/>
      <c r="F643" s="23"/>
      <c r="G643" s="23"/>
      <c r="H643" s="67"/>
      <c r="I643" s="40"/>
      <c r="J643" s="70"/>
      <c r="K643" s="23"/>
      <c r="L643" s="70"/>
      <c r="M643" s="70"/>
      <c r="N643" s="23"/>
      <c r="O643" s="23"/>
      <c r="P643" s="23"/>
      <c r="Q643" s="23"/>
      <c r="R643" s="72"/>
      <c r="S643" s="23"/>
      <c r="T643" s="23"/>
      <c r="U643" s="23"/>
      <c r="V643" s="23"/>
      <c r="W643" s="23"/>
      <c r="X643" s="23"/>
      <c r="Y643" s="23"/>
      <c r="Z643" s="23"/>
      <c r="AA643" s="23"/>
      <c r="AB643" s="23"/>
      <c r="AC643" s="23"/>
      <c r="AD643" s="23"/>
      <c r="AE643" s="23"/>
    </row>
    <row r="644" spans="1:31">
      <c r="A644" s="23"/>
      <c r="B644" s="40"/>
      <c r="C644" s="40"/>
      <c r="D644" s="23"/>
      <c r="E644" s="23"/>
      <c r="F644" s="23"/>
      <c r="G644" s="23"/>
      <c r="H644" s="67"/>
      <c r="I644" s="40"/>
      <c r="J644" s="70"/>
      <c r="K644" s="23"/>
      <c r="L644" s="70"/>
      <c r="M644" s="70"/>
      <c r="N644" s="23"/>
      <c r="O644" s="23"/>
      <c r="P644" s="23"/>
      <c r="Q644" s="23"/>
      <c r="R644" s="72"/>
      <c r="S644" s="23"/>
      <c r="T644" s="23"/>
      <c r="U644" s="23"/>
      <c r="V644" s="23"/>
      <c r="W644" s="23"/>
      <c r="X644" s="23"/>
      <c r="Y644" s="23"/>
      <c r="Z644" s="23"/>
      <c r="AA644" s="23"/>
      <c r="AB644" s="23"/>
      <c r="AC644" s="23"/>
      <c r="AD644" s="23"/>
      <c r="AE644" s="23"/>
    </row>
    <row r="645" spans="1:31">
      <c r="A645" s="23"/>
      <c r="B645" s="40"/>
      <c r="C645" s="40"/>
      <c r="D645" s="23"/>
      <c r="E645" s="23"/>
      <c r="F645" s="23"/>
      <c r="G645" s="23"/>
      <c r="H645" s="67"/>
      <c r="I645" s="40"/>
      <c r="J645" s="70"/>
      <c r="K645" s="23"/>
      <c r="L645" s="70"/>
      <c r="M645" s="70"/>
      <c r="N645" s="23"/>
      <c r="O645" s="23"/>
      <c r="P645" s="23"/>
      <c r="Q645" s="23"/>
      <c r="R645" s="72"/>
      <c r="S645" s="23"/>
      <c r="T645" s="23"/>
      <c r="U645" s="23"/>
      <c r="V645" s="23"/>
      <c r="W645" s="23"/>
      <c r="X645" s="23"/>
      <c r="Y645" s="23"/>
      <c r="Z645" s="23"/>
      <c r="AA645" s="23"/>
      <c r="AB645" s="23"/>
      <c r="AC645" s="23"/>
      <c r="AD645" s="23"/>
      <c r="AE645" s="23"/>
    </row>
    <row r="646" spans="1:31">
      <c r="A646" s="23"/>
      <c r="B646" s="40"/>
      <c r="C646" s="40"/>
      <c r="D646" s="23"/>
      <c r="E646" s="23"/>
      <c r="F646" s="23"/>
      <c r="G646" s="23"/>
      <c r="H646" s="67"/>
      <c r="I646" s="40"/>
      <c r="J646" s="70"/>
      <c r="K646" s="23"/>
      <c r="L646" s="70"/>
      <c r="M646" s="70"/>
      <c r="N646" s="23"/>
      <c r="O646" s="23"/>
      <c r="P646" s="23"/>
      <c r="Q646" s="23"/>
      <c r="R646" s="72"/>
      <c r="S646" s="23"/>
      <c r="T646" s="23"/>
      <c r="U646" s="23"/>
      <c r="V646" s="23"/>
      <c r="W646" s="23"/>
      <c r="X646" s="23"/>
      <c r="Y646" s="23"/>
      <c r="Z646" s="23"/>
      <c r="AA646" s="23"/>
      <c r="AB646" s="23"/>
      <c r="AC646" s="23"/>
      <c r="AD646" s="23"/>
      <c r="AE646" s="23"/>
    </row>
    <row r="647" spans="1:31">
      <c r="A647" s="23"/>
      <c r="B647" s="40"/>
      <c r="C647" s="40"/>
      <c r="D647" s="23"/>
      <c r="E647" s="23"/>
      <c r="F647" s="23"/>
      <c r="G647" s="23"/>
      <c r="H647" s="67"/>
      <c r="I647" s="40"/>
      <c r="J647" s="70"/>
      <c r="K647" s="23"/>
      <c r="L647" s="70"/>
      <c r="M647" s="70"/>
      <c r="N647" s="23"/>
      <c r="O647" s="23"/>
      <c r="P647" s="23"/>
      <c r="Q647" s="23"/>
      <c r="R647" s="72"/>
      <c r="S647" s="23"/>
      <c r="T647" s="23"/>
      <c r="U647" s="23"/>
      <c r="V647" s="23"/>
      <c r="W647" s="23"/>
      <c r="X647" s="23"/>
      <c r="Y647" s="23"/>
      <c r="Z647" s="23"/>
      <c r="AA647" s="23"/>
      <c r="AB647" s="23"/>
      <c r="AC647" s="23"/>
      <c r="AD647" s="23"/>
      <c r="AE647" s="23"/>
    </row>
    <row r="648" spans="1:31">
      <c r="A648" s="23"/>
      <c r="B648" s="40"/>
      <c r="C648" s="40"/>
      <c r="D648" s="23"/>
      <c r="E648" s="23"/>
      <c r="F648" s="23"/>
      <c r="G648" s="23"/>
      <c r="H648" s="67"/>
      <c r="I648" s="40"/>
      <c r="J648" s="70"/>
      <c r="K648" s="23"/>
      <c r="L648" s="70"/>
      <c r="M648" s="70"/>
      <c r="N648" s="23"/>
      <c r="O648" s="23"/>
      <c r="P648" s="23"/>
      <c r="Q648" s="23"/>
      <c r="R648" s="72"/>
      <c r="S648" s="23"/>
      <c r="T648" s="23"/>
      <c r="U648" s="23"/>
      <c r="V648" s="23"/>
      <c r="W648" s="23"/>
      <c r="X648" s="23"/>
      <c r="Y648" s="23"/>
      <c r="Z648" s="23"/>
      <c r="AA648" s="23"/>
      <c r="AB648" s="23"/>
      <c r="AC648" s="23"/>
      <c r="AD648" s="23"/>
      <c r="AE648" s="23"/>
    </row>
    <row r="649" spans="1:31">
      <c r="A649" s="23"/>
      <c r="B649" s="40"/>
      <c r="C649" s="40"/>
      <c r="D649" s="23"/>
      <c r="E649" s="23"/>
      <c r="F649" s="23"/>
      <c r="G649" s="23"/>
      <c r="H649" s="67"/>
      <c r="I649" s="40"/>
      <c r="J649" s="70"/>
      <c r="K649" s="23"/>
      <c r="L649" s="70"/>
      <c r="M649" s="70"/>
      <c r="N649" s="23"/>
      <c r="O649" s="23"/>
      <c r="P649" s="23"/>
      <c r="Q649" s="23"/>
      <c r="R649" s="72"/>
      <c r="S649" s="23"/>
      <c r="T649" s="23"/>
      <c r="U649" s="23"/>
      <c r="V649" s="23"/>
      <c r="W649" s="23"/>
      <c r="X649" s="23"/>
      <c r="Y649" s="23"/>
      <c r="Z649" s="23"/>
      <c r="AA649" s="23"/>
      <c r="AB649" s="23"/>
      <c r="AC649" s="23"/>
      <c r="AD649" s="23"/>
      <c r="AE649" s="23"/>
    </row>
    <row r="650" spans="1:31">
      <c r="A650" s="23"/>
      <c r="B650" s="40"/>
      <c r="C650" s="40"/>
      <c r="D650" s="23"/>
      <c r="E650" s="23"/>
      <c r="F650" s="23"/>
      <c r="G650" s="23"/>
      <c r="H650" s="67"/>
      <c r="I650" s="40"/>
      <c r="J650" s="70"/>
      <c r="K650" s="23"/>
      <c r="L650" s="70"/>
      <c r="M650" s="70"/>
      <c r="N650" s="23"/>
      <c r="O650" s="23"/>
      <c r="P650" s="23"/>
      <c r="Q650" s="23"/>
      <c r="R650" s="72"/>
      <c r="S650" s="23"/>
      <c r="T650" s="23"/>
      <c r="U650" s="23"/>
      <c r="V650" s="23"/>
      <c r="W650" s="23"/>
      <c r="X650" s="23"/>
      <c r="Y650" s="23"/>
      <c r="Z650" s="23"/>
      <c r="AA650" s="23"/>
      <c r="AB650" s="23"/>
      <c r="AC650" s="23"/>
      <c r="AD650" s="23"/>
      <c r="AE650" s="23"/>
    </row>
    <row r="651" spans="1:31">
      <c r="A651" s="23"/>
      <c r="B651" s="40"/>
      <c r="C651" s="40"/>
      <c r="D651" s="23"/>
      <c r="E651" s="23"/>
      <c r="F651" s="23"/>
      <c r="G651" s="23"/>
      <c r="H651" s="23"/>
      <c r="I651" s="40"/>
      <c r="J651" s="70"/>
      <c r="K651" s="23"/>
      <c r="L651" s="70"/>
      <c r="M651" s="70"/>
      <c r="N651" s="23"/>
      <c r="O651" s="23"/>
      <c r="P651" s="23"/>
      <c r="Q651" s="23"/>
      <c r="R651" s="72"/>
      <c r="S651" s="23"/>
      <c r="T651" s="23"/>
      <c r="U651" s="23"/>
      <c r="V651" s="23"/>
      <c r="W651" s="23"/>
      <c r="X651" s="23"/>
      <c r="Y651" s="23"/>
      <c r="Z651" s="23"/>
      <c r="AA651" s="23"/>
      <c r="AB651" s="23"/>
      <c r="AC651" s="23"/>
      <c r="AD651" s="23"/>
      <c r="AE651" s="23"/>
    </row>
    <row r="652" spans="1:31" ht="33" customHeight="1">
      <c r="A652" s="23"/>
      <c r="B652" s="40"/>
      <c r="C652" s="40"/>
      <c r="D652" s="23"/>
      <c r="E652" s="23"/>
      <c r="F652" s="23"/>
      <c r="G652" s="23"/>
      <c r="H652" s="23"/>
      <c r="I652" s="40"/>
      <c r="J652" s="70"/>
      <c r="K652" s="23"/>
      <c r="L652" s="70"/>
      <c r="M652" s="70"/>
      <c r="N652" s="23"/>
      <c r="O652" s="23"/>
      <c r="P652" s="23"/>
      <c r="Q652" s="23"/>
      <c r="R652" s="72"/>
      <c r="S652" s="23"/>
      <c r="T652" s="23"/>
      <c r="U652" s="23"/>
      <c r="V652" s="23"/>
      <c r="W652" s="23"/>
      <c r="X652" s="23"/>
      <c r="Y652" s="23"/>
      <c r="Z652" s="23"/>
      <c r="AA652" s="23"/>
      <c r="AB652" s="23"/>
      <c r="AC652" s="23"/>
      <c r="AD652" s="23"/>
      <c r="AE652" s="23"/>
    </row>
    <row r="653" spans="1:31" ht="33.950000000000003" customHeight="1">
      <c r="A653" s="23"/>
      <c r="B653" s="40"/>
      <c r="C653" s="40"/>
      <c r="D653" s="23"/>
      <c r="E653" s="23"/>
      <c r="F653" s="23"/>
      <c r="G653" s="23"/>
      <c r="H653" s="40"/>
      <c r="I653" s="40"/>
      <c r="J653" s="70"/>
      <c r="K653" s="23"/>
      <c r="L653" s="70"/>
      <c r="M653" s="70"/>
      <c r="N653" s="23"/>
      <c r="O653" s="23"/>
      <c r="P653" s="23"/>
      <c r="Q653" s="23"/>
      <c r="R653" s="72"/>
      <c r="S653" s="23"/>
      <c r="T653" s="23"/>
      <c r="U653" s="23"/>
      <c r="V653" s="23"/>
      <c r="W653" s="23"/>
      <c r="X653" s="23"/>
      <c r="Y653" s="23"/>
      <c r="Z653" s="23"/>
      <c r="AA653" s="23"/>
      <c r="AB653" s="23"/>
      <c r="AC653" s="23"/>
      <c r="AD653" s="23"/>
      <c r="AE653" s="23"/>
    </row>
    <row r="654" spans="1:31" ht="24" customHeight="1">
      <c r="A654" s="23"/>
      <c r="B654" s="40"/>
      <c r="C654" s="40"/>
      <c r="D654" s="23"/>
      <c r="E654" s="23"/>
      <c r="F654" s="23"/>
      <c r="G654" s="23"/>
      <c r="H654" s="40"/>
      <c r="I654" s="40"/>
      <c r="J654" s="70"/>
      <c r="K654" s="23"/>
      <c r="L654" s="70"/>
      <c r="M654" s="70"/>
      <c r="N654" s="23"/>
      <c r="O654" s="23"/>
      <c r="P654" s="23"/>
      <c r="Q654" s="23"/>
      <c r="R654" s="72"/>
      <c r="S654" s="23"/>
      <c r="T654" s="23"/>
      <c r="U654" s="23"/>
      <c r="V654" s="23"/>
      <c r="W654" s="23"/>
      <c r="X654" s="23"/>
      <c r="Y654" s="23"/>
      <c r="Z654" s="23"/>
      <c r="AA654" s="23"/>
      <c r="AB654" s="23"/>
      <c r="AC654" s="23"/>
      <c r="AD654" s="23"/>
      <c r="AE654" s="23"/>
    </row>
    <row r="655" spans="1:31" ht="23.1" customHeight="1">
      <c r="A655" s="23"/>
      <c r="B655" s="40"/>
      <c r="C655" s="40"/>
      <c r="D655" s="23"/>
      <c r="E655" s="23"/>
      <c r="F655" s="23"/>
      <c r="G655" s="23"/>
      <c r="H655" s="40"/>
      <c r="I655" s="40"/>
      <c r="J655" s="70"/>
      <c r="K655" s="23"/>
      <c r="L655" s="70"/>
      <c r="M655" s="70"/>
      <c r="N655" s="23"/>
      <c r="O655" s="23"/>
      <c r="P655" s="23"/>
      <c r="Q655" s="23"/>
      <c r="R655" s="72"/>
      <c r="S655" s="23"/>
      <c r="T655" s="23"/>
      <c r="U655" s="23"/>
      <c r="V655" s="23"/>
      <c r="W655" s="23"/>
      <c r="X655" s="23"/>
      <c r="Y655" s="23"/>
      <c r="Z655" s="23"/>
      <c r="AA655" s="23"/>
      <c r="AB655" s="23"/>
      <c r="AC655" s="23"/>
      <c r="AD655" s="23"/>
      <c r="AE655" s="23"/>
    </row>
    <row r="656" spans="1:31">
      <c r="A656" s="23"/>
      <c r="B656" s="40"/>
      <c r="C656" s="40"/>
      <c r="D656" s="23"/>
      <c r="E656" s="23"/>
      <c r="F656" s="23"/>
      <c r="G656" s="23"/>
      <c r="H656" s="40"/>
      <c r="I656" s="40"/>
      <c r="J656" s="70"/>
      <c r="K656" s="23"/>
      <c r="L656" s="70"/>
      <c r="M656" s="70"/>
      <c r="N656" s="23"/>
      <c r="O656" s="23"/>
      <c r="P656" s="23"/>
      <c r="Q656" s="23"/>
      <c r="R656" s="72"/>
      <c r="S656" s="23"/>
      <c r="T656" s="23"/>
      <c r="U656" s="23"/>
      <c r="V656" s="23"/>
      <c r="W656" s="23"/>
      <c r="X656" s="23"/>
      <c r="Y656" s="23"/>
      <c r="Z656" s="23"/>
      <c r="AA656" s="23"/>
      <c r="AB656" s="23"/>
      <c r="AC656" s="23"/>
      <c r="AD656" s="23"/>
      <c r="AE656" s="23"/>
    </row>
    <row r="657" spans="1:31">
      <c r="A657" s="23"/>
      <c r="B657" s="40"/>
      <c r="C657" s="40"/>
      <c r="D657" s="23"/>
      <c r="E657" s="23"/>
      <c r="F657" s="23"/>
      <c r="G657" s="23"/>
      <c r="H657" s="40"/>
      <c r="I657" s="40"/>
      <c r="J657" s="70"/>
      <c r="K657" s="23"/>
      <c r="L657" s="70"/>
      <c r="M657" s="70"/>
      <c r="N657" s="23"/>
      <c r="O657" s="23"/>
      <c r="P657" s="23"/>
      <c r="Q657" s="23"/>
      <c r="R657" s="72"/>
      <c r="S657" s="23"/>
      <c r="T657" s="23"/>
      <c r="U657" s="23"/>
      <c r="V657" s="23"/>
      <c r="W657" s="23"/>
      <c r="X657" s="23"/>
      <c r="Y657" s="23"/>
      <c r="Z657" s="23"/>
      <c r="AA657" s="23"/>
      <c r="AB657" s="23"/>
      <c r="AC657" s="23"/>
      <c r="AD657" s="23"/>
      <c r="AE657" s="23"/>
    </row>
    <row r="658" spans="1:31" ht="24" customHeight="1">
      <c r="A658" s="23"/>
      <c r="B658" s="40"/>
      <c r="C658" s="40"/>
      <c r="D658" s="23"/>
      <c r="E658" s="23"/>
      <c r="F658" s="23"/>
      <c r="G658" s="23"/>
      <c r="H658" s="40"/>
      <c r="I658" s="40"/>
      <c r="J658" s="70"/>
      <c r="K658" s="23"/>
      <c r="L658" s="70"/>
      <c r="M658" s="70"/>
      <c r="N658" s="23"/>
      <c r="O658" s="23"/>
      <c r="P658" s="23"/>
      <c r="Q658" s="23"/>
      <c r="R658" s="72"/>
      <c r="S658" s="23"/>
      <c r="T658" s="23"/>
      <c r="U658" s="23"/>
      <c r="V658" s="23"/>
      <c r="W658" s="23"/>
      <c r="X658" s="23"/>
      <c r="Y658" s="23"/>
      <c r="Z658" s="23"/>
      <c r="AA658" s="23"/>
      <c r="AB658" s="23"/>
      <c r="AC658" s="23"/>
      <c r="AD658" s="23"/>
      <c r="AE658" s="23"/>
    </row>
    <row r="659" spans="1:31" ht="42" customHeight="1">
      <c r="A659" s="23"/>
      <c r="B659" s="40"/>
      <c r="C659" s="40"/>
      <c r="D659" s="23"/>
      <c r="E659" s="23"/>
      <c r="F659" s="23"/>
      <c r="G659" s="23"/>
      <c r="H659" s="40"/>
      <c r="I659" s="40"/>
      <c r="J659" s="70"/>
      <c r="K659" s="23"/>
      <c r="L659" s="70"/>
      <c r="M659" s="70"/>
      <c r="N659" s="23"/>
      <c r="O659" s="23"/>
      <c r="P659" s="23"/>
      <c r="Q659" s="23"/>
      <c r="R659" s="72"/>
      <c r="S659" s="23"/>
      <c r="T659" s="23"/>
      <c r="U659" s="23"/>
      <c r="V659" s="23"/>
      <c r="W659" s="23"/>
      <c r="X659" s="23"/>
      <c r="Y659" s="23"/>
      <c r="Z659" s="23"/>
      <c r="AA659" s="23"/>
      <c r="AB659" s="23"/>
      <c r="AC659" s="23"/>
      <c r="AD659" s="23"/>
      <c r="AE659" s="23"/>
    </row>
    <row r="660" spans="1:31">
      <c r="A660" s="23"/>
      <c r="B660" s="40"/>
      <c r="C660" s="40"/>
      <c r="D660" s="23"/>
      <c r="E660" s="23"/>
      <c r="F660" s="23"/>
      <c r="G660" s="23"/>
      <c r="H660" s="40"/>
      <c r="I660" s="40"/>
      <c r="J660" s="70"/>
      <c r="K660" s="23"/>
      <c r="L660" s="70"/>
      <c r="M660" s="70"/>
      <c r="N660" s="23"/>
      <c r="O660" s="23"/>
      <c r="P660" s="23"/>
      <c r="Q660" s="23"/>
      <c r="R660" s="72"/>
      <c r="S660" s="23"/>
      <c r="T660" s="23"/>
      <c r="U660" s="23"/>
      <c r="V660" s="23"/>
      <c r="W660" s="23"/>
      <c r="X660" s="23"/>
      <c r="Y660" s="23"/>
      <c r="Z660" s="23"/>
      <c r="AA660" s="23"/>
      <c r="AB660" s="23"/>
      <c r="AC660" s="23"/>
      <c r="AD660" s="23"/>
      <c r="AE660" s="23"/>
    </row>
    <row r="661" spans="1:31">
      <c r="A661" s="23"/>
      <c r="B661" s="40"/>
      <c r="C661" s="40"/>
      <c r="D661" s="23"/>
      <c r="E661" s="23"/>
      <c r="F661" s="23"/>
      <c r="G661" s="23"/>
      <c r="H661" s="40"/>
      <c r="I661" s="40"/>
      <c r="J661" s="70"/>
      <c r="K661" s="23"/>
      <c r="L661" s="70"/>
      <c r="M661" s="70"/>
      <c r="N661" s="23"/>
      <c r="O661" s="23"/>
      <c r="P661" s="23"/>
      <c r="Q661" s="23"/>
      <c r="R661" s="72"/>
      <c r="S661" s="23"/>
      <c r="T661" s="23"/>
      <c r="U661" s="23"/>
      <c r="V661" s="23"/>
      <c r="W661" s="23"/>
      <c r="X661" s="23"/>
      <c r="Y661" s="23"/>
      <c r="Z661" s="23"/>
      <c r="AA661" s="23"/>
      <c r="AB661" s="23"/>
      <c r="AC661" s="23"/>
      <c r="AD661" s="23"/>
      <c r="AE661" s="23"/>
    </row>
    <row r="662" spans="1:31">
      <c r="A662" s="23"/>
      <c r="B662" s="40"/>
      <c r="C662" s="40"/>
      <c r="D662" s="23"/>
      <c r="E662" s="23"/>
      <c r="F662" s="23"/>
      <c r="G662" s="23"/>
      <c r="H662" s="40"/>
      <c r="I662" s="40"/>
      <c r="J662" s="70"/>
      <c r="K662" s="23"/>
      <c r="L662" s="70"/>
      <c r="M662" s="70"/>
      <c r="N662" s="23"/>
      <c r="O662" s="23"/>
      <c r="P662" s="23"/>
      <c r="Q662" s="23"/>
      <c r="R662" s="72"/>
      <c r="S662" s="23"/>
      <c r="T662" s="23"/>
      <c r="U662" s="23"/>
      <c r="V662" s="23"/>
      <c r="W662" s="23"/>
      <c r="X662" s="23"/>
      <c r="Y662" s="23"/>
      <c r="Z662" s="23"/>
      <c r="AA662" s="23"/>
      <c r="AB662" s="23"/>
      <c r="AC662" s="23"/>
      <c r="AD662" s="23"/>
      <c r="AE662" s="23"/>
    </row>
    <row r="663" spans="1:31">
      <c r="A663" s="23"/>
      <c r="B663" s="40"/>
      <c r="C663" s="40"/>
      <c r="D663" s="23"/>
      <c r="E663" s="23"/>
      <c r="F663" s="23"/>
      <c r="G663" s="23"/>
      <c r="H663" s="40"/>
      <c r="I663" s="40"/>
      <c r="J663" s="70"/>
      <c r="K663" s="23"/>
      <c r="L663" s="70"/>
      <c r="M663" s="70"/>
      <c r="N663" s="23"/>
      <c r="O663" s="23"/>
      <c r="P663" s="23"/>
      <c r="Q663" s="23"/>
      <c r="R663" s="72"/>
      <c r="S663" s="23"/>
      <c r="T663" s="23"/>
      <c r="U663" s="23"/>
      <c r="V663" s="23"/>
      <c r="W663" s="23"/>
      <c r="X663" s="23"/>
      <c r="Y663" s="23"/>
      <c r="Z663" s="23"/>
      <c r="AA663" s="23"/>
      <c r="AB663" s="23"/>
      <c r="AC663" s="23"/>
      <c r="AD663" s="23"/>
      <c r="AE663" s="23"/>
    </row>
    <row r="664" spans="1:31">
      <c r="A664" s="23"/>
      <c r="B664" s="40"/>
      <c r="C664" s="40"/>
      <c r="D664" s="23"/>
      <c r="E664" s="23"/>
      <c r="F664" s="23"/>
      <c r="G664" s="23"/>
      <c r="H664" s="23"/>
      <c r="I664" s="40"/>
      <c r="J664" s="70"/>
      <c r="K664" s="23"/>
      <c r="L664" s="70"/>
      <c r="M664" s="70"/>
      <c r="N664" s="23"/>
      <c r="O664" s="23"/>
      <c r="P664" s="23"/>
      <c r="Q664" s="23"/>
      <c r="R664" s="72"/>
      <c r="S664" s="23"/>
      <c r="T664" s="23"/>
      <c r="U664" s="23"/>
      <c r="V664" s="23"/>
      <c r="W664" s="23"/>
      <c r="X664" s="23"/>
      <c r="Y664" s="23"/>
      <c r="Z664" s="23"/>
      <c r="AA664" s="23"/>
      <c r="AB664" s="23"/>
      <c r="AC664" s="23"/>
      <c r="AD664" s="23"/>
      <c r="AE664" s="23"/>
    </row>
    <row r="665" spans="1:31">
      <c r="A665" s="23"/>
      <c r="B665" s="40"/>
      <c r="C665" s="40"/>
      <c r="D665" s="23"/>
      <c r="E665" s="23"/>
      <c r="F665" s="23"/>
      <c r="G665" s="23"/>
      <c r="H665" s="23"/>
      <c r="I665" s="40"/>
      <c r="J665" s="70"/>
      <c r="K665" s="23"/>
      <c r="L665" s="70"/>
      <c r="M665" s="70"/>
      <c r="N665" s="23"/>
      <c r="O665" s="23"/>
      <c r="P665" s="23"/>
      <c r="Q665" s="23"/>
      <c r="R665" s="72"/>
      <c r="S665" s="23"/>
      <c r="T665" s="23"/>
      <c r="U665" s="23"/>
      <c r="V665" s="23"/>
      <c r="W665" s="23"/>
      <c r="X665" s="23"/>
      <c r="Y665" s="23"/>
      <c r="Z665" s="23"/>
      <c r="AA665" s="23"/>
      <c r="AB665" s="23"/>
      <c r="AC665" s="23"/>
      <c r="AD665" s="23"/>
      <c r="AE665" s="23"/>
    </row>
    <row r="666" spans="1:31">
      <c r="A666" s="23"/>
      <c r="B666" s="40"/>
      <c r="C666" s="40"/>
      <c r="D666" s="23"/>
      <c r="E666" s="23"/>
      <c r="F666" s="23"/>
      <c r="G666" s="23"/>
      <c r="H666" s="23"/>
      <c r="I666" s="40"/>
      <c r="J666" s="70"/>
      <c r="K666" s="23"/>
      <c r="L666" s="70"/>
      <c r="M666" s="70"/>
      <c r="N666" s="23"/>
      <c r="O666" s="23"/>
      <c r="P666" s="23"/>
      <c r="Q666" s="23"/>
      <c r="R666" s="72"/>
      <c r="S666" s="23"/>
      <c r="T666" s="23"/>
      <c r="U666" s="23"/>
      <c r="V666" s="23"/>
      <c r="W666" s="23"/>
      <c r="X666" s="23"/>
      <c r="Y666" s="23"/>
      <c r="Z666" s="23"/>
      <c r="AA666" s="23"/>
      <c r="AB666" s="23"/>
      <c r="AC666" s="23"/>
      <c r="AD666" s="23"/>
      <c r="AE666" s="23"/>
    </row>
    <row r="667" spans="1:31">
      <c r="A667" s="23"/>
      <c r="B667" s="40"/>
      <c r="C667" s="40"/>
      <c r="D667" s="23"/>
      <c r="E667" s="23"/>
      <c r="F667" s="23"/>
      <c r="G667" s="23"/>
      <c r="H667" s="23"/>
      <c r="I667" s="40"/>
      <c r="J667" s="70"/>
      <c r="K667" s="23"/>
      <c r="L667" s="70"/>
      <c r="M667" s="70"/>
      <c r="N667" s="23"/>
      <c r="O667" s="23"/>
      <c r="P667" s="23"/>
      <c r="Q667" s="23"/>
      <c r="R667" s="72"/>
      <c r="S667" s="23"/>
      <c r="T667" s="23"/>
      <c r="U667" s="23"/>
      <c r="V667" s="23"/>
      <c r="W667" s="23"/>
      <c r="X667" s="23"/>
      <c r="Y667" s="23"/>
      <c r="Z667" s="23"/>
      <c r="AA667" s="23"/>
      <c r="AB667" s="23"/>
      <c r="AC667" s="23"/>
      <c r="AD667" s="23"/>
      <c r="AE667" s="23"/>
    </row>
    <row r="668" spans="1:31">
      <c r="A668" s="23"/>
      <c r="B668" s="40"/>
      <c r="C668" s="40"/>
      <c r="D668" s="23"/>
      <c r="E668" s="23"/>
      <c r="F668" s="23"/>
      <c r="G668" s="23"/>
      <c r="H668" s="23"/>
      <c r="I668" s="40"/>
      <c r="J668" s="70"/>
      <c r="K668" s="23"/>
      <c r="L668" s="70"/>
      <c r="M668" s="70"/>
      <c r="N668" s="23"/>
      <c r="O668" s="23"/>
      <c r="P668" s="23"/>
      <c r="Q668" s="23"/>
      <c r="R668" s="72"/>
      <c r="S668" s="23"/>
      <c r="T668" s="23"/>
      <c r="U668" s="23"/>
      <c r="V668" s="23"/>
      <c r="W668" s="23"/>
      <c r="X668" s="23"/>
      <c r="Y668" s="23"/>
      <c r="Z668" s="23"/>
      <c r="AA668" s="23"/>
      <c r="AB668" s="23"/>
      <c r="AC668" s="23"/>
      <c r="AD668" s="23"/>
      <c r="AE668" s="23"/>
    </row>
    <row r="669" spans="1:31">
      <c r="A669" s="23"/>
      <c r="B669" s="40"/>
      <c r="C669" s="40"/>
      <c r="D669" s="23"/>
      <c r="E669" s="23"/>
      <c r="F669" s="23"/>
      <c r="G669" s="23"/>
      <c r="H669" s="23"/>
      <c r="I669" s="40"/>
      <c r="J669" s="70"/>
      <c r="K669" s="23"/>
      <c r="L669" s="70"/>
      <c r="M669" s="70"/>
      <c r="N669" s="23"/>
      <c r="O669" s="23"/>
      <c r="P669" s="23"/>
      <c r="Q669" s="23"/>
      <c r="R669" s="72"/>
      <c r="S669" s="23"/>
      <c r="T669" s="23"/>
      <c r="U669" s="23"/>
      <c r="V669" s="23"/>
      <c r="W669" s="23"/>
      <c r="X669" s="23"/>
      <c r="Y669" s="23"/>
      <c r="Z669" s="23"/>
      <c r="AA669" s="23"/>
      <c r="AB669" s="23"/>
      <c r="AC669" s="23"/>
      <c r="AD669" s="23"/>
      <c r="AE669" s="23"/>
    </row>
    <row r="670" spans="1:31" ht="24" customHeight="1">
      <c r="A670" s="23"/>
      <c r="B670" s="40"/>
      <c r="C670" s="40"/>
      <c r="D670" s="23"/>
      <c r="E670" s="23"/>
      <c r="F670" s="23"/>
      <c r="G670" s="23"/>
      <c r="H670" s="40"/>
      <c r="I670" s="40"/>
      <c r="J670" s="70"/>
      <c r="K670" s="23"/>
      <c r="L670" s="70"/>
      <c r="M670" s="70"/>
      <c r="N670" s="23"/>
      <c r="O670" s="23"/>
      <c r="P670" s="23"/>
      <c r="Q670" s="23"/>
      <c r="R670" s="72"/>
      <c r="S670" s="23"/>
      <c r="T670" s="23"/>
      <c r="U670" s="23"/>
      <c r="V670" s="23"/>
      <c r="W670" s="23"/>
      <c r="X670" s="23"/>
      <c r="Y670" s="23"/>
      <c r="Z670" s="23"/>
      <c r="AA670" s="23"/>
      <c r="AB670" s="23"/>
      <c r="AC670" s="23"/>
      <c r="AD670" s="23"/>
      <c r="AE670" s="23"/>
    </row>
    <row r="671" spans="1:31">
      <c r="A671" s="23"/>
      <c r="B671" s="40"/>
      <c r="C671" s="40"/>
      <c r="D671" s="23"/>
      <c r="E671" s="23"/>
      <c r="F671" s="23"/>
      <c r="G671" s="23"/>
      <c r="H671" s="40"/>
      <c r="I671" s="40"/>
      <c r="J671" s="70"/>
      <c r="K671" s="23"/>
      <c r="L671" s="70"/>
      <c r="M671" s="70"/>
      <c r="N671" s="23"/>
      <c r="O671" s="23"/>
      <c r="P671" s="23"/>
      <c r="Q671" s="23"/>
      <c r="R671" s="72"/>
      <c r="S671" s="23"/>
      <c r="T671" s="23"/>
      <c r="U671" s="23"/>
      <c r="V671" s="23"/>
      <c r="W671" s="23"/>
      <c r="X671" s="23"/>
      <c r="Y671" s="23"/>
      <c r="Z671" s="23"/>
      <c r="AA671" s="23"/>
      <c r="AB671" s="23"/>
      <c r="AC671" s="23"/>
      <c r="AD671" s="23"/>
      <c r="AE671" s="23"/>
    </row>
    <row r="672" spans="1:31">
      <c r="A672" s="23"/>
      <c r="B672" s="40"/>
      <c r="C672" s="40"/>
      <c r="D672" s="23"/>
      <c r="E672" s="23"/>
      <c r="F672" s="23"/>
      <c r="G672" s="23"/>
      <c r="H672" s="40"/>
      <c r="I672" s="40"/>
      <c r="J672" s="70"/>
      <c r="K672" s="23"/>
      <c r="L672" s="70"/>
      <c r="M672" s="70"/>
      <c r="N672" s="23"/>
      <c r="O672" s="23"/>
      <c r="P672" s="23"/>
      <c r="Q672" s="23"/>
      <c r="R672" s="72"/>
      <c r="S672" s="23"/>
      <c r="T672" s="23"/>
      <c r="U672" s="23"/>
      <c r="V672" s="23"/>
      <c r="W672" s="23"/>
      <c r="X672" s="23"/>
      <c r="Y672" s="23"/>
      <c r="Z672" s="23"/>
      <c r="AA672" s="23"/>
      <c r="AB672" s="23"/>
      <c r="AC672" s="23"/>
      <c r="AD672" s="23"/>
      <c r="AE672" s="23"/>
    </row>
    <row r="673" spans="1:31">
      <c r="A673" s="23"/>
      <c r="B673" s="40"/>
      <c r="C673" s="40"/>
      <c r="D673" s="23"/>
      <c r="E673" s="23"/>
      <c r="F673" s="23"/>
      <c r="G673" s="23"/>
      <c r="H673" s="40"/>
      <c r="I673" s="40"/>
      <c r="J673" s="70"/>
      <c r="K673" s="23"/>
      <c r="L673" s="70"/>
      <c r="M673" s="70"/>
      <c r="N673" s="23"/>
      <c r="O673" s="23"/>
      <c r="P673" s="23"/>
      <c r="Q673" s="23"/>
      <c r="R673" s="72"/>
      <c r="S673" s="23"/>
      <c r="T673" s="23"/>
      <c r="U673" s="23"/>
      <c r="V673" s="23"/>
      <c r="W673" s="23"/>
      <c r="X673" s="23"/>
      <c r="Y673" s="23"/>
      <c r="Z673" s="23"/>
      <c r="AA673" s="23"/>
      <c r="AB673" s="23"/>
      <c r="AC673" s="23"/>
      <c r="AD673" s="23"/>
      <c r="AE673" s="23"/>
    </row>
    <row r="674" spans="1:31">
      <c r="A674" s="23"/>
      <c r="B674" s="40"/>
      <c r="C674" s="40"/>
      <c r="D674" s="23"/>
      <c r="E674" s="23"/>
      <c r="F674" s="23"/>
      <c r="G674" s="23"/>
      <c r="H674" s="40"/>
      <c r="I674" s="40"/>
      <c r="J674" s="70"/>
      <c r="K674" s="23"/>
      <c r="L674" s="70"/>
      <c r="M674" s="70"/>
      <c r="N674" s="23"/>
      <c r="O674" s="23"/>
      <c r="P674" s="23"/>
      <c r="Q674" s="23"/>
      <c r="R674" s="72"/>
      <c r="S674" s="23"/>
      <c r="T674" s="23"/>
      <c r="U674" s="23"/>
      <c r="V674" s="23"/>
      <c r="W674" s="23"/>
      <c r="X674" s="23"/>
      <c r="Y674" s="23"/>
      <c r="Z674" s="23"/>
      <c r="AA674" s="23"/>
      <c r="AB674" s="23"/>
      <c r="AC674" s="23"/>
      <c r="AD674" s="23"/>
      <c r="AE674" s="23"/>
    </row>
    <row r="675" spans="1:31">
      <c r="A675" s="23"/>
      <c r="B675" s="40"/>
      <c r="C675" s="40"/>
      <c r="D675" s="23"/>
      <c r="E675" s="23"/>
      <c r="F675" s="23"/>
      <c r="G675" s="23"/>
      <c r="H675" s="40"/>
      <c r="I675" s="40"/>
      <c r="J675" s="70"/>
      <c r="K675" s="23"/>
      <c r="L675" s="70"/>
      <c r="M675" s="70"/>
      <c r="N675" s="23"/>
      <c r="O675" s="23"/>
      <c r="P675" s="23"/>
      <c r="Q675" s="23"/>
      <c r="R675" s="72"/>
      <c r="S675" s="23"/>
      <c r="T675" s="23"/>
      <c r="U675" s="23"/>
      <c r="V675" s="23"/>
      <c r="W675" s="23"/>
      <c r="X675" s="23"/>
      <c r="Y675" s="23"/>
      <c r="Z675" s="23"/>
      <c r="AA675" s="23"/>
      <c r="AB675" s="23"/>
      <c r="AC675" s="23"/>
      <c r="AD675" s="23"/>
      <c r="AE675" s="23"/>
    </row>
    <row r="676" spans="1:31" ht="24" customHeight="1">
      <c r="A676" s="23"/>
      <c r="B676" s="40"/>
      <c r="C676" s="40"/>
      <c r="D676" s="23"/>
      <c r="E676" s="23"/>
      <c r="F676" s="23"/>
      <c r="G676" s="23"/>
      <c r="H676" s="40"/>
      <c r="I676" s="40"/>
      <c r="J676" s="70"/>
      <c r="K676" s="23"/>
      <c r="L676" s="70"/>
      <c r="M676" s="70"/>
      <c r="N676" s="23"/>
      <c r="O676" s="23"/>
      <c r="P676" s="23"/>
      <c r="Q676" s="23"/>
      <c r="R676" s="72"/>
      <c r="S676" s="23"/>
      <c r="T676" s="23"/>
      <c r="U676" s="23"/>
      <c r="V676" s="23"/>
      <c r="W676" s="23"/>
      <c r="X676" s="23"/>
      <c r="Y676" s="23"/>
      <c r="Z676" s="23"/>
      <c r="AA676" s="23"/>
      <c r="AB676" s="23"/>
      <c r="AC676" s="23"/>
      <c r="AD676" s="23"/>
      <c r="AE676" s="23"/>
    </row>
    <row r="677" spans="1:31">
      <c r="A677" s="23"/>
      <c r="B677" s="40"/>
      <c r="C677" s="40"/>
      <c r="D677" s="23"/>
      <c r="E677" s="23"/>
      <c r="F677" s="23"/>
      <c r="G677" s="23"/>
      <c r="H677" s="40"/>
      <c r="I677" s="40"/>
      <c r="J677" s="70"/>
      <c r="K677" s="23"/>
      <c r="L677" s="70"/>
      <c r="M677" s="70"/>
      <c r="N677" s="23"/>
      <c r="O677" s="23"/>
      <c r="P677" s="23"/>
      <c r="Q677" s="23"/>
      <c r="R677" s="72"/>
      <c r="S677" s="23"/>
      <c r="T677" s="23"/>
      <c r="U677" s="23"/>
      <c r="V677" s="23"/>
      <c r="W677" s="23"/>
      <c r="X677" s="23"/>
      <c r="Y677" s="23"/>
      <c r="Z677" s="23"/>
      <c r="AA677" s="23"/>
      <c r="AB677" s="23"/>
      <c r="AC677" s="23"/>
      <c r="AD677" s="23"/>
      <c r="AE677" s="23"/>
    </row>
    <row r="678" spans="1:31">
      <c r="A678" s="23"/>
      <c r="B678" s="40"/>
      <c r="C678" s="40"/>
      <c r="D678" s="23"/>
      <c r="E678" s="23"/>
      <c r="F678" s="23"/>
      <c r="G678" s="23"/>
      <c r="H678" s="40"/>
      <c r="I678" s="40"/>
      <c r="J678" s="70"/>
      <c r="K678" s="23"/>
      <c r="L678" s="70"/>
      <c r="M678" s="70"/>
      <c r="N678" s="23"/>
      <c r="O678" s="23"/>
      <c r="P678" s="23"/>
      <c r="Q678" s="23"/>
      <c r="R678" s="72"/>
      <c r="S678" s="23"/>
      <c r="T678" s="23"/>
      <c r="U678" s="23"/>
      <c r="V678" s="23"/>
      <c r="W678" s="23"/>
      <c r="X678" s="23"/>
      <c r="Y678" s="23"/>
      <c r="Z678" s="23"/>
      <c r="AA678" s="23"/>
      <c r="AB678" s="23"/>
      <c r="AC678" s="23"/>
      <c r="AD678" s="23"/>
      <c r="AE678" s="23"/>
    </row>
    <row r="679" spans="1:31">
      <c r="A679" s="23"/>
      <c r="B679" s="40"/>
      <c r="C679" s="40"/>
      <c r="D679" s="23"/>
      <c r="E679" s="23"/>
      <c r="F679" s="23"/>
      <c r="G679" s="23"/>
      <c r="H679" s="40"/>
      <c r="I679" s="40"/>
      <c r="J679" s="70"/>
      <c r="K679" s="23"/>
      <c r="L679" s="70"/>
      <c r="M679" s="70"/>
      <c r="N679" s="23"/>
      <c r="O679" s="23"/>
      <c r="P679" s="23"/>
      <c r="Q679" s="23"/>
      <c r="R679" s="72"/>
      <c r="S679" s="23"/>
      <c r="T679" s="23"/>
      <c r="U679" s="23"/>
      <c r="V679" s="23"/>
      <c r="W679" s="23"/>
      <c r="X679" s="23"/>
      <c r="Y679" s="23"/>
      <c r="Z679" s="23"/>
      <c r="AA679" s="23"/>
      <c r="AB679" s="23"/>
      <c r="AC679" s="23"/>
      <c r="AD679" s="23"/>
      <c r="AE679" s="23"/>
    </row>
    <row r="680" spans="1:31">
      <c r="A680" s="23"/>
      <c r="B680" s="40"/>
      <c r="C680" s="40"/>
      <c r="D680" s="23"/>
      <c r="E680" s="23"/>
      <c r="F680" s="23"/>
      <c r="G680" s="23"/>
      <c r="H680" s="23"/>
      <c r="I680" s="40"/>
      <c r="J680" s="70"/>
      <c r="K680" s="23"/>
      <c r="L680" s="70"/>
      <c r="M680" s="70"/>
      <c r="N680" s="23"/>
      <c r="O680" s="23"/>
      <c r="P680" s="23"/>
      <c r="Q680" s="23"/>
      <c r="R680" s="72"/>
      <c r="S680" s="23"/>
      <c r="T680" s="23"/>
      <c r="U680" s="23"/>
      <c r="V680" s="23"/>
      <c r="W680" s="23"/>
      <c r="X680" s="23"/>
      <c r="Y680" s="23"/>
      <c r="Z680" s="23"/>
      <c r="AA680" s="23"/>
      <c r="AB680" s="23"/>
      <c r="AC680" s="23"/>
      <c r="AD680" s="23"/>
      <c r="AE680" s="23"/>
    </row>
    <row r="681" spans="1:31">
      <c r="A681" s="23"/>
      <c r="B681" s="40"/>
      <c r="C681" s="40"/>
      <c r="D681" s="23"/>
      <c r="E681" s="23"/>
      <c r="F681" s="23"/>
      <c r="G681" s="23"/>
      <c r="H681" s="23"/>
      <c r="I681" s="40"/>
      <c r="J681" s="70"/>
      <c r="K681" s="23"/>
      <c r="L681" s="70"/>
      <c r="M681" s="70"/>
      <c r="N681" s="23"/>
      <c r="O681" s="23"/>
      <c r="P681" s="23"/>
      <c r="Q681" s="23"/>
      <c r="R681" s="72"/>
      <c r="S681" s="23"/>
      <c r="T681" s="23"/>
      <c r="U681" s="23"/>
      <c r="V681" s="23"/>
      <c r="W681" s="23"/>
      <c r="X681" s="23"/>
      <c r="Y681" s="23"/>
      <c r="Z681" s="23"/>
      <c r="AA681" s="23"/>
      <c r="AB681" s="23"/>
      <c r="AC681" s="23"/>
      <c r="AD681" s="23"/>
      <c r="AE681" s="23"/>
    </row>
    <row r="682" spans="1:31">
      <c r="A682" s="23"/>
      <c r="B682" s="40"/>
      <c r="C682" s="40"/>
      <c r="D682" s="23"/>
      <c r="E682" s="23"/>
      <c r="F682" s="23"/>
      <c r="G682" s="23"/>
      <c r="H682" s="23"/>
      <c r="I682" s="40"/>
      <c r="J682" s="70"/>
      <c r="K682" s="23"/>
      <c r="L682" s="70"/>
      <c r="M682" s="70"/>
      <c r="N682" s="23"/>
      <c r="O682" s="23"/>
      <c r="P682" s="23"/>
      <c r="Q682" s="23"/>
      <c r="R682" s="72"/>
      <c r="S682" s="23"/>
      <c r="T682" s="23"/>
      <c r="U682" s="23"/>
      <c r="V682" s="23"/>
      <c r="W682" s="23"/>
      <c r="X682" s="23"/>
      <c r="Y682" s="23"/>
      <c r="Z682" s="23"/>
      <c r="AA682" s="23"/>
      <c r="AB682" s="23"/>
      <c r="AC682" s="23"/>
      <c r="AD682" s="23"/>
      <c r="AE682" s="23"/>
    </row>
    <row r="683" spans="1:31">
      <c r="A683" s="23"/>
      <c r="B683" s="40"/>
      <c r="C683" s="40"/>
      <c r="D683" s="23"/>
      <c r="E683" s="23"/>
      <c r="F683" s="23"/>
      <c r="G683" s="23"/>
      <c r="H683" s="23"/>
      <c r="I683" s="40"/>
      <c r="J683" s="70"/>
      <c r="K683" s="23"/>
      <c r="L683" s="70"/>
      <c r="M683" s="70"/>
      <c r="N683" s="23"/>
      <c r="O683" s="23"/>
      <c r="P683" s="23"/>
      <c r="Q683" s="23"/>
      <c r="R683" s="72"/>
      <c r="S683" s="23"/>
      <c r="T683" s="23"/>
      <c r="U683" s="23"/>
      <c r="V683" s="23"/>
      <c r="W683" s="23"/>
      <c r="X683" s="23"/>
      <c r="Y683" s="23"/>
      <c r="Z683" s="23"/>
      <c r="AA683" s="23"/>
      <c r="AB683" s="23"/>
      <c r="AC683" s="23"/>
      <c r="AD683" s="23"/>
      <c r="AE683" s="23"/>
    </row>
    <row r="684" spans="1:31">
      <c r="A684" s="23"/>
      <c r="B684" s="40"/>
      <c r="C684" s="40"/>
      <c r="D684" s="23"/>
      <c r="E684" s="23"/>
      <c r="F684" s="23"/>
      <c r="G684" s="23"/>
      <c r="H684" s="23"/>
      <c r="I684" s="40"/>
      <c r="J684" s="70"/>
      <c r="K684" s="23"/>
      <c r="L684" s="70"/>
      <c r="M684" s="70"/>
      <c r="N684" s="23"/>
      <c r="O684" s="23"/>
      <c r="P684" s="23"/>
      <c r="Q684" s="23"/>
      <c r="R684" s="72"/>
      <c r="S684" s="23"/>
      <c r="T684" s="23"/>
      <c r="U684" s="23"/>
      <c r="V684" s="23"/>
      <c r="W684" s="23"/>
      <c r="X684" s="23"/>
      <c r="Y684" s="23"/>
      <c r="Z684" s="23"/>
      <c r="AA684" s="23"/>
      <c r="AB684" s="23"/>
      <c r="AC684" s="23"/>
      <c r="AD684" s="23"/>
      <c r="AE684" s="23"/>
    </row>
    <row r="685" spans="1:31">
      <c r="A685" s="23"/>
      <c r="B685" s="40"/>
      <c r="C685" s="40"/>
      <c r="D685" s="23"/>
      <c r="E685" s="23"/>
      <c r="F685" s="23"/>
      <c r="G685" s="23"/>
      <c r="H685" s="23"/>
      <c r="I685" s="40"/>
      <c r="J685" s="70"/>
      <c r="K685" s="23"/>
      <c r="L685" s="70"/>
      <c r="M685" s="70"/>
      <c r="N685" s="23"/>
      <c r="O685" s="23"/>
      <c r="P685" s="23"/>
      <c r="Q685" s="23"/>
      <c r="R685" s="72"/>
      <c r="S685" s="23"/>
      <c r="T685" s="23"/>
      <c r="U685" s="23"/>
      <c r="V685" s="23"/>
      <c r="W685" s="23"/>
      <c r="X685" s="23"/>
      <c r="Y685" s="23"/>
      <c r="Z685" s="23"/>
      <c r="AA685" s="23"/>
      <c r="AB685" s="23"/>
      <c r="AC685" s="23"/>
      <c r="AD685" s="23"/>
      <c r="AE685" s="23"/>
    </row>
    <row r="686" spans="1:31">
      <c r="A686" s="23"/>
      <c r="B686" s="40"/>
      <c r="C686" s="40"/>
      <c r="D686" s="23"/>
      <c r="E686" s="23"/>
      <c r="F686" s="23"/>
      <c r="G686" s="23"/>
      <c r="H686" s="23"/>
      <c r="I686" s="40"/>
      <c r="J686" s="70"/>
      <c r="K686" s="23"/>
      <c r="L686" s="70"/>
      <c r="M686" s="70"/>
      <c r="N686" s="23"/>
      <c r="O686" s="23"/>
      <c r="P686" s="23"/>
      <c r="Q686" s="23"/>
      <c r="R686" s="72"/>
      <c r="S686" s="23"/>
      <c r="T686" s="23"/>
      <c r="U686" s="23"/>
      <c r="V686" s="23"/>
      <c r="W686" s="23"/>
      <c r="X686" s="23"/>
      <c r="Y686" s="23"/>
      <c r="Z686" s="23"/>
      <c r="AA686" s="23"/>
      <c r="AB686" s="23"/>
      <c r="AC686" s="23"/>
      <c r="AD686" s="23"/>
      <c r="AE686" s="23"/>
    </row>
    <row r="687" spans="1:31">
      <c r="A687" s="23"/>
      <c r="B687" s="40"/>
      <c r="C687" s="40"/>
      <c r="D687" s="23"/>
      <c r="E687" s="23"/>
      <c r="F687" s="23"/>
      <c r="G687" s="23"/>
      <c r="H687" s="23"/>
      <c r="I687" s="40"/>
      <c r="J687" s="70"/>
      <c r="K687" s="23"/>
      <c r="L687" s="70"/>
      <c r="M687" s="70"/>
      <c r="N687" s="23"/>
      <c r="O687" s="23"/>
      <c r="P687" s="23"/>
      <c r="Q687" s="23"/>
      <c r="R687" s="72"/>
      <c r="S687" s="23"/>
      <c r="T687" s="23"/>
      <c r="U687" s="23"/>
      <c r="V687" s="23"/>
      <c r="W687" s="23"/>
      <c r="X687" s="23"/>
      <c r="Y687" s="23"/>
      <c r="Z687" s="23"/>
      <c r="AA687" s="23"/>
      <c r="AB687" s="23"/>
      <c r="AC687" s="23"/>
      <c r="AD687" s="23"/>
      <c r="AE687" s="23"/>
    </row>
    <row r="688" spans="1:31">
      <c r="A688" s="23"/>
      <c r="B688" s="40"/>
      <c r="C688" s="40"/>
      <c r="D688" s="23"/>
      <c r="E688" s="23"/>
      <c r="F688" s="23"/>
      <c r="G688" s="23"/>
      <c r="H688" s="23"/>
      <c r="I688" s="40"/>
      <c r="J688" s="70"/>
      <c r="K688" s="23"/>
      <c r="L688" s="70"/>
      <c r="M688" s="70"/>
      <c r="N688" s="23"/>
      <c r="O688" s="23"/>
      <c r="P688" s="23"/>
      <c r="Q688" s="23"/>
      <c r="R688" s="72"/>
      <c r="S688" s="23"/>
      <c r="T688" s="23"/>
      <c r="U688" s="23"/>
      <c r="V688" s="23"/>
      <c r="W688" s="23"/>
      <c r="X688" s="23"/>
      <c r="Y688" s="23"/>
      <c r="Z688" s="23"/>
      <c r="AA688" s="23"/>
      <c r="AB688" s="23"/>
      <c r="AC688" s="23"/>
      <c r="AD688" s="23"/>
      <c r="AE688" s="23"/>
    </row>
    <row r="689" spans="1:31">
      <c r="A689" s="23"/>
      <c r="B689" s="40"/>
      <c r="C689" s="40"/>
      <c r="D689" s="23"/>
      <c r="E689" s="23"/>
      <c r="F689" s="23"/>
      <c r="G689" s="23"/>
      <c r="H689" s="23"/>
      <c r="I689" s="40"/>
      <c r="J689" s="70"/>
      <c r="K689" s="23"/>
      <c r="L689" s="70"/>
      <c r="M689" s="70"/>
      <c r="N689" s="23"/>
      <c r="O689" s="23"/>
      <c r="P689" s="23"/>
      <c r="Q689" s="23"/>
      <c r="R689" s="72"/>
      <c r="S689" s="23"/>
      <c r="T689" s="23"/>
      <c r="U689" s="23"/>
      <c r="V689" s="23"/>
      <c r="W689" s="23"/>
      <c r="X689" s="23"/>
      <c r="Y689" s="23"/>
      <c r="Z689" s="23"/>
      <c r="AA689" s="23"/>
      <c r="AB689" s="23"/>
      <c r="AC689" s="23"/>
      <c r="AD689" s="23"/>
      <c r="AE689" s="23"/>
    </row>
    <row r="690" spans="1:31">
      <c r="A690" s="23"/>
      <c r="B690" s="40"/>
      <c r="C690" s="40"/>
      <c r="D690" s="23"/>
      <c r="E690" s="23"/>
      <c r="F690" s="23"/>
      <c r="G690" s="23"/>
      <c r="H690" s="23"/>
      <c r="I690" s="40"/>
      <c r="J690" s="70"/>
      <c r="K690" s="23"/>
      <c r="L690" s="70"/>
      <c r="M690" s="70"/>
      <c r="N690" s="23"/>
      <c r="O690" s="23"/>
      <c r="P690" s="23"/>
      <c r="Q690" s="23"/>
      <c r="R690" s="72"/>
      <c r="S690" s="23"/>
      <c r="T690" s="23"/>
      <c r="U690" s="23"/>
      <c r="V690" s="23"/>
      <c r="W690" s="23"/>
      <c r="X690" s="23"/>
      <c r="Y690" s="23"/>
      <c r="Z690" s="23"/>
      <c r="AA690" s="23"/>
      <c r="AB690" s="23"/>
      <c r="AC690" s="23"/>
      <c r="AD690" s="23"/>
      <c r="AE690" s="23"/>
    </row>
    <row r="691" spans="1:31" ht="24" customHeight="1">
      <c r="A691" s="23"/>
      <c r="B691" s="40"/>
      <c r="C691" s="40"/>
      <c r="D691" s="23"/>
      <c r="E691" s="23"/>
      <c r="F691" s="23"/>
      <c r="G691" s="23"/>
      <c r="H691" s="40"/>
      <c r="I691" s="40"/>
      <c r="J691" s="70"/>
      <c r="K691" s="23"/>
      <c r="L691" s="70"/>
      <c r="M691" s="70"/>
      <c r="N691" s="23"/>
      <c r="O691" s="23"/>
      <c r="P691" s="23"/>
      <c r="Q691" s="23"/>
      <c r="R691" s="72"/>
      <c r="S691" s="23"/>
      <c r="T691" s="23"/>
      <c r="U691" s="23"/>
      <c r="V691" s="23"/>
      <c r="W691" s="23"/>
      <c r="X691" s="23"/>
      <c r="Y691" s="23"/>
      <c r="Z691" s="23"/>
      <c r="AA691" s="23"/>
      <c r="AB691" s="23"/>
      <c r="AC691" s="23"/>
      <c r="AD691" s="23"/>
      <c r="AE691" s="23"/>
    </row>
    <row r="692" spans="1:31">
      <c r="A692" s="23"/>
      <c r="B692" s="40"/>
      <c r="C692" s="40"/>
      <c r="D692" s="23"/>
      <c r="E692" s="23"/>
      <c r="F692" s="23"/>
      <c r="G692" s="23"/>
      <c r="H692" s="40"/>
      <c r="I692" s="40"/>
      <c r="J692" s="70"/>
      <c r="K692" s="23"/>
      <c r="L692" s="70"/>
      <c r="M692" s="70"/>
      <c r="N692" s="23"/>
      <c r="O692" s="23"/>
      <c r="P692" s="23"/>
      <c r="Q692" s="23"/>
      <c r="R692" s="72"/>
      <c r="S692" s="23"/>
      <c r="T692" s="23"/>
      <c r="U692" s="23"/>
      <c r="V692" s="23"/>
      <c r="W692" s="23"/>
      <c r="X692" s="23"/>
      <c r="Y692" s="23"/>
      <c r="Z692" s="23"/>
      <c r="AA692" s="23"/>
      <c r="AB692" s="23"/>
      <c r="AC692" s="23"/>
      <c r="AD692" s="23"/>
      <c r="AE692" s="23"/>
    </row>
    <row r="693" spans="1:31">
      <c r="A693" s="23"/>
      <c r="B693" s="40"/>
      <c r="C693" s="40"/>
      <c r="D693" s="23"/>
      <c r="E693" s="23"/>
      <c r="F693" s="23"/>
      <c r="G693" s="23"/>
      <c r="H693" s="40"/>
      <c r="I693" s="40"/>
      <c r="J693" s="70"/>
      <c r="K693" s="23"/>
      <c r="L693" s="70"/>
      <c r="M693" s="70"/>
      <c r="N693" s="23"/>
      <c r="O693" s="23"/>
      <c r="P693" s="23"/>
      <c r="Q693" s="23"/>
      <c r="R693" s="72"/>
      <c r="S693" s="23"/>
      <c r="T693" s="23"/>
      <c r="U693" s="23"/>
      <c r="V693" s="23"/>
      <c r="W693" s="23"/>
      <c r="X693" s="23"/>
      <c r="Y693" s="23"/>
      <c r="Z693" s="23"/>
      <c r="AA693" s="23"/>
      <c r="AB693" s="23"/>
      <c r="AC693" s="23"/>
      <c r="AD693" s="23"/>
      <c r="AE693" s="23"/>
    </row>
    <row r="694" spans="1:31">
      <c r="A694" s="23"/>
      <c r="B694" s="40"/>
      <c r="C694" s="40"/>
      <c r="D694" s="23"/>
      <c r="E694" s="23"/>
      <c r="F694" s="23"/>
      <c r="G694" s="23"/>
      <c r="H694" s="40"/>
      <c r="I694" s="40"/>
      <c r="J694" s="70"/>
      <c r="K694" s="23"/>
      <c r="L694" s="70"/>
      <c r="M694" s="70"/>
      <c r="N694" s="23"/>
      <c r="O694" s="23"/>
      <c r="P694" s="23"/>
      <c r="Q694" s="23"/>
      <c r="R694" s="72"/>
      <c r="S694" s="23"/>
      <c r="T694" s="23"/>
      <c r="U694" s="23"/>
      <c r="V694" s="23"/>
      <c r="W694" s="23"/>
      <c r="X694" s="23"/>
      <c r="Y694" s="23"/>
      <c r="Z694" s="23"/>
      <c r="AA694" s="23"/>
      <c r="AB694" s="23"/>
      <c r="AC694" s="23"/>
      <c r="AD694" s="23"/>
      <c r="AE694" s="23"/>
    </row>
    <row r="695" spans="1:31">
      <c r="A695" s="23"/>
      <c r="B695" s="40"/>
      <c r="C695" s="40"/>
      <c r="D695" s="23"/>
      <c r="E695" s="23"/>
      <c r="F695" s="23"/>
      <c r="G695" s="23"/>
      <c r="H695" s="40"/>
      <c r="I695" s="40"/>
      <c r="J695" s="70"/>
      <c r="K695" s="23"/>
      <c r="L695" s="70"/>
      <c r="M695" s="70"/>
      <c r="N695" s="23"/>
      <c r="O695" s="23"/>
      <c r="P695" s="23"/>
      <c r="Q695" s="23"/>
      <c r="R695" s="72"/>
      <c r="S695" s="23"/>
      <c r="T695" s="23"/>
      <c r="U695" s="23"/>
      <c r="V695" s="23"/>
      <c r="W695" s="23"/>
      <c r="X695" s="23"/>
      <c r="Y695" s="23"/>
      <c r="Z695" s="23"/>
      <c r="AA695" s="23"/>
      <c r="AB695" s="23"/>
      <c r="AC695" s="23"/>
      <c r="AD695" s="23"/>
      <c r="AE695" s="23"/>
    </row>
    <row r="696" spans="1:31" ht="24" customHeight="1">
      <c r="A696" s="23"/>
      <c r="B696" s="40"/>
      <c r="C696" s="40"/>
      <c r="D696" s="23"/>
      <c r="E696" s="23"/>
      <c r="F696" s="23"/>
      <c r="G696" s="23"/>
      <c r="H696" s="40"/>
      <c r="I696" s="40"/>
      <c r="J696" s="70"/>
      <c r="K696" s="23"/>
      <c r="L696" s="70"/>
      <c r="M696" s="70"/>
      <c r="N696" s="23"/>
      <c r="O696" s="23"/>
      <c r="P696" s="23"/>
      <c r="Q696" s="23"/>
      <c r="R696" s="72"/>
      <c r="S696" s="23"/>
      <c r="T696" s="23"/>
      <c r="U696" s="23"/>
      <c r="V696" s="23"/>
      <c r="W696" s="23"/>
      <c r="X696" s="23"/>
      <c r="Y696" s="23"/>
      <c r="Z696" s="23"/>
      <c r="AA696" s="23"/>
      <c r="AB696" s="23"/>
      <c r="AC696" s="23"/>
      <c r="AD696" s="23"/>
      <c r="AE696" s="23"/>
    </row>
    <row r="697" spans="1:31">
      <c r="A697" s="23"/>
      <c r="B697" s="40"/>
      <c r="C697" s="40"/>
      <c r="D697" s="23"/>
      <c r="E697" s="23"/>
      <c r="F697" s="23"/>
      <c r="G697" s="23"/>
      <c r="H697" s="40"/>
      <c r="I697" s="40"/>
      <c r="J697" s="70"/>
      <c r="K697" s="23"/>
      <c r="L697" s="70"/>
      <c r="M697" s="70"/>
      <c r="N697" s="23"/>
      <c r="O697" s="23"/>
      <c r="P697" s="23"/>
      <c r="Q697" s="23"/>
      <c r="R697" s="72"/>
      <c r="S697" s="23"/>
      <c r="T697" s="23"/>
      <c r="U697" s="23"/>
      <c r="V697" s="23"/>
      <c r="W697" s="23"/>
      <c r="X697" s="23"/>
      <c r="Y697" s="23"/>
      <c r="Z697" s="23"/>
      <c r="AA697" s="23"/>
      <c r="AB697" s="23"/>
      <c r="AC697" s="23"/>
      <c r="AD697" s="23"/>
      <c r="AE697" s="23"/>
    </row>
    <row r="698" spans="1:31">
      <c r="A698" s="23"/>
      <c r="B698" s="40"/>
      <c r="C698" s="40"/>
      <c r="D698" s="23"/>
      <c r="E698" s="23"/>
      <c r="F698" s="23"/>
      <c r="G698" s="23"/>
      <c r="H698" s="40"/>
      <c r="I698" s="40"/>
      <c r="J698" s="70"/>
      <c r="K698" s="23"/>
      <c r="L698" s="70"/>
      <c r="M698" s="70"/>
      <c r="N698" s="23"/>
      <c r="O698" s="23"/>
      <c r="P698" s="23"/>
      <c r="Q698" s="23"/>
      <c r="R698" s="72"/>
      <c r="S698" s="23"/>
      <c r="T698" s="23"/>
      <c r="U698" s="23"/>
      <c r="V698" s="23"/>
      <c r="W698" s="23"/>
      <c r="X698" s="23"/>
      <c r="Y698" s="23"/>
      <c r="Z698" s="23"/>
      <c r="AA698" s="23"/>
      <c r="AB698" s="23"/>
      <c r="AC698" s="23"/>
      <c r="AD698" s="23"/>
      <c r="AE698" s="23"/>
    </row>
    <row r="699" spans="1:31">
      <c r="A699" s="23"/>
      <c r="B699" s="40"/>
      <c r="C699" s="40"/>
      <c r="D699" s="23"/>
      <c r="E699" s="23"/>
      <c r="F699" s="23"/>
      <c r="G699" s="23"/>
      <c r="H699" s="40"/>
      <c r="I699" s="40"/>
      <c r="J699" s="70"/>
      <c r="K699" s="23"/>
      <c r="L699" s="70"/>
      <c r="M699" s="70"/>
      <c r="N699" s="23"/>
      <c r="O699" s="23"/>
      <c r="P699" s="23"/>
      <c r="Q699" s="23"/>
      <c r="R699" s="72"/>
      <c r="S699" s="23"/>
      <c r="T699" s="23"/>
      <c r="U699" s="23"/>
      <c r="V699" s="23"/>
      <c r="W699" s="23"/>
      <c r="X699" s="23"/>
      <c r="Y699" s="23"/>
      <c r="Z699" s="23"/>
      <c r="AA699" s="23"/>
      <c r="AB699" s="23"/>
      <c r="AC699" s="23"/>
      <c r="AD699" s="23"/>
      <c r="AE699" s="23"/>
    </row>
    <row r="700" spans="1:31">
      <c r="A700" s="23"/>
      <c r="B700" s="40"/>
      <c r="C700" s="40"/>
      <c r="D700" s="23"/>
      <c r="E700" s="23"/>
      <c r="F700" s="23"/>
      <c r="G700" s="23"/>
      <c r="H700" s="40"/>
      <c r="I700" s="40"/>
      <c r="J700" s="70"/>
      <c r="K700" s="23"/>
      <c r="L700" s="70"/>
      <c r="M700" s="70"/>
      <c r="N700" s="23"/>
      <c r="O700" s="23"/>
      <c r="P700" s="23"/>
      <c r="Q700" s="23"/>
      <c r="R700" s="72"/>
      <c r="S700" s="23"/>
      <c r="T700" s="23"/>
      <c r="U700" s="23"/>
      <c r="V700" s="23"/>
      <c r="W700" s="23"/>
      <c r="X700" s="23"/>
      <c r="Y700" s="23"/>
      <c r="Z700" s="23"/>
      <c r="AA700" s="23"/>
      <c r="AB700" s="23"/>
      <c r="AC700" s="23"/>
      <c r="AD700" s="23"/>
      <c r="AE700" s="23"/>
    </row>
    <row r="701" spans="1:31">
      <c r="A701" s="23"/>
      <c r="B701" s="40"/>
      <c r="C701" s="40"/>
      <c r="D701" s="23"/>
      <c r="E701" s="23"/>
      <c r="F701" s="23"/>
      <c r="G701" s="23"/>
      <c r="H701" s="23"/>
      <c r="I701" s="40"/>
      <c r="J701" s="70"/>
      <c r="K701" s="23"/>
      <c r="L701" s="70"/>
      <c r="M701" s="70"/>
      <c r="N701" s="23"/>
      <c r="O701" s="23"/>
      <c r="P701" s="23"/>
      <c r="Q701" s="23"/>
      <c r="R701" s="72"/>
      <c r="S701" s="23"/>
      <c r="T701" s="23"/>
      <c r="U701" s="23"/>
      <c r="V701" s="23"/>
      <c r="W701" s="23"/>
      <c r="X701" s="23"/>
      <c r="Y701" s="23"/>
      <c r="Z701" s="23"/>
      <c r="AA701" s="23"/>
      <c r="AB701" s="23"/>
      <c r="AC701" s="23"/>
      <c r="AD701" s="23"/>
      <c r="AE701" s="23"/>
    </row>
    <row r="702" spans="1:31">
      <c r="A702" s="23"/>
      <c r="B702" s="40"/>
      <c r="C702" s="40"/>
      <c r="D702" s="23"/>
      <c r="E702" s="23"/>
      <c r="F702" s="23"/>
      <c r="G702" s="23"/>
      <c r="H702" s="23"/>
      <c r="I702" s="40"/>
      <c r="J702" s="70"/>
      <c r="K702" s="23"/>
      <c r="L702" s="70"/>
      <c r="M702" s="70"/>
      <c r="N702" s="23"/>
      <c r="O702" s="23"/>
      <c r="P702" s="23"/>
      <c r="Q702" s="23"/>
      <c r="R702" s="72"/>
      <c r="S702" s="23"/>
      <c r="T702" s="23"/>
      <c r="U702" s="23"/>
      <c r="V702" s="23"/>
      <c r="W702" s="23"/>
      <c r="X702" s="23"/>
      <c r="Y702" s="23"/>
      <c r="Z702" s="23"/>
      <c r="AA702" s="23"/>
      <c r="AB702" s="23"/>
      <c r="AC702" s="23"/>
      <c r="AD702" s="23"/>
      <c r="AE702" s="23"/>
    </row>
    <row r="703" spans="1:31">
      <c r="A703" s="23"/>
      <c r="B703" s="40"/>
      <c r="C703" s="40"/>
      <c r="D703" s="23"/>
      <c r="E703" s="23"/>
      <c r="F703" s="23"/>
      <c r="G703" s="23"/>
      <c r="H703" s="23"/>
      <c r="I703" s="40"/>
      <c r="J703" s="70"/>
      <c r="K703" s="23"/>
      <c r="L703" s="70"/>
      <c r="M703" s="70"/>
      <c r="N703" s="23"/>
      <c r="O703" s="23"/>
      <c r="P703" s="23"/>
      <c r="Q703" s="23"/>
      <c r="R703" s="72"/>
      <c r="S703" s="23"/>
      <c r="T703" s="23"/>
      <c r="U703" s="23"/>
      <c r="V703" s="23"/>
      <c r="W703" s="23"/>
      <c r="X703" s="23"/>
      <c r="Y703" s="23"/>
      <c r="Z703" s="23"/>
      <c r="AA703" s="23"/>
      <c r="AB703" s="23"/>
      <c r="AC703" s="23"/>
      <c r="AD703" s="23"/>
      <c r="AE703" s="23"/>
    </row>
    <row r="704" spans="1:31">
      <c r="A704" s="23"/>
      <c r="B704" s="40"/>
      <c r="C704" s="40"/>
      <c r="D704" s="23"/>
      <c r="E704" s="23"/>
      <c r="F704" s="23"/>
      <c r="G704" s="23"/>
      <c r="H704" s="23"/>
      <c r="I704" s="40"/>
      <c r="J704" s="70"/>
      <c r="K704" s="23"/>
      <c r="L704" s="70"/>
      <c r="M704" s="70"/>
      <c r="N704" s="23"/>
      <c r="O704" s="23"/>
      <c r="P704" s="23"/>
      <c r="Q704" s="23"/>
      <c r="R704" s="72"/>
      <c r="S704" s="23"/>
      <c r="T704" s="23"/>
      <c r="U704" s="23"/>
      <c r="V704" s="23"/>
      <c r="W704" s="23"/>
      <c r="X704" s="23"/>
      <c r="Y704" s="23"/>
      <c r="Z704" s="23"/>
      <c r="AA704" s="23"/>
      <c r="AB704" s="23"/>
      <c r="AC704" s="23"/>
      <c r="AD704" s="23"/>
      <c r="AE704" s="23"/>
    </row>
    <row r="705" spans="1:31">
      <c r="A705" s="23"/>
      <c r="B705" s="40"/>
      <c r="C705" s="40"/>
      <c r="D705" s="23"/>
      <c r="E705" s="23"/>
      <c r="F705" s="23"/>
      <c r="G705" s="23"/>
      <c r="H705" s="23"/>
      <c r="I705" s="40"/>
      <c r="J705" s="70"/>
      <c r="K705" s="23"/>
      <c r="L705" s="70"/>
      <c r="M705" s="70"/>
      <c r="N705" s="23"/>
      <c r="O705" s="23"/>
      <c r="P705" s="23"/>
      <c r="Q705" s="23"/>
      <c r="R705" s="72"/>
      <c r="S705" s="23"/>
      <c r="T705" s="23"/>
      <c r="U705" s="23"/>
      <c r="V705" s="23"/>
      <c r="W705" s="23"/>
      <c r="X705" s="23"/>
      <c r="Y705" s="23"/>
      <c r="Z705" s="23"/>
      <c r="AA705" s="23"/>
      <c r="AB705" s="23"/>
      <c r="AC705" s="23"/>
      <c r="AD705" s="23"/>
      <c r="AE705" s="23"/>
    </row>
    <row r="706" spans="1:31">
      <c r="A706" s="23"/>
      <c r="B706" s="40"/>
      <c r="C706" s="40"/>
      <c r="D706" s="23"/>
      <c r="E706" s="23"/>
      <c r="F706" s="23"/>
      <c r="G706" s="23"/>
      <c r="H706" s="23"/>
      <c r="I706" s="40"/>
      <c r="J706" s="70"/>
      <c r="K706" s="23"/>
      <c r="L706" s="70"/>
      <c r="M706" s="70"/>
      <c r="N706" s="23"/>
      <c r="O706" s="23"/>
      <c r="P706" s="23"/>
      <c r="Q706" s="23"/>
      <c r="R706" s="72"/>
      <c r="S706" s="23"/>
      <c r="T706" s="23"/>
      <c r="U706" s="23"/>
      <c r="V706" s="23"/>
      <c r="W706" s="23"/>
      <c r="X706" s="23"/>
      <c r="Y706" s="23"/>
      <c r="Z706" s="23"/>
      <c r="AA706" s="23"/>
      <c r="AB706" s="23"/>
      <c r="AC706" s="23"/>
      <c r="AD706" s="23"/>
      <c r="AE706" s="23"/>
    </row>
    <row r="707" spans="1:31" ht="24" customHeight="1">
      <c r="A707" s="23"/>
      <c r="B707" s="40"/>
      <c r="C707" s="40"/>
      <c r="D707" s="23"/>
      <c r="E707" s="23"/>
      <c r="F707" s="23"/>
      <c r="G707" s="23"/>
      <c r="H707" s="40"/>
      <c r="I707" s="40"/>
      <c r="J707" s="70"/>
      <c r="K707" s="23"/>
      <c r="L707" s="70"/>
      <c r="M707" s="70"/>
      <c r="N707" s="23"/>
      <c r="O707" s="23"/>
      <c r="P707" s="23"/>
      <c r="Q707" s="23"/>
      <c r="R707" s="72"/>
      <c r="S707" s="23"/>
      <c r="T707" s="23"/>
      <c r="U707" s="23"/>
      <c r="V707" s="23"/>
      <c r="W707" s="23"/>
      <c r="X707" s="23"/>
      <c r="Y707" s="23"/>
      <c r="Z707" s="23"/>
      <c r="AA707" s="23"/>
      <c r="AB707" s="23"/>
      <c r="AC707" s="23"/>
      <c r="AD707" s="23"/>
      <c r="AE707" s="23"/>
    </row>
    <row r="708" spans="1:31">
      <c r="A708" s="23"/>
      <c r="B708" s="40"/>
      <c r="C708" s="40"/>
      <c r="D708" s="23"/>
      <c r="E708" s="23"/>
      <c r="F708" s="23"/>
      <c r="G708" s="23"/>
      <c r="H708" s="40"/>
      <c r="I708" s="40"/>
      <c r="J708" s="70"/>
      <c r="K708" s="23"/>
      <c r="L708" s="70"/>
      <c r="M708" s="70"/>
      <c r="N708" s="23"/>
      <c r="O708" s="23"/>
      <c r="P708" s="23"/>
      <c r="Q708" s="23"/>
      <c r="R708" s="72"/>
      <c r="S708" s="23"/>
      <c r="T708" s="23"/>
      <c r="U708" s="23"/>
      <c r="V708" s="23"/>
      <c r="W708" s="23"/>
      <c r="X708" s="23"/>
      <c r="Y708" s="23"/>
      <c r="Z708" s="23"/>
      <c r="AA708" s="23"/>
      <c r="AB708" s="23"/>
      <c r="AC708" s="23"/>
      <c r="AD708" s="23"/>
      <c r="AE708" s="23"/>
    </row>
    <row r="709" spans="1:31">
      <c r="A709" s="23"/>
      <c r="B709" s="40"/>
      <c r="C709" s="40"/>
      <c r="D709" s="23"/>
      <c r="E709" s="23"/>
      <c r="F709" s="23"/>
      <c r="G709" s="23"/>
      <c r="H709" s="40"/>
      <c r="I709" s="40"/>
      <c r="J709" s="70"/>
      <c r="K709" s="23"/>
      <c r="L709" s="70"/>
      <c r="M709" s="70"/>
      <c r="N709" s="23"/>
      <c r="O709" s="23"/>
      <c r="P709" s="23"/>
      <c r="Q709" s="23"/>
      <c r="R709" s="72"/>
      <c r="S709" s="23"/>
      <c r="T709" s="23"/>
      <c r="U709" s="23"/>
      <c r="V709" s="23"/>
      <c r="W709" s="23"/>
      <c r="X709" s="23"/>
      <c r="Y709" s="23"/>
      <c r="Z709" s="23"/>
      <c r="AA709" s="23"/>
      <c r="AB709" s="23"/>
      <c r="AC709" s="23"/>
      <c r="AD709" s="23"/>
      <c r="AE709" s="23"/>
    </row>
    <row r="710" spans="1:31">
      <c r="A710" s="23"/>
      <c r="B710" s="40"/>
      <c r="C710" s="40"/>
      <c r="D710" s="23"/>
      <c r="E710" s="23"/>
      <c r="F710" s="23"/>
      <c r="G710" s="23"/>
      <c r="H710" s="40"/>
      <c r="I710" s="40"/>
      <c r="J710" s="70"/>
      <c r="K710" s="23"/>
      <c r="L710" s="70"/>
      <c r="M710" s="70"/>
      <c r="N710" s="23"/>
      <c r="O710" s="23"/>
      <c r="P710" s="23"/>
      <c r="Q710" s="23"/>
      <c r="R710" s="72"/>
      <c r="S710" s="23"/>
      <c r="T710" s="23"/>
      <c r="U710" s="23"/>
      <c r="V710" s="23"/>
      <c r="W710" s="23"/>
      <c r="X710" s="23"/>
      <c r="Y710" s="23"/>
      <c r="Z710" s="23"/>
      <c r="AA710" s="23"/>
      <c r="AB710" s="23"/>
      <c r="AC710" s="23"/>
      <c r="AD710" s="23"/>
      <c r="AE710" s="23"/>
    </row>
    <row r="711" spans="1:31">
      <c r="A711" s="23"/>
      <c r="B711" s="40"/>
      <c r="C711" s="40"/>
      <c r="D711" s="23"/>
      <c r="E711" s="23"/>
      <c r="F711" s="23"/>
      <c r="G711" s="23"/>
      <c r="H711" s="40"/>
      <c r="I711" s="40"/>
      <c r="J711" s="70"/>
      <c r="K711" s="23"/>
      <c r="L711" s="70"/>
      <c r="M711" s="70"/>
      <c r="N711" s="23"/>
      <c r="O711" s="23"/>
      <c r="P711" s="23"/>
      <c r="Q711" s="23"/>
      <c r="R711" s="72"/>
      <c r="S711" s="23"/>
      <c r="T711" s="23"/>
      <c r="U711" s="23"/>
      <c r="V711" s="23"/>
      <c r="W711" s="23"/>
      <c r="X711" s="23"/>
      <c r="Y711" s="23"/>
      <c r="Z711" s="23"/>
      <c r="AA711" s="23"/>
      <c r="AB711" s="23"/>
      <c r="AC711" s="23"/>
      <c r="AD711" s="23"/>
      <c r="AE711" s="23"/>
    </row>
    <row r="712" spans="1:31" ht="24" customHeight="1">
      <c r="A712" s="23"/>
      <c r="B712" s="40"/>
      <c r="C712" s="40"/>
      <c r="D712" s="23"/>
      <c r="E712" s="23"/>
      <c r="F712" s="23"/>
      <c r="G712" s="23"/>
      <c r="H712" s="40"/>
      <c r="I712" s="40"/>
      <c r="J712" s="70"/>
      <c r="K712" s="23"/>
      <c r="L712" s="70"/>
      <c r="M712" s="70"/>
      <c r="N712" s="23"/>
      <c r="O712" s="23"/>
      <c r="P712" s="23"/>
      <c r="Q712" s="23"/>
      <c r="R712" s="72"/>
      <c r="S712" s="23"/>
      <c r="T712" s="23"/>
      <c r="U712" s="23"/>
      <c r="V712" s="23"/>
      <c r="W712" s="23"/>
      <c r="X712" s="23"/>
      <c r="Y712" s="23"/>
      <c r="Z712" s="23"/>
      <c r="AA712" s="23"/>
      <c r="AB712" s="23"/>
      <c r="AC712" s="23"/>
      <c r="AD712" s="23"/>
      <c r="AE712" s="23"/>
    </row>
    <row r="713" spans="1:31">
      <c r="A713" s="23"/>
      <c r="B713" s="40"/>
      <c r="C713" s="40"/>
      <c r="D713" s="23"/>
      <c r="E713" s="23"/>
      <c r="F713" s="23"/>
      <c r="G713" s="23"/>
      <c r="H713" s="40"/>
      <c r="I713" s="40"/>
      <c r="J713" s="70"/>
      <c r="K713" s="23"/>
      <c r="L713" s="70"/>
      <c r="M713" s="70"/>
      <c r="N713" s="23"/>
      <c r="O713" s="23"/>
      <c r="P713" s="23"/>
      <c r="Q713" s="23"/>
      <c r="R713" s="72"/>
      <c r="S713" s="23"/>
      <c r="T713" s="23"/>
      <c r="U713" s="23"/>
      <c r="V713" s="23"/>
      <c r="W713" s="23"/>
      <c r="X713" s="23"/>
      <c r="Y713" s="23"/>
      <c r="Z713" s="23"/>
      <c r="AA713" s="23"/>
      <c r="AB713" s="23"/>
      <c r="AC713" s="23"/>
      <c r="AD713" s="23"/>
      <c r="AE713" s="23"/>
    </row>
    <row r="714" spans="1:31">
      <c r="A714" s="23"/>
      <c r="B714" s="40"/>
      <c r="C714" s="40"/>
      <c r="D714" s="23"/>
      <c r="E714" s="23"/>
      <c r="F714" s="23"/>
      <c r="G714" s="23"/>
      <c r="H714" s="40"/>
      <c r="I714" s="40"/>
      <c r="J714" s="70"/>
      <c r="K714" s="23"/>
      <c r="L714" s="70"/>
      <c r="M714" s="70"/>
      <c r="N714" s="23"/>
      <c r="O714" s="23"/>
      <c r="P714" s="23"/>
      <c r="Q714" s="23"/>
      <c r="R714" s="72"/>
      <c r="S714" s="23"/>
      <c r="T714" s="23"/>
      <c r="U714" s="23"/>
      <c r="V714" s="23"/>
      <c r="W714" s="23"/>
      <c r="X714" s="23"/>
      <c r="Y714" s="23"/>
      <c r="Z714" s="23"/>
      <c r="AA714" s="23"/>
      <c r="AB714" s="23"/>
      <c r="AC714" s="23"/>
      <c r="AD714" s="23"/>
      <c r="AE714" s="23"/>
    </row>
    <row r="715" spans="1:31">
      <c r="A715" s="23"/>
      <c r="B715" s="40"/>
      <c r="C715" s="40"/>
      <c r="D715" s="23"/>
      <c r="E715" s="23"/>
      <c r="F715" s="23"/>
      <c r="G715" s="23"/>
      <c r="H715" s="40"/>
      <c r="I715" s="40"/>
      <c r="J715" s="70"/>
      <c r="K715" s="23"/>
      <c r="L715" s="70"/>
      <c r="M715" s="70"/>
      <c r="N715" s="23"/>
      <c r="O715" s="23"/>
      <c r="P715" s="23"/>
      <c r="Q715" s="23"/>
      <c r="R715" s="72"/>
      <c r="S715" s="23"/>
      <c r="T715" s="23"/>
      <c r="U715" s="23"/>
      <c r="V715" s="23"/>
      <c r="W715" s="23"/>
      <c r="X715" s="23"/>
      <c r="Y715" s="23"/>
      <c r="Z715" s="23"/>
      <c r="AA715" s="23"/>
      <c r="AB715" s="23"/>
      <c r="AC715" s="23"/>
      <c r="AD715" s="23"/>
      <c r="AE715" s="23"/>
    </row>
    <row r="716" spans="1:31">
      <c r="A716" s="23"/>
      <c r="B716" s="40"/>
      <c r="C716" s="40"/>
      <c r="D716" s="23"/>
      <c r="E716" s="23"/>
      <c r="F716" s="23"/>
      <c r="G716" s="23"/>
      <c r="H716" s="40"/>
      <c r="I716" s="40"/>
      <c r="J716" s="70"/>
      <c r="K716" s="23"/>
      <c r="L716" s="70"/>
      <c r="M716" s="70"/>
      <c r="N716" s="23"/>
      <c r="O716" s="23"/>
      <c r="P716" s="23"/>
      <c r="Q716" s="23"/>
      <c r="R716" s="72"/>
      <c r="S716" s="23"/>
      <c r="T716" s="23"/>
      <c r="U716" s="23"/>
      <c r="V716" s="23"/>
      <c r="W716" s="23"/>
      <c r="X716" s="23"/>
      <c r="Y716" s="23"/>
      <c r="Z716" s="23"/>
      <c r="AA716" s="23"/>
      <c r="AB716" s="23"/>
      <c r="AC716" s="23"/>
      <c r="AD716" s="23"/>
      <c r="AE716" s="23"/>
    </row>
    <row r="717" spans="1:31">
      <c r="A717" s="23"/>
      <c r="B717" s="40"/>
      <c r="C717" s="40"/>
      <c r="D717" s="23"/>
      <c r="E717" s="23"/>
      <c r="F717" s="23"/>
      <c r="G717" s="23"/>
      <c r="H717" s="23"/>
      <c r="I717" s="40"/>
      <c r="J717" s="70"/>
      <c r="K717" s="23"/>
      <c r="L717" s="70"/>
      <c r="M717" s="70"/>
      <c r="N717" s="23"/>
      <c r="O717" s="23"/>
      <c r="P717" s="23"/>
      <c r="Q717" s="23"/>
      <c r="R717" s="72"/>
      <c r="S717" s="23"/>
      <c r="T717" s="23"/>
      <c r="U717" s="23"/>
      <c r="V717" s="23"/>
      <c r="W717" s="23"/>
      <c r="X717" s="23"/>
      <c r="Y717" s="23"/>
      <c r="Z717" s="23"/>
      <c r="AA717" s="23"/>
      <c r="AB717" s="23"/>
      <c r="AC717" s="23"/>
      <c r="AD717" s="23"/>
      <c r="AE717" s="23"/>
    </row>
    <row r="718" spans="1:31">
      <c r="A718" s="23"/>
      <c r="B718" s="40"/>
      <c r="C718" s="40"/>
      <c r="D718" s="23"/>
      <c r="E718" s="23"/>
      <c r="F718" s="23"/>
      <c r="G718" s="23"/>
      <c r="H718" s="23"/>
      <c r="I718" s="40"/>
      <c r="J718" s="70"/>
      <c r="K718" s="23"/>
      <c r="L718" s="70"/>
      <c r="M718" s="70"/>
      <c r="N718" s="23"/>
      <c r="O718" s="23"/>
      <c r="P718" s="23"/>
      <c r="Q718" s="23"/>
      <c r="R718" s="72"/>
      <c r="S718" s="23"/>
      <c r="T718" s="23"/>
      <c r="U718" s="23"/>
      <c r="V718" s="23"/>
      <c r="W718" s="23"/>
      <c r="X718" s="23"/>
      <c r="Y718" s="23"/>
      <c r="Z718" s="23"/>
      <c r="AA718" s="23"/>
      <c r="AB718" s="23"/>
      <c r="AC718" s="23"/>
      <c r="AD718" s="23"/>
      <c r="AE718" s="23"/>
    </row>
    <row r="719" spans="1:31">
      <c r="A719" s="23"/>
      <c r="B719" s="40"/>
      <c r="C719" s="40"/>
      <c r="D719" s="23"/>
      <c r="E719" s="23"/>
      <c r="F719" s="23"/>
      <c r="G719" s="23"/>
      <c r="H719" s="23"/>
      <c r="I719" s="40"/>
      <c r="J719" s="70"/>
      <c r="K719" s="23"/>
      <c r="L719" s="70"/>
      <c r="M719" s="70"/>
      <c r="N719" s="23"/>
      <c r="O719" s="23"/>
      <c r="P719" s="23"/>
      <c r="Q719" s="23"/>
      <c r="R719" s="72"/>
      <c r="S719" s="23"/>
      <c r="T719" s="23"/>
      <c r="U719" s="23"/>
      <c r="V719" s="23"/>
      <c r="W719" s="23"/>
      <c r="X719" s="23"/>
      <c r="Y719" s="23"/>
      <c r="Z719" s="23"/>
      <c r="AA719" s="23"/>
      <c r="AB719" s="23"/>
      <c r="AC719" s="23"/>
      <c r="AD719" s="23"/>
      <c r="AE719" s="23"/>
    </row>
    <row r="720" spans="1:31">
      <c r="A720" s="23"/>
      <c r="B720" s="40"/>
      <c r="C720" s="40"/>
      <c r="D720" s="23"/>
      <c r="E720" s="23"/>
      <c r="F720" s="23"/>
      <c r="G720" s="23"/>
      <c r="H720" s="23"/>
      <c r="I720" s="40"/>
      <c r="J720" s="70"/>
      <c r="K720" s="23"/>
      <c r="L720" s="70"/>
      <c r="M720" s="70"/>
      <c r="N720" s="23"/>
      <c r="O720" s="23"/>
      <c r="P720" s="23"/>
      <c r="Q720" s="23"/>
      <c r="R720" s="72"/>
      <c r="S720" s="23"/>
      <c r="T720" s="23"/>
      <c r="U720" s="23"/>
      <c r="V720" s="23"/>
      <c r="W720" s="23"/>
      <c r="X720" s="23"/>
      <c r="Y720" s="23"/>
      <c r="Z720" s="23"/>
      <c r="AA720" s="23"/>
      <c r="AB720" s="23"/>
      <c r="AC720" s="23"/>
      <c r="AD720" s="23"/>
      <c r="AE720" s="23"/>
    </row>
    <row r="721" spans="1:31">
      <c r="A721" s="23"/>
      <c r="B721" s="40"/>
      <c r="C721" s="40"/>
      <c r="D721" s="23"/>
      <c r="E721" s="23"/>
      <c r="F721" s="23"/>
      <c r="G721" s="23"/>
      <c r="H721" s="23"/>
      <c r="I721" s="40"/>
      <c r="J721" s="70"/>
      <c r="K721" s="23"/>
      <c r="L721" s="70"/>
      <c r="M721" s="70"/>
      <c r="N721" s="23"/>
      <c r="O721" s="23"/>
      <c r="P721" s="23"/>
      <c r="Q721" s="23"/>
      <c r="R721" s="72"/>
      <c r="S721" s="23"/>
      <c r="T721" s="23"/>
      <c r="U721" s="23"/>
      <c r="V721" s="23"/>
      <c r="W721" s="23"/>
      <c r="X721" s="23"/>
      <c r="Y721" s="23"/>
      <c r="Z721" s="23"/>
      <c r="AA721" s="23"/>
      <c r="AB721" s="23"/>
      <c r="AC721" s="23"/>
      <c r="AD721" s="23"/>
      <c r="AE721" s="23"/>
    </row>
    <row r="722" spans="1:31">
      <c r="A722" s="23"/>
      <c r="B722" s="40"/>
      <c r="C722" s="40"/>
      <c r="D722" s="23"/>
      <c r="E722" s="23"/>
      <c r="F722" s="23"/>
      <c r="G722" s="23"/>
      <c r="H722" s="23"/>
      <c r="I722" s="40"/>
      <c r="J722" s="70"/>
      <c r="K722" s="23"/>
      <c r="L722" s="70"/>
      <c r="M722" s="70"/>
      <c r="N722" s="23"/>
      <c r="O722" s="23"/>
      <c r="P722" s="23"/>
      <c r="Q722" s="23"/>
      <c r="R722" s="72"/>
      <c r="S722" s="23"/>
      <c r="T722" s="23"/>
      <c r="U722" s="23"/>
      <c r="V722" s="23"/>
      <c r="W722" s="23"/>
      <c r="X722" s="23"/>
      <c r="Y722" s="23"/>
      <c r="Z722" s="23"/>
      <c r="AA722" s="23"/>
      <c r="AB722" s="23"/>
      <c r="AC722" s="23"/>
      <c r="AD722" s="23"/>
      <c r="AE722" s="23"/>
    </row>
    <row r="723" spans="1:31" ht="24" customHeight="1">
      <c r="A723" s="23"/>
      <c r="B723" s="40"/>
      <c r="C723" s="40"/>
      <c r="D723" s="23"/>
      <c r="E723" s="23"/>
      <c r="F723" s="23"/>
      <c r="G723" s="23"/>
      <c r="H723" s="40"/>
      <c r="I723" s="40"/>
      <c r="J723" s="70"/>
      <c r="K723" s="23"/>
      <c r="L723" s="70"/>
      <c r="M723" s="70"/>
      <c r="N723" s="23"/>
      <c r="O723" s="23"/>
      <c r="P723" s="23"/>
      <c r="Q723" s="23"/>
      <c r="R723" s="72"/>
      <c r="S723" s="23"/>
      <c r="T723" s="23"/>
      <c r="U723" s="23"/>
      <c r="V723" s="23"/>
      <c r="W723" s="23"/>
      <c r="X723" s="23"/>
      <c r="Y723" s="23"/>
      <c r="Z723" s="23"/>
      <c r="AA723" s="23"/>
      <c r="AB723" s="23"/>
      <c r="AC723" s="23"/>
      <c r="AD723" s="23"/>
      <c r="AE723" s="23"/>
    </row>
    <row r="724" spans="1:31">
      <c r="A724" s="23"/>
      <c r="B724" s="40"/>
      <c r="C724" s="40"/>
      <c r="D724" s="23"/>
      <c r="E724" s="23"/>
      <c r="F724" s="23"/>
      <c r="G724" s="23"/>
      <c r="H724" s="40"/>
      <c r="I724" s="40"/>
      <c r="J724" s="70"/>
      <c r="K724" s="23"/>
      <c r="L724" s="70"/>
      <c r="M724" s="70"/>
      <c r="N724" s="23"/>
      <c r="O724" s="23"/>
      <c r="P724" s="23"/>
      <c r="Q724" s="23"/>
      <c r="R724" s="72"/>
      <c r="S724" s="23"/>
      <c r="T724" s="23"/>
      <c r="U724" s="23"/>
      <c r="V724" s="23"/>
      <c r="W724" s="23"/>
      <c r="X724" s="23"/>
      <c r="Y724" s="23"/>
      <c r="Z724" s="23"/>
      <c r="AA724" s="23"/>
      <c r="AB724" s="23"/>
      <c r="AC724" s="23"/>
      <c r="AD724" s="23"/>
      <c r="AE724" s="23"/>
    </row>
    <row r="725" spans="1:31">
      <c r="A725" s="23"/>
      <c r="B725" s="40"/>
      <c r="C725" s="40"/>
      <c r="D725" s="23"/>
      <c r="E725" s="23"/>
      <c r="F725" s="23"/>
      <c r="G725" s="23"/>
      <c r="H725" s="40"/>
      <c r="I725" s="40"/>
      <c r="J725" s="70"/>
      <c r="K725" s="23"/>
      <c r="L725" s="70"/>
      <c r="M725" s="70"/>
      <c r="N725" s="23"/>
      <c r="O725" s="23"/>
      <c r="P725" s="23"/>
      <c r="Q725" s="23"/>
      <c r="R725" s="72"/>
      <c r="S725" s="23"/>
      <c r="T725" s="23"/>
      <c r="U725" s="23"/>
      <c r="V725" s="23"/>
      <c r="W725" s="23"/>
      <c r="X725" s="23"/>
      <c r="Y725" s="23"/>
      <c r="Z725" s="23"/>
      <c r="AA725" s="23"/>
      <c r="AB725" s="23"/>
      <c r="AC725" s="23"/>
      <c r="AD725" s="23"/>
      <c r="AE725" s="23"/>
    </row>
    <row r="726" spans="1:31">
      <c r="A726" s="23"/>
      <c r="B726" s="40"/>
      <c r="C726" s="40"/>
      <c r="D726" s="23"/>
      <c r="E726" s="23"/>
      <c r="F726" s="23"/>
      <c r="G726" s="23"/>
      <c r="H726" s="40"/>
      <c r="I726" s="40"/>
      <c r="J726" s="70"/>
      <c r="K726" s="23"/>
      <c r="L726" s="70"/>
      <c r="M726" s="70"/>
      <c r="N726" s="23"/>
      <c r="O726" s="23"/>
      <c r="P726" s="23"/>
      <c r="Q726" s="23"/>
      <c r="R726" s="72"/>
      <c r="S726" s="23"/>
      <c r="T726" s="23"/>
      <c r="U726" s="23"/>
      <c r="V726" s="23"/>
      <c r="W726" s="23"/>
      <c r="X726" s="23"/>
      <c r="Y726" s="23"/>
      <c r="Z726" s="23"/>
      <c r="AA726" s="23"/>
      <c r="AB726" s="23"/>
      <c r="AC726" s="23"/>
      <c r="AD726" s="23"/>
      <c r="AE726" s="23"/>
    </row>
    <row r="727" spans="1:31">
      <c r="A727" s="23"/>
      <c r="B727" s="40"/>
      <c r="C727" s="40"/>
      <c r="D727" s="23"/>
      <c r="E727" s="23"/>
      <c r="F727" s="23"/>
      <c r="G727" s="23"/>
      <c r="H727" s="40"/>
      <c r="I727" s="40"/>
      <c r="J727" s="70"/>
      <c r="K727" s="23"/>
      <c r="L727" s="70"/>
      <c r="M727" s="70"/>
      <c r="N727" s="23"/>
      <c r="O727" s="23"/>
      <c r="P727" s="23"/>
      <c r="Q727" s="23"/>
      <c r="R727" s="72"/>
      <c r="S727" s="23"/>
      <c r="T727" s="23"/>
      <c r="U727" s="23"/>
      <c r="V727" s="23"/>
      <c r="W727" s="23"/>
      <c r="X727" s="23"/>
      <c r="Y727" s="23"/>
      <c r="Z727" s="23"/>
      <c r="AA727" s="23"/>
      <c r="AB727" s="23"/>
      <c r="AC727" s="23"/>
      <c r="AD727" s="23"/>
      <c r="AE727" s="23"/>
    </row>
    <row r="728" spans="1:31" ht="24" customHeight="1">
      <c r="A728" s="23"/>
      <c r="B728" s="40"/>
      <c r="C728" s="40"/>
      <c r="D728" s="23"/>
      <c r="E728" s="23"/>
      <c r="F728" s="23"/>
      <c r="G728" s="23"/>
      <c r="H728" s="40"/>
      <c r="I728" s="40"/>
      <c r="J728" s="70"/>
      <c r="K728" s="23"/>
      <c r="L728" s="70"/>
      <c r="M728" s="70"/>
      <c r="N728" s="23"/>
      <c r="O728" s="23"/>
      <c r="P728" s="23"/>
      <c r="Q728" s="23"/>
      <c r="R728" s="72"/>
      <c r="S728" s="23"/>
      <c r="T728" s="23"/>
      <c r="U728" s="23"/>
      <c r="V728" s="23"/>
      <c r="W728" s="23"/>
      <c r="X728" s="23"/>
      <c r="Y728" s="23"/>
      <c r="Z728" s="23"/>
      <c r="AA728" s="23"/>
      <c r="AB728" s="23"/>
      <c r="AC728" s="23"/>
      <c r="AD728" s="23"/>
      <c r="AE728" s="23"/>
    </row>
    <row r="729" spans="1:31">
      <c r="A729" s="23"/>
      <c r="B729" s="40"/>
      <c r="C729" s="40"/>
      <c r="D729" s="23"/>
      <c r="E729" s="23"/>
      <c r="F729" s="23"/>
      <c r="G729" s="23"/>
      <c r="H729" s="40"/>
      <c r="I729" s="40"/>
      <c r="J729" s="70"/>
      <c r="K729" s="23"/>
      <c r="L729" s="70"/>
      <c r="M729" s="70"/>
      <c r="N729" s="23"/>
      <c r="O729" s="23"/>
      <c r="P729" s="23"/>
      <c r="Q729" s="23"/>
      <c r="R729" s="72"/>
      <c r="S729" s="23"/>
      <c r="T729" s="23"/>
      <c r="U729" s="23"/>
      <c r="V729" s="23"/>
      <c r="W729" s="23"/>
      <c r="X729" s="23"/>
      <c r="Y729" s="23"/>
      <c r="Z729" s="23"/>
      <c r="AA729" s="23"/>
      <c r="AB729" s="23"/>
      <c r="AC729" s="23"/>
      <c r="AD729" s="23"/>
      <c r="AE729" s="23"/>
    </row>
    <row r="730" spans="1:31">
      <c r="A730" s="23"/>
      <c r="B730" s="40"/>
      <c r="C730" s="40"/>
      <c r="D730" s="23"/>
      <c r="E730" s="23"/>
      <c r="F730" s="23"/>
      <c r="G730" s="23"/>
      <c r="H730" s="40"/>
      <c r="I730" s="40"/>
      <c r="J730" s="70"/>
      <c r="K730" s="23"/>
      <c r="L730" s="70"/>
      <c r="M730" s="70"/>
      <c r="N730" s="23"/>
      <c r="O730" s="23"/>
      <c r="P730" s="23"/>
      <c r="Q730" s="23"/>
      <c r="R730" s="72"/>
      <c r="S730" s="23"/>
      <c r="T730" s="23"/>
      <c r="U730" s="23"/>
      <c r="V730" s="23"/>
      <c r="W730" s="23"/>
      <c r="X730" s="23"/>
      <c r="Y730" s="23"/>
      <c r="Z730" s="23"/>
      <c r="AA730" s="23"/>
      <c r="AB730" s="23"/>
      <c r="AC730" s="23"/>
      <c r="AD730" s="23"/>
      <c r="AE730" s="23"/>
    </row>
    <row r="731" spans="1:31">
      <c r="A731" s="23"/>
      <c r="B731" s="40"/>
      <c r="C731" s="40"/>
      <c r="D731" s="23"/>
      <c r="E731" s="23"/>
      <c r="F731" s="23"/>
      <c r="G731" s="23"/>
      <c r="H731" s="40"/>
      <c r="I731" s="40"/>
      <c r="J731" s="70"/>
      <c r="K731" s="23"/>
      <c r="L731" s="70"/>
      <c r="M731" s="70"/>
      <c r="N731" s="23"/>
      <c r="O731" s="23"/>
      <c r="P731" s="23"/>
      <c r="Q731" s="23"/>
      <c r="R731" s="72"/>
      <c r="S731" s="23"/>
      <c r="T731" s="23"/>
      <c r="U731" s="23"/>
      <c r="V731" s="23"/>
      <c r="W731" s="23"/>
      <c r="X731" s="23"/>
      <c r="Y731" s="23"/>
      <c r="Z731" s="23"/>
      <c r="AA731" s="23"/>
      <c r="AB731" s="23"/>
      <c r="AC731" s="23"/>
      <c r="AD731" s="23"/>
      <c r="AE731" s="23"/>
    </row>
    <row r="732" spans="1:31">
      <c r="A732" s="23"/>
      <c r="B732" s="40"/>
      <c r="C732" s="40"/>
      <c r="D732" s="23"/>
      <c r="E732" s="23"/>
      <c r="F732" s="23"/>
      <c r="G732" s="23"/>
      <c r="H732" s="40"/>
      <c r="I732" s="40"/>
      <c r="J732" s="70"/>
      <c r="K732" s="23"/>
      <c r="L732" s="70"/>
      <c r="M732" s="70"/>
      <c r="N732" s="23"/>
      <c r="O732" s="23"/>
      <c r="P732" s="23"/>
      <c r="Q732" s="23"/>
      <c r="R732" s="72"/>
      <c r="S732" s="23"/>
      <c r="T732" s="23"/>
      <c r="U732" s="23"/>
      <c r="V732" s="23"/>
      <c r="W732" s="23"/>
      <c r="X732" s="23"/>
      <c r="Y732" s="23"/>
      <c r="Z732" s="23"/>
      <c r="AA732" s="23"/>
      <c r="AB732" s="23"/>
      <c r="AC732" s="23"/>
      <c r="AD732" s="23"/>
      <c r="AE732" s="23"/>
    </row>
    <row r="733" spans="1:31">
      <c r="A733" s="23"/>
      <c r="B733" s="40"/>
      <c r="C733" s="40"/>
      <c r="D733" s="23"/>
      <c r="E733" s="23"/>
      <c r="F733" s="23"/>
      <c r="G733" s="23"/>
      <c r="H733" s="40"/>
      <c r="I733" s="40"/>
      <c r="J733" s="70"/>
      <c r="K733" s="23"/>
      <c r="L733" s="70"/>
      <c r="M733" s="70"/>
      <c r="N733" s="23"/>
      <c r="O733" s="23"/>
      <c r="P733" s="23"/>
      <c r="Q733" s="23"/>
      <c r="R733" s="72"/>
      <c r="S733" s="23"/>
      <c r="T733" s="23"/>
      <c r="U733" s="23"/>
      <c r="V733" s="23"/>
      <c r="W733" s="23"/>
      <c r="X733" s="23"/>
      <c r="Y733" s="23"/>
      <c r="Z733" s="23"/>
      <c r="AA733" s="23"/>
      <c r="AB733" s="23"/>
      <c r="AC733" s="23"/>
      <c r="AD733" s="23"/>
      <c r="AE733" s="23"/>
    </row>
    <row r="734" spans="1:31">
      <c r="A734" s="23"/>
      <c r="B734" s="40"/>
      <c r="C734" s="40"/>
      <c r="D734" s="23"/>
      <c r="E734" s="23"/>
      <c r="F734" s="23"/>
      <c r="G734" s="23"/>
      <c r="H734" s="40"/>
      <c r="I734" s="40"/>
      <c r="J734" s="70"/>
      <c r="K734" s="23"/>
      <c r="L734" s="70"/>
      <c r="M734" s="70"/>
      <c r="N734" s="23"/>
      <c r="O734" s="23"/>
      <c r="P734" s="23"/>
      <c r="Q734" s="23"/>
      <c r="R734" s="72"/>
      <c r="S734" s="23"/>
      <c r="T734" s="23"/>
      <c r="U734" s="23"/>
      <c r="V734" s="23"/>
      <c r="W734" s="23"/>
      <c r="X734" s="23"/>
      <c r="Y734" s="23"/>
      <c r="Z734" s="23"/>
      <c r="AA734" s="23"/>
      <c r="AB734" s="23"/>
      <c r="AC734" s="23"/>
      <c r="AD734" s="23"/>
      <c r="AE734" s="23"/>
    </row>
    <row r="735" spans="1:31">
      <c r="A735" s="23"/>
      <c r="B735" s="40"/>
      <c r="C735" s="40"/>
      <c r="D735" s="23"/>
      <c r="E735" s="23"/>
      <c r="F735" s="23"/>
      <c r="G735" s="23"/>
      <c r="H735" s="40"/>
      <c r="I735" s="40"/>
      <c r="J735" s="70"/>
      <c r="K735" s="23"/>
      <c r="L735" s="70"/>
      <c r="M735" s="70"/>
      <c r="N735" s="23"/>
      <c r="O735" s="23"/>
      <c r="P735" s="23"/>
      <c r="Q735" s="23"/>
      <c r="R735" s="72"/>
      <c r="S735" s="23"/>
      <c r="T735" s="23"/>
      <c r="U735" s="23"/>
      <c r="V735" s="23"/>
      <c r="W735" s="23"/>
      <c r="X735" s="23"/>
      <c r="Y735" s="23"/>
      <c r="Z735" s="23"/>
      <c r="AA735" s="23"/>
      <c r="AB735" s="23"/>
      <c r="AC735" s="23"/>
      <c r="AD735" s="23"/>
      <c r="AE735" s="23"/>
    </row>
    <row r="736" spans="1:31">
      <c r="A736" s="23"/>
      <c r="B736" s="40"/>
      <c r="C736" s="40"/>
      <c r="D736" s="23"/>
      <c r="E736" s="23"/>
      <c r="F736" s="23"/>
      <c r="G736" s="23"/>
      <c r="H736" s="40"/>
      <c r="I736" s="40"/>
      <c r="J736" s="70"/>
      <c r="K736" s="23"/>
      <c r="L736" s="70"/>
      <c r="M736" s="70"/>
      <c r="N736" s="23"/>
      <c r="O736" s="23"/>
      <c r="P736" s="23"/>
      <c r="Q736" s="23"/>
      <c r="R736" s="72"/>
      <c r="S736" s="23"/>
      <c r="T736" s="23"/>
      <c r="U736" s="23"/>
      <c r="V736" s="23"/>
      <c r="W736" s="23"/>
      <c r="X736" s="23"/>
      <c r="Y736" s="23"/>
      <c r="Z736" s="23"/>
      <c r="AA736" s="23"/>
      <c r="AB736" s="23"/>
      <c r="AC736" s="23"/>
      <c r="AD736" s="23"/>
      <c r="AE736" s="23"/>
    </row>
    <row r="737" spans="1:31">
      <c r="A737" s="23"/>
      <c r="B737" s="40"/>
      <c r="C737" s="40"/>
      <c r="D737" s="23"/>
      <c r="E737" s="23"/>
      <c r="F737" s="23"/>
      <c r="G737" s="23"/>
      <c r="H737" s="40"/>
      <c r="I737" s="40"/>
      <c r="J737" s="70"/>
      <c r="K737" s="23"/>
      <c r="L737" s="70"/>
      <c r="M737" s="70"/>
      <c r="N737" s="23"/>
      <c r="O737" s="23"/>
      <c r="P737" s="23"/>
      <c r="Q737" s="23"/>
      <c r="R737" s="72"/>
      <c r="S737" s="23"/>
      <c r="T737" s="23"/>
      <c r="U737" s="23"/>
      <c r="V737" s="23"/>
      <c r="W737" s="23"/>
      <c r="X737" s="23"/>
      <c r="Y737" s="23"/>
      <c r="Z737" s="23"/>
      <c r="AA737" s="23"/>
      <c r="AB737" s="23"/>
      <c r="AC737" s="23"/>
      <c r="AD737" s="23"/>
      <c r="AE737" s="23"/>
    </row>
    <row r="738" spans="1:31">
      <c r="A738" s="23"/>
      <c r="B738" s="40"/>
      <c r="C738" s="40"/>
      <c r="D738" s="23"/>
      <c r="E738" s="23"/>
      <c r="F738" s="23"/>
      <c r="G738" s="23"/>
      <c r="H738" s="40"/>
      <c r="I738" s="40"/>
      <c r="J738" s="70"/>
      <c r="K738" s="23"/>
      <c r="L738" s="70"/>
      <c r="M738" s="70"/>
      <c r="N738" s="23"/>
      <c r="O738" s="23"/>
      <c r="P738" s="23"/>
      <c r="Q738" s="23"/>
      <c r="R738" s="72"/>
      <c r="S738" s="23"/>
      <c r="T738" s="23"/>
      <c r="U738" s="23"/>
      <c r="V738" s="23"/>
      <c r="W738" s="23"/>
      <c r="X738" s="23"/>
      <c r="Y738" s="23"/>
      <c r="Z738" s="23"/>
      <c r="AA738" s="23"/>
      <c r="AB738" s="23"/>
      <c r="AC738" s="23"/>
      <c r="AD738" s="23"/>
      <c r="AE738" s="23"/>
    </row>
    <row r="739" spans="1:31">
      <c r="A739" s="23"/>
      <c r="B739" s="40"/>
      <c r="C739" s="40"/>
      <c r="D739" s="23"/>
      <c r="E739" s="23"/>
      <c r="F739" s="23"/>
      <c r="G739" s="23"/>
      <c r="H739" s="23"/>
      <c r="I739" s="40"/>
      <c r="J739" s="70"/>
      <c r="K739" s="23"/>
      <c r="L739" s="70"/>
      <c r="M739" s="70"/>
      <c r="N739" s="23"/>
      <c r="O739" s="23"/>
      <c r="P739" s="23"/>
      <c r="Q739" s="23"/>
      <c r="R739" s="72"/>
      <c r="S739" s="23"/>
      <c r="T739" s="23"/>
      <c r="U739" s="23"/>
      <c r="V739" s="23"/>
      <c r="W739" s="23"/>
      <c r="X739" s="23"/>
      <c r="Y739" s="23"/>
      <c r="Z739" s="23"/>
      <c r="AA739" s="23"/>
      <c r="AB739" s="23"/>
      <c r="AC739" s="23"/>
      <c r="AD739" s="23"/>
      <c r="AE739" s="23"/>
    </row>
    <row r="740" spans="1:31">
      <c r="A740" s="23"/>
      <c r="B740" s="40"/>
      <c r="C740" s="40"/>
      <c r="D740" s="23"/>
      <c r="E740" s="23"/>
      <c r="F740" s="23"/>
      <c r="G740" s="23"/>
      <c r="H740" s="23"/>
      <c r="I740" s="40"/>
      <c r="J740" s="70"/>
      <c r="K740" s="23"/>
      <c r="L740" s="70"/>
      <c r="M740" s="70"/>
      <c r="N740" s="23"/>
      <c r="O740" s="23"/>
      <c r="P740" s="23"/>
      <c r="Q740" s="23"/>
      <c r="R740" s="72"/>
      <c r="S740" s="23"/>
      <c r="T740" s="23"/>
      <c r="U740" s="23"/>
      <c r="V740" s="23"/>
      <c r="W740" s="23"/>
      <c r="X740" s="23"/>
      <c r="Y740" s="23"/>
      <c r="Z740" s="23"/>
      <c r="AA740" s="23"/>
      <c r="AB740" s="23"/>
      <c r="AC740" s="23"/>
      <c r="AD740" s="23"/>
      <c r="AE740" s="23"/>
    </row>
    <row r="741" spans="1:31" ht="24" customHeight="1">
      <c r="A741" s="23"/>
      <c r="B741" s="40"/>
      <c r="C741" s="40"/>
      <c r="D741" s="23"/>
      <c r="E741" s="23"/>
      <c r="F741" s="23"/>
      <c r="G741" s="23"/>
      <c r="H741" s="40"/>
      <c r="I741" s="40"/>
      <c r="J741" s="70"/>
      <c r="K741" s="23"/>
      <c r="L741" s="70"/>
      <c r="M741" s="70"/>
      <c r="N741" s="23"/>
      <c r="O741" s="23"/>
      <c r="P741" s="23"/>
      <c r="Q741" s="23"/>
      <c r="R741" s="72"/>
      <c r="S741" s="23"/>
      <c r="T741" s="23"/>
      <c r="U741" s="23"/>
      <c r="V741" s="23"/>
      <c r="W741" s="23"/>
      <c r="X741" s="23"/>
      <c r="Y741" s="23"/>
      <c r="Z741" s="23"/>
      <c r="AA741" s="23"/>
      <c r="AB741" s="23"/>
      <c r="AC741" s="23"/>
      <c r="AD741" s="23"/>
      <c r="AE741" s="23"/>
    </row>
    <row r="742" spans="1:31">
      <c r="A742" s="23"/>
      <c r="B742" s="40"/>
      <c r="C742" s="40"/>
      <c r="D742" s="23"/>
      <c r="E742" s="23"/>
      <c r="F742" s="23"/>
      <c r="G742" s="23"/>
      <c r="H742" s="40"/>
      <c r="I742" s="40"/>
      <c r="J742" s="70"/>
      <c r="K742" s="23"/>
      <c r="L742" s="70"/>
      <c r="M742" s="70"/>
      <c r="N742" s="23"/>
      <c r="O742" s="23"/>
      <c r="P742" s="23"/>
      <c r="Q742" s="23"/>
      <c r="R742" s="72"/>
      <c r="S742" s="23"/>
      <c r="T742" s="23"/>
      <c r="U742" s="23"/>
      <c r="V742" s="23"/>
      <c r="W742" s="23"/>
      <c r="X742" s="23"/>
      <c r="Y742" s="23"/>
      <c r="Z742" s="23"/>
      <c r="AA742" s="23"/>
      <c r="AB742" s="23"/>
      <c r="AC742" s="23"/>
      <c r="AD742" s="23"/>
      <c r="AE742" s="23"/>
    </row>
    <row r="743" spans="1:31">
      <c r="A743" s="23"/>
      <c r="B743" s="40"/>
      <c r="C743" s="40"/>
      <c r="D743" s="23"/>
      <c r="E743" s="23"/>
      <c r="F743" s="23"/>
      <c r="G743" s="23"/>
      <c r="H743" s="40"/>
      <c r="I743" s="40"/>
      <c r="J743" s="70"/>
      <c r="K743" s="23"/>
      <c r="L743" s="70"/>
      <c r="M743" s="70"/>
      <c r="N743" s="23"/>
      <c r="O743" s="23"/>
      <c r="P743" s="23"/>
      <c r="Q743" s="23"/>
      <c r="R743" s="72"/>
      <c r="S743" s="23"/>
      <c r="T743" s="23"/>
      <c r="U743" s="23"/>
      <c r="V743" s="23"/>
      <c r="W743" s="23"/>
      <c r="X743" s="23"/>
      <c r="Y743" s="23"/>
      <c r="Z743" s="23"/>
      <c r="AA743" s="23"/>
      <c r="AB743" s="23"/>
      <c r="AC743" s="23"/>
      <c r="AD743" s="23"/>
      <c r="AE743" s="23"/>
    </row>
    <row r="744" spans="1:31">
      <c r="A744" s="23"/>
      <c r="B744" s="40"/>
      <c r="C744" s="40"/>
      <c r="D744" s="23"/>
      <c r="E744" s="23"/>
      <c r="F744" s="23"/>
      <c r="G744" s="23"/>
      <c r="H744" s="40"/>
      <c r="I744" s="40"/>
      <c r="J744" s="70"/>
      <c r="K744" s="23"/>
      <c r="L744" s="70"/>
      <c r="M744" s="70"/>
      <c r="N744" s="23"/>
      <c r="O744" s="23"/>
      <c r="P744" s="23"/>
      <c r="Q744" s="23"/>
      <c r="R744" s="72"/>
      <c r="S744" s="23"/>
      <c r="T744" s="23"/>
      <c r="U744" s="23"/>
      <c r="V744" s="23"/>
      <c r="W744" s="23"/>
      <c r="X744" s="23"/>
      <c r="Y744" s="23"/>
      <c r="Z744" s="23"/>
      <c r="AA744" s="23"/>
      <c r="AB744" s="23"/>
      <c r="AC744" s="23"/>
      <c r="AD744" s="23"/>
      <c r="AE744" s="23"/>
    </row>
    <row r="745" spans="1:31">
      <c r="A745" s="23"/>
      <c r="B745" s="40"/>
      <c r="C745" s="40"/>
      <c r="D745" s="23"/>
      <c r="E745" s="23"/>
      <c r="F745" s="23"/>
      <c r="G745" s="23"/>
      <c r="H745" s="40"/>
      <c r="I745" s="40"/>
      <c r="J745" s="70"/>
      <c r="K745" s="23"/>
      <c r="L745" s="70"/>
      <c r="M745" s="70"/>
      <c r="N745" s="23"/>
      <c r="O745" s="23"/>
      <c r="P745" s="23"/>
      <c r="Q745" s="23"/>
      <c r="R745" s="72"/>
      <c r="S745" s="23"/>
      <c r="T745" s="23"/>
      <c r="U745" s="23"/>
      <c r="V745" s="23"/>
      <c r="W745" s="23"/>
      <c r="X745" s="23"/>
      <c r="Y745" s="23"/>
      <c r="Z745" s="23"/>
      <c r="AA745" s="23"/>
      <c r="AB745" s="23"/>
      <c r="AC745" s="23"/>
      <c r="AD745" s="23"/>
      <c r="AE745" s="23"/>
    </row>
    <row r="746" spans="1:31">
      <c r="A746" s="23"/>
      <c r="B746" s="40"/>
      <c r="C746" s="40"/>
      <c r="D746" s="23"/>
      <c r="E746" s="23"/>
      <c r="F746" s="23"/>
      <c r="G746" s="23"/>
      <c r="H746" s="23"/>
      <c r="I746" s="40"/>
      <c r="J746" s="70"/>
      <c r="K746" s="23"/>
      <c r="L746" s="70"/>
      <c r="M746" s="70"/>
      <c r="N746" s="23"/>
      <c r="O746" s="23"/>
      <c r="P746" s="23"/>
      <c r="Q746" s="23"/>
      <c r="R746" s="72"/>
      <c r="S746" s="23"/>
      <c r="T746" s="23"/>
      <c r="U746" s="23"/>
      <c r="V746" s="23"/>
      <c r="W746" s="23"/>
      <c r="X746" s="23"/>
      <c r="Y746" s="23"/>
      <c r="Z746" s="23"/>
      <c r="AA746" s="23"/>
      <c r="AB746" s="23"/>
      <c r="AC746" s="23"/>
      <c r="AD746" s="23"/>
      <c r="AE746" s="23"/>
    </row>
    <row r="747" spans="1:31">
      <c r="A747" s="23"/>
      <c r="B747" s="40"/>
      <c r="C747" s="40"/>
      <c r="D747" s="23"/>
      <c r="E747" s="23"/>
      <c r="F747" s="23"/>
      <c r="G747" s="23"/>
      <c r="H747" s="23"/>
      <c r="I747" s="40"/>
      <c r="J747" s="70"/>
      <c r="K747" s="23"/>
      <c r="L747" s="70"/>
      <c r="M747" s="70"/>
      <c r="N747" s="23"/>
      <c r="O747" s="23"/>
      <c r="P747" s="23"/>
      <c r="Q747" s="23"/>
      <c r="R747" s="72"/>
      <c r="S747" s="23"/>
      <c r="T747" s="23"/>
      <c r="U747" s="23"/>
      <c r="V747" s="23"/>
      <c r="W747" s="23"/>
      <c r="X747" s="23"/>
      <c r="Y747" s="23"/>
      <c r="Z747" s="23"/>
      <c r="AA747" s="23"/>
      <c r="AB747" s="23"/>
      <c r="AC747" s="23"/>
      <c r="AD747" s="23"/>
      <c r="AE747" s="23"/>
    </row>
    <row r="748" spans="1:31" ht="24" customHeight="1">
      <c r="A748" s="23"/>
      <c r="B748" s="40"/>
      <c r="C748" s="40"/>
      <c r="D748" s="23"/>
      <c r="E748" s="23"/>
      <c r="F748" s="23"/>
      <c r="G748" s="23"/>
      <c r="H748" s="40"/>
      <c r="I748" s="40"/>
      <c r="J748" s="70"/>
      <c r="K748" s="23"/>
      <c r="L748" s="70"/>
      <c r="M748" s="70"/>
      <c r="N748" s="23"/>
      <c r="O748" s="23"/>
      <c r="P748" s="23"/>
      <c r="Q748" s="23"/>
      <c r="R748" s="72"/>
      <c r="S748" s="23"/>
      <c r="T748" s="23"/>
      <c r="U748" s="23"/>
      <c r="V748" s="23"/>
      <c r="W748" s="23"/>
      <c r="X748" s="23"/>
      <c r="Y748" s="23"/>
      <c r="Z748" s="23"/>
      <c r="AA748" s="23"/>
      <c r="AB748" s="23"/>
      <c r="AC748" s="23"/>
      <c r="AD748" s="23"/>
      <c r="AE748" s="23"/>
    </row>
    <row r="749" spans="1:31">
      <c r="A749" s="23"/>
      <c r="B749" s="40"/>
      <c r="C749" s="40"/>
      <c r="D749" s="23"/>
      <c r="E749" s="23"/>
      <c r="F749" s="23"/>
      <c r="G749" s="23"/>
      <c r="H749" s="40"/>
      <c r="I749" s="40"/>
      <c r="J749" s="70"/>
      <c r="K749" s="23"/>
      <c r="L749" s="70"/>
      <c r="M749" s="70"/>
      <c r="N749" s="23"/>
      <c r="O749" s="23"/>
      <c r="P749" s="23"/>
      <c r="Q749" s="23"/>
      <c r="R749" s="72"/>
      <c r="S749" s="23"/>
      <c r="T749" s="23"/>
      <c r="U749" s="23"/>
      <c r="V749" s="23"/>
      <c r="W749" s="23"/>
      <c r="X749" s="23"/>
      <c r="Y749" s="23"/>
      <c r="Z749" s="23"/>
      <c r="AA749" s="23"/>
      <c r="AB749" s="23"/>
      <c r="AC749" s="23"/>
      <c r="AD749" s="23"/>
      <c r="AE749" s="23"/>
    </row>
    <row r="750" spans="1:31">
      <c r="A750" s="23"/>
      <c r="B750" s="40"/>
      <c r="C750" s="40"/>
      <c r="D750" s="23"/>
      <c r="E750" s="23"/>
      <c r="F750" s="23"/>
      <c r="G750" s="23"/>
      <c r="H750" s="40"/>
      <c r="I750" s="40"/>
      <c r="J750" s="70"/>
      <c r="K750" s="23"/>
      <c r="L750" s="70"/>
      <c r="M750" s="70"/>
      <c r="N750" s="23"/>
      <c r="O750" s="23"/>
      <c r="P750" s="23"/>
      <c r="Q750" s="23"/>
      <c r="R750" s="72"/>
      <c r="S750" s="23"/>
      <c r="T750" s="23"/>
      <c r="U750" s="23"/>
      <c r="V750" s="23"/>
      <c r="W750" s="23"/>
      <c r="X750" s="23"/>
      <c r="Y750" s="23"/>
      <c r="Z750" s="23"/>
      <c r="AA750" s="23"/>
      <c r="AB750" s="23"/>
      <c r="AC750" s="23"/>
      <c r="AD750" s="23"/>
      <c r="AE750" s="23"/>
    </row>
    <row r="751" spans="1:31">
      <c r="A751" s="23"/>
      <c r="B751" s="40"/>
      <c r="C751" s="40"/>
      <c r="D751" s="23"/>
      <c r="E751" s="23"/>
      <c r="F751" s="23"/>
      <c r="G751" s="23"/>
      <c r="H751" s="40"/>
      <c r="I751" s="40"/>
      <c r="J751" s="70"/>
      <c r="K751" s="23"/>
      <c r="L751" s="70"/>
      <c r="M751" s="70"/>
      <c r="N751" s="23"/>
      <c r="O751" s="23"/>
      <c r="P751" s="23"/>
      <c r="Q751" s="23"/>
      <c r="R751" s="72"/>
      <c r="S751" s="23"/>
      <c r="T751" s="23"/>
      <c r="U751" s="23"/>
      <c r="V751" s="23"/>
      <c r="W751" s="23"/>
      <c r="X751" s="23"/>
      <c r="Y751" s="23"/>
      <c r="Z751" s="23"/>
      <c r="AA751" s="23"/>
      <c r="AB751" s="23"/>
      <c r="AC751" s="23"/>
      <c r="AD751" s="23"/>
      <c r="AE751" s="23"/>
    </row>
    <row r="752" spans="1:31">
      <c r="A752" s="23"/>
      <c r="B752" s="40"/>
      <c r="C752" s="40"/>
      <c r="D752" s="23"/>
      <c r="E752" s="23"/>
      <c r="F752" s="23"/>
      <c r="G752" s="23"/>
      <c r="H752" s="40"/>
      <c r="I752" s="40"/>
      <c r="J752" s="70"/>
      <c r="K752" s="23"/>
      <c r="L752" s="70"/>
      <c r="M752" s="70"/>
      <c r="N752" s="23"/>
      <c r="O752" s="23"/>
      <c r="P752" s="23"/>
      <c r="Q752" s="23"/>
      <c r="R752" s="72"/>
      <c r="S752" s="23"/>
      <c r="T752" s="23"/>
      <c r="U752" s="23"/>
      <c r="V752" s="23"/>
      <c r="W752" s="23"/>
      <c r="X752" s="23"/>
      <c r="Y752" s="23"/>
      <c r="Z752" s="23"/>
      <c r="AA752" s="23"/>
      <c r="AB752" s="23"/>
      <c r="AC752" s="23"/>
      <c r="AD752" s="23"/>
      <c r="AE752" s="23"/>
    </row>
    <row r="753" spans="1:31">
      <c r="A753" s="23"/>
      <c r="B753" s="40"/>
      <c r="C753" s="40"/>
      <c r="D753" s="23"/>
      <c r="E753" s="23"/>
      <c r="F753" s="23"/>
      <c r="G753" s="23"/>
      <c r="H753" s="40"/>
      <c r="I753" s="40"/>
      <c r="J753" s="70"/>
      <c r="K753" s="23"/>
      <c r="L753" s="70"/>
      <c r="M753" s="70"/>
      <c r="N753" s="23"/>
      <c r="O753" s="23"/>
      <c r="P753" s="23"/>
      <c r="Q753" s="23"/>
      <c r="R753" s="72"/>
      <c r="S753" s="23"/>
      <c r="T753" s="23"/>
      <c r="U753" s="23"/>
      <c r="V753" s="23"/>
      <c r="W753" s="23"/>
      <c r="X753" s="23"/>
      <c r="Y753" s="23"/>
      <c r="Z753" s="23"/>
      <c r="AA753" s="23"/>
      <c r="AB753" s="23"/>
      <c r="AC753" s="23"/>
      <c r="AD753" s="23"/>
      <c r="AE753" s="23"/>
    </row>
    <row r="754" spans="1:31">
      <c r="A754" s="23"/>
      <c r="B754" s="40"/>
      <c r="C754" s="40"/>
      <c r="D754" s="23"/>
      <c r="E754" s="23"/>
      <c r="F754" s="23"/>
      <c r="G754" s="23"/>
      <c r="H754" s="40"/>
      <c r="I754" s="40"/>
      <c r="J754" s="70"/>
      <c r="K754" s="23"/>
      <c r="L754" s="70"/>
      <c r="M754" s="70"/>
      <c r="N754" s="23"/>
      <c r="O754" s="23"/>
      <c r="P754" s="23"/>
      <c r="Q754" s="23"/>
      <c r="R754" s="72"/>
      <c r="S754" s="23"/>
      <c r="T754" s="23"/>
      <c r="U754" s="23"/>
      <c r="V754" s="23"/>
      <c r="W754" s="23"/>
      <c r="X754" s="23"/>
      <c r="Y754" s="23"/>
      <c r="Z754" s="23"/>
      <c r="AA754" s="23"/>
      <c r="AB754" s="23"/>
      <c r="AC754" s="23"/>
      <c r="AD754" s="23"/>
      <c r="AE754" s="23"/>
    </row>
    <row r="755" spans="1:31">
      <c r="A755" s="23"/>
      <c r="B755" s="40"/>
      <c r="C755" s="40"/>
      <c r="D755" s="23"/>
      <c r="E755" s="23"/>
      <c r="F755" s="23"/>
      <c r="G755" s="23"/>
      <c r="H755" s="23"/>
      <c r="I755" s="40"/>
      <c r="J755" s="70"/>
      <c r="K755" s="23"/>
      <c r="L755" s="70"/>
      <c r="M755" s="70"/>
      <c r="N755" s="23"/>
      <c r="O755" s="23"/>
      <c r="P755" s="23"/>
      <c r="Q755" s="23"/>
      <c r="R755" s="72"/>
      <c r="S755" s="23"/>
      <c r="T755" s="23"/>
      <c r="U755" s="23"/>
      <c r="V755" s="23"/>
      <c r="W755" s="23"/>
      <c r="X755" s="23"/>
      <c r="Y755" s="23"/>
      <c r="Z755" s="23"/>
      <c r="AA755" s="23"/>
      <c r="AB755" s="23"/>
      <c r="AC755" s="23"/>
      <c r="AD755" s="23"/>
      <c r="AE755" s="23"/>
    </row>
    <row r="756" spans="1:31">
      <c r="A756" s="23"/>
      <c r="B756" s="40"/>
      <c r="C756" s="40"/>
      <c r="D756" s="23"/>
      <c r="E756" s="23"/>
      <c r="F756" s="23"/>
      <c r="G756" s="23"/>
      <c r="H756" s="23"/>
      <c r="I756" s="40"/>
      <c r="J756" s="70"/>
      <c r="K756" s="23"/>
      <c r="L756" s="70"/>
      <c r="M756" s="70"/>
      <c r="N756" s="23"/>
      <c r="O756" s="23"/>
      <c r="P756" s="23"/>
      <c r="Q756" s="23"/>
      <c r="R756" s="72"/>
      <c r="S756" s="23"/>
      <c r="T756" s="23"/>
      <c r="U756" s="23"/>
      <c r="V756" s="23"/>
      <c r="W756" s="23"/>
      <c r="X756" s="23"/>
      <c r="Y756" s="23"/>
      <c r="Z756" s="23"/>
      <c r="AA756" s="23"/>
      <c r="AB756" s="23"/>
      <c r="AC756" s="23"/>
      <c r="AD756" s="23"/>
      <c r="AE756" s="23"/>
    </row>
    <row r="757" spans="1:31">
      <c r="A757" s="23"/>
      <c r="B757" s="40"/>
      <c r="C757" s="40"/>
      <c r="D757" s="23"/>
      <c r="E757" s="23"/>
      <c r="F757" s="23"/>
      <c r="G757" s="23"/>
      <c r="H757" s="23"/>
      <c r="I757" s="40"/>
      <c r="J757" s="70"/>
      <c r="K757" s="23"/>
      <c r="L757" s="70"/>
      <c r="M757" s="70"/>
      <c r="N757" s="23"/>
      <c r="O757" s="23"/>
      <c r="P757" s="23"/>
      <c r="Q757" s="23"/>
      <c r="R757" s="72"/>
      <c r="S757" s="23"/>
      <c r="T757" s="23"/>
      <c r="U757" s="23"/>
      <c r="V757" s="23"/>
      <c r="W757" s="23"/>
      <c r="X757" s="23"/>
      <c r="Y757" s="23"/>
      <c r="Z757" s="23"/>
      <c r="AA757" s="23"/>
      <c r="AB757" s="23"/>
      <c r="AC757" s="23"/>
      <c r="AD757" s="23"/>
      <c r="AE757" s="23"/>
    </row>
    <row r="758" spans="1:31">
      <c r="A758" s="23"/>
      <c r="B758" s="40"/>
      <c r="C758" s="40"/>
      <c r="D758" s="23"/>
      <c r="E758" s="23"/>
      <c r="F758" s="23"/>
      <c r="G758" s="23"/>
      <c r="H758" s="23"/>
      <c r="I758" s="40"/>
      <c r="J758" s="70"/>
      <c r="K758" s="23"/>
      <c r="L758" s="70"/>
      <c r="M758" s="70"/>
      <c r="N758" s="23"/>
      <c r="O758" s="23"/>
      <c r="P758" s="23"/>
      <c r="Q758" s="23"/>
      <c r="R758" s="72"/>
      <c r="S758" s="23"/>
      <c r="T758" s="23"/>
      <c r="U758" s="23"/>
      <c r="V758" s="23"/>
      <c r="W758" s="23"/>
      <c r="X758" s="23"/>
      <c r="Y758" s="23"/>
      <c r="Z758" s="23"/>
      <c r="AA758" s="23"/>
      <c r="AB758" s="23"/>
      <c r="AC758" s="23"/>
      <c r="AD758" s="23"/>
      <c r="AE758" s="23"/>
    </row>
    <row r="759" spans="1:31" ht="24" customHeight="1">
      <c r="A759" s="23"/>
      <c r="B759" s="40"/>
      <c r="C759" s="40"/>
      <c r="D759" s="23"/>
      <c r="E759" s="23"/>
      <c r="F759" s="23"/>
      <c r="G759" s="23"/>
      <c r="H759" s="40"/>
      <c r="I759" s="40"/>
      <c r="J759" s="70"/>
      <c r="K759" s="23"/>
      <c r="L759" s="70"/>
      <c r="M759" s="70"/>
      <c r="N759" s="23"/>
      <c r="O759" s="23"/>
      <c r="P759" s="23"/>
      <c r="Q759" s="23"/>
      <c r="R759" s="72"/>
      <c r="S759" s="23"/>
      <c r="T759" s="23"/>
      <c r="U759" s="23"/>
      <c r="V759" s="23"/>
      <c r="W759" s="23"/>
      <c r="X759" s="23"/>
      <c r="Y759" s="23"/>
      <c r="Z759" s="23"/>
      <c r="AA759" s="23"/>
      <c r="AB759" s="23"/>
      <c r="AC759" s="23"/>
      <c r="AD759" s="23"/>
      <c r="AE759" s="23"/>
    </row>
    <row r="760" spans="1:31">
      <c r="A760" s="23"/>
      <c r="B760" s="40"/>
      <c r="C760" s="40"/>
      <c r="D760" s="23"/>
      <c r="E760" s="23"/>
      <c r="F760" s="23"/>
      <c r="G760" s="23"/>
      <c r="H760" s="40"/>
      <c r="I760" s="40"/>
      <c r="J760" s="70"/>
      <c r="K760" s="23"/>
      <c r="L760" s="70"/>
      <c r="M760" s="70"/>
      <c r="N760" s="23"/>
      <c r="O760" s="23"/>
      <c r="P760" s="23"/>
      <c r="Q760" s="23"/>
      <c r="R760" s="72"/>
      <c r="S760" s="23"/>
      <c r="T760" s="23"/>
      <c r="U760" s="23"/>
      <c r="V760" s="23"/>
      <c r="W760" s="23"/>
      <c r="X760" s="23"/>
      <c r="Y760" s="23"/>
      <c r="Z760" s="23"/>
      <c r="AA760" s="23"/>
      <c r="AB760" s="23"/>
      <c r="AC760" s="23"/>
      <c r="AD760" s="23"/>
      <c r="AE760" s="23"/>
    </row>
    <row r="761" spans="1:31">
      <c r="A761" s="23"/>
      <c r="B761" s="40"/>
      <c r="C761" s="40"/>
      <c r="D761" s="23"/>
      <c r="E761" s="23"/>
      <c r="F761" s="23"/>
      <c r="G761" s="23"/>
      <c r="H761" s="40"/>
      <c r="I761" s="40"/>
      <c r="J761" s="70"/>
      <c r="K761" s="23"/>
      <c r="L761" s="70"/>
      <c r="M761" s="70"/>
      <c r="N761" s="23"/>
      <c r="O761" s="23"/>
      <c r="P761" s="23"/>
      <c r="Q761" s="23"/>
      <c r="R761" s="72"/>
      <c r="S761" s="23"/>
      <c r="T761" s="23"/>
      <c r="U761" s="23"/>
      <c r="V761" s="23"/>
      <c r="W761" s="23"/>
      <c r="X761" s="23"/>
      <c r="Y761" s="23"/>
      <c r="Z761" s="23"/>
      <c r="AA761" s="23"/>
      <c r="AB761" s="23"/>
      <c r="AC761" s="23"/>
      <c r="AD761" s="23"/>
      <c r="AE761" s="23"/>
    </row>
    <row r="762" spans="1:31">
      <c r="A762" s="23"/>
      <c r="B762" s="40"/>
      <c r="C762" s="40"/>
      <c r="D762" s="23"/>
      <c r="E762" s="23"/>
      <c r="F762" s="23"/>
      <c r="G762" s="23"/>
      <c r="H762" s="40"/>
      <c r="I762" s="40"/>
      <c r="J762" s="70"/>
      <c r="K762" s="23"/>
      <c r="L762" s="70"/>
      <c r="M762" s="70"/>
      <c r="N762" s="23"/>
      <c r="O762" s="23"/>
      <c r="P762" s="23"/>
      <c r="Q762" s="23"/>
      <c r="R762" s="72"/>
      <c r="S762" s="23"/>
      <c r="T762" s="23"/>
      <c r="U762" s="23"/>
      <c r="V762" s="23"/>
      <c r="W762" s="23"/>
      <c r="X762" s="23"/>
      <c r="Y762" s="23"/>
      <c r="Z762" s="23"/>
      <c r="AA762" s="23"/>
      <c r="AB762" s="23"/>
      <c r="AC762" s="23"/>
      <c r="AD762" s="23"/>
      <c r="AE762" s="23"/>
    </row>
    <row r="763" spans="1:31">
      <c r="A763" s="23"/>
      <c r="B763" s="40"/>
      <c r="C763" s="40"/>
      <c r="D763" s="23"/>
      <c r="E763" s="23"/>
      <c r="F763" s="23"/>
      <c r="G763" s="23"/>
      <c r="H763" s="40"/>
      <c r="I763" s="40"/>
      <c r="J763" s="70"/>
      <c r="K763" s="23"/>
      <c r="L763" s="70"/>
      <c r="M763" s="70"/>
      <c r="N763" s="23"/>
      <c r="O763" s="23"/>
      <c r="P763" s="23"/>
      <c r="Q763" s="23"/>
      <c r="R763" s="72"/>
      <c r="S763" s="23"/>
      <c r="T763" s="23"/>
      <c r="U763" s="23"/>
      <c r="V763" s="23"/>
      <c r="W763" s="23"/>
      <c r="X763" s="23"/>
      <c r="Y763" s="23"/>
      <c r="Z763" s="23"/>
      <c r="AA763" s="23"/>
      <c r="AB763" s="23"/>
      <c r="AC763" s="23"/>
      <c r="AD763" s="23"/>
      <c r="AE763" s="23"/>
    </row>
    <row r="764" spans="1:31">
      <c r="A764" s="23"/>
      <c r="B764" s="40"/>
      <c r="C764" s="40"/>
      <c r="D764" s="23"/>
      <c r="E764" s="23"/>
      <c r="F764" s="23"/>
      <c r="G764" s="23"/>
      <c r="H764" s="23"/>
      <c r="I764" s="40"/>
      <c r="J764" s="70"/>
      <c r="K764" s="23"/>
      <c r="L764" s="70"/>
      <c r="M764" s="70"/>
      <c r="N764" s="23"/>
      <c r="O764" s="23"/>
      <c r="P764" s="23"/>
      <c r="Q764" s="23"/>
      <c r="R764" s="72"/>
      <c r="S764" s="23"/>
      <c r="T764" s="23"/>
      <c r="U764" s="23"/>
      <c r="V764" s="23"/>
      <c r="W764" s="23"/>
      <c r="X764" s="23"/>
      <c r="Y764" s="23"/>
      <c r="Z764" s="23"/>
      <c r="AA764" s="23"/>
      <c r="AB764" s="23"/>
      <c r="AC764" s="23"/>
      <c r="AD764" s="23"/>
      <c r="AE764" s="23"/>
    </row>
    <row r="765" spans="1:31">
      <c r="A765" s="23"/>
      <c r="B765" s="40"/>
      <c r="C765" s="40"/>
      <c r="D765" s="23"/>
      <c r="E765" s="23"/>
      <c r="F765" s="23"/>
      <c r="G765" s="23"/>
      <c r="H765" s="23"/>
      <c r="I765" s="40"/>
      <c r="J765" s="70"/>
      <c r="K765" s="23"/>
      <c r="L765" s="70"/>
      <c r="M765" s="70"/>
      <c r="N765" s="23"/>
      <c r="O765" s="23"/>
      <c r="P765" s="23"/>
      <c r="Q765" s="23"/>
      <c r="R765" s="72"/>
      <c r="S765" s="23"/>
      <c r="T765" s="23"/>
      <c r="U765" s="23"/>
      <c r="V765" s="23"/>
      <c r="W765" s="23"/>
      <c r="X765" s="23"/>
      <c r="Y765" s="23"/>
      <c r="Z765" s="23"/>
      <c r="AA765" s="23"/>
      <c r="AB765" s="23"/>
      <c r="AC765" s="23"/>
      <c r="AD765" s="23"/>
      <c r="AE765" s="23"/>
    </row>
    <row r="766" spans="1:31" ht="24" customHeight="1">
      <c r="A766" s="23"/>
      <c r="B766" s="40"/>
      <c r="C766" s="40"/>
      <c r="D766" s="23"/>
      <c r="E766" s="23"/>
      <c r="F766" s="23"/>
      <c r="G766" s="23"/>
      <c r="H766" s="40"/>
      <c r="I766" s="40"/>
      <c r="J766" s="70"/>
      <c r="K766" s="23"/>
      <c r="L766" s="70"/>
      <c r="M766" s="70"/>
      <c r="N766" s="23"/>
      <c r="O766" s="23"/>
      <c r="P766" s="23"/>
      <c r="Q766" s="23"/>
      <c r="R766" s="72"/>
      <c r="S766" s="23"/>
      <c r="T766" s="23"/>
      <c r="U766" s="23"/>
      <c r="V766" s="23"/>
      <c r="W766" s="23"/>
      <c r="X766" s="23"/>
      <c r="Y766" s="23"/>
      <c r="Z766" s="23"/>
      <c r="AA766" s="23"/>
      <c r="AB766" s="23"/>
      <c r="AC766" s="23"/>
      <c r="AD766" s="23"/>
      <c r="AE766" s="23"/>
    </row>
    <row r="767" spans="1:31">
      <c r="A767" s="23"/>
      <c r="B767" s="40"/>
      <c r="C767" s="40"/>
      <c r="D767" s="23"/>
      <c r="E767" s="23"/>
      <c r="F767" s="23"/>
      <c r="G767" s="23"/>
      <c r="H767" s="40"/>
      <c r="I767" s="40"/>
      <c r="J767" s="70"/>
      <c r="K767" s="23"/>
      <c r="L767" s="70"/>
      <c r="M767" s="70"/>
      <c r="N767" s="23"/>
      <c r="O767" s="23"/>
      <c r="P767" s="23"/>
      <c r="Q767" s="23"/>
      <c r="R767" s="72"/>
      <c r="S767" s="23"/>
      <c r="T767" s="23"/>
      <c r="U767" s="23"/>
      <c r="V767" s="23"/>
      <c r="W767" s="23"/>
      <c r="X767" s="23"/>
      <c r="Y767" s="23"/>
      <c r="Z767" s="23"/>
      <c r="AA767" s="23"/>
      <c r="AB767" s="23"/>
      <c r="AC767" s="23"/>
      <c r="AD767" s="23"/>
      <c r="AE767" s="23"/>
    </row>
    <row r="768" spans="1:31">
      <c r="A768" s="23"/>
      <c r="B768" s="40"/>
      <c r="C768" s="40"/>
      <c r="D768" s="23"/>
      <c r="E768" s="23"/>
      <c r="F768" s="23"/>
      <c r="G768" s="23"/>
      <c r="H768" s="40"/>
      <c r="I768" s="40"/>
      <c r="J768" s="70"/>
      <c r="K768" s="23"/>
      <c r="L768" s="70"/>
      <c r="M768" s="70"/>
      <c r="N768" s="23"/>
      <c r="O768" s="23"/>
      <c r="P768" s="23"/>
      <c r="Q768" s="23"/>
      <c r="R768" s="72"/>
      <c r="S768" s="23"/>
      <c r="T768" s="23"/>
      <c r="U768" s="23"/>
      <c r="V768" s="23"/>
      <c r="W768" s="23"/>
      <c r="X768" s="23"/>
      <c r="Y768" s="23"/>
      <c r="Z768" s="23"/>
      <c r="AA768" s="23"/>
      <c r="AB768" s="23"/>
      <c r="AC768" s="23"/>
      <c r="AD768" s="23"/>
      <c r="AE768" s="23"/>
    </row>
    <row r="769" spans="1:31">
      <c r="A769" s="23"/>
      <c r="B769" s="40"/>
      <c r="C769" s="40"/>
      <c r="D769" s="23"/>
      <c r="E769" s="23"/>
      <c r="F769" s="23"/>
      <c r="G769" s="23"/>
      <c r="H769" s="40"/>
      <c r="I769" s="40"/>
      <c r="J769" s="70"/>
      <c r="K769" s="23"/>
      <c r="L769" s="70"/>
      <c r="M769" s="70"/>
      <c r="N769" s="23"/>
      <c r="O769" s="23"/>
      <c r="P769" s="23"/>
      <c r="Q769" s="23"/>
      <c r="R769" s="72"/>
      <c r="S769" s="23"/>
      <c r="T769" s="23"/>
      <c r="U769" s="23"/>
      <c r="V769" s="23"/>
      <c r="W769" s="23"/>
      <c r="X769" s="23"/>
      <c r="Y769" s="23"/>
      <c r="Z769" s="23"/>
      <c r="AA769" s="23"/>
      <c r="AB769" s="23"/>
      <c r="AC769" s="23"/>
      <c r="AD769" s="23"/>
      <c r="AE769" s="23"/>
    </row>
    <row r="770" spans="1:31">
      <c r="A770" s="23"/>
      <c r="B770" s="40"/>
      <c r="C770" s="40"/>
      <c r="D770" s="23"/>
      <c r="E770" s="23"/>
      <c r="F770" s="23"/>
      <c r="G770" s="23"/>
      <c r="H770" s="40"/>
      <c r="I770" s="40"/>
      <c r="J770" s="70"/>
      <c r="K770" s="23"/>
      <c r="L770" s="70"/>
      <c r="M770" s="70"/>
      <c r="N770" s="23"/>
      <c r="O770" s="23"/>
      <c r="P770" s="23"/>
      <c r="Q770" s="23"/>
      <c r="R770" s="72"/>
      <c r="S770" s="23"/>
      <c r="T770" s="23"/>
      <c r="U770" s="23"/>
      <c r="V770" s="23"/>
      <c r="W770" s="23"/>
      <c r="X770" s="23"/>
      <c r="Y770" s="23"/>
      <c r="Z770" s="23"/>
      <c r="AA770" s="23"/>
      <c r="AB770" s="23"/>
      <c r="AC770" s="23"/>
      <c r="AD770" s="23"/>
      <c r="AE770" s="23"/>
    </row>
    <row r="771" spans="1:31">
      <c r="A771" s="23"/>
      <c r="B771" s="40"/>
      <c r="C771" s="40"/>
      <c r="D771" s="23"/>
      <c r="E771" s="23"/>
      <c r="F771" s="23"/>
      <c r="G771" s="23"/>
      <c r="H771" s="40"/>
      <c r="I771" s="40"/>
      <c r="J771" s="70"/>
      <c r="K771" s="23"/>
      <c r="L771" s="70"/>
      <c r="M771" s="70"/>
      <c r="N771" s="23"/>
      <c r="O771" s="23"/>
      <c r="P771" s="23"/>
      <c r="Q771" s="23"/>
      <c r="R771" s="72"/>
      <c r="S771" s="23"/>
      <c r="T771" s="23"/>
      <c r="U771" s="23"/>
      <c r="V771" s="23"/>
      <c r="W771" s="23"/>
      <c r="X771" s="23"/>
      <c r="Y771" s="23"/>
      <c r="Z771" s="23"/>
      <c r="AA771" s="23"/>
      <c r="AB771" s="23"/>
      <c r="AC771" s="23"/>
      <c r="AD771" s="23"/>
      <c r="AE771" s="23"/>
    </row>
    <row r="772" spans="1:31">
      <c r="A772" s="23"/>
      <c r="B772" s="40"/>
      <c r="C772" s="40"/>
      <c r="D772" s="23"/>
      <c r="E772" s="23"/>
      <c r="F772" s="23"/>
      <c r="G772" s="23"/>
      <c r="H772" s="40"/>
      <c r="I772" s="40"/>
      <c r="J772" s="70"/>
      <c r="K772" s="23"/>
      <c r="L772" s="70"/>
      <c r="M772" s="70"/>
      <c r="N772" s="23"/>
      <c r="O772" s="23"/>
      <c r="P772" s="23"/>
      <c r="Q772" s="23"/>
      <c r="R772" s="72"/>
      <c r="S772" s="23"/>
      <c r="T772" s="23"/>
      <c r="U772" s="23"/>
      <c r="V772" s="23"/>
      <c r="W772" s="23"/>
      <c r="X772" s="23"/>
      <c r="Y772" s="23"/>
      <c r="Z772" s="23"/>
      <c r="AA772" s="23"/>
      <c r="AB772" s="23"/>
      <c r="AC772" s="23"/>
      <c r="AD772" s="23"/>
      <c r="AE772" s="23"/>
    </row>
    <row r="773" spans="1:31">
      <c r="A773" s="23"/>
      <c r="B773" s="40"/>
      <c r="C773" s="40"/>
      <c r="D773" s="23"/>
      <c r="E773" s="23"/>
      <c r="F773" s="23"/>
      <c r="G773" s="23"/>
      <c r="H773" s="23"/>
      <c r="I773" s="40"/>
      <c r="J773" s="70"/>
      <c r="K773" s="23"/>
      <c r="L773" s="70"/>
      <c r="M773" s="70"/>
      <c r="N773" s="23"/>
      <c r="O773" s="23"/>
      <c r="P773" s="23"/>
      <c r="Q773" s="23"/>
      <c r="R773" s="72"/>
      <c r="S773" s="23"/>
      <c r="T773" s="23"/>
      <c r="U773" s="23"/>
      <c r="V773" s="23"/>
      <c r="W773" s="23"/>
      <c r="X773" s="23"/>
      <c r="Y773" s="23"/>
      <c r="Z773" s="23"/>
      <c r="AA773" s="23"/>
      <c r="AB773" s="23"/>
      <c r="AC773" s="23"/>
      <c r="AD773" s="23"/>
      <c r="AE773" s="23"/>
    </row>
    <row r="774" spans="1:31">
      <c r="A774" s="23"/>
      <c r="B774" s="40"/>
      <c r="C774" s="40"/>
      <c r="D774" s="23"/>
      <c r="E774" s="23"/>
      <c r="F774" s="23"/>
      <c r="G774" s="23"/>
      <c r="H774" s="23"/>
      <c r="I774" s="40"/>
      <c r="J774" s="70"/>
      <c r="K774" s="23"/>
      <c r="L774" s="70"/>
      <c r="M774" s="70"/>
      <c r="N774" s="23"/>
      <c r="O774" s="23"/>
      <c r="P774" s="23"/>
      <c r="Q774" s="23"/>
      <c r="R774" s="72"/>
      <c r="S774" s="23"/>
      <c r="T774" s="23"/>
      <c r="U774" s="23"/>
      <c r="V774" s="23"/>
      <c r="W774" s="23"/>
      <c r="X774" s="23"/>
      <c r="Y774" s="23"/>
      <c r="Z774" s="23"/>
      <c r="AA774" s="23"/>
      <c r="AB774" s="23"/>
      <c r="AC774" s="23"/>
      <c r="AD774" s="23"/>
      <c r="AE774" s="23"/>
    </row>
    <row r="775" spans="1:31">
      <c r="A775" s="23"/>
      <c r="B775" s="40"/>
      <c r="C775" s="40"/>
      <c r="D775" s="23"/>
      <c r="E775" s="23"/>
      <c r="F775" s="23"/>
      <c r="G775" s="23"/>
      <c r="H775" s="23"/>
      <c r="I775" s="40"/>
      <c r="J775" s="70"/>
      <c r="K775" s="23"/>
      <c r="L775" s="70"/>
      <c r="M775" s="70"/>
      <c r="N775" s="23"/>
      <c r="O775" s="23"/>
      <c r="P775" s="23"/>
      <c r="Q775" s="23"/>
      <c r="R775" s="72"/>
      <c r="S775" s="23"/>
      <c r="T775" s="23"/>
      <c r="U775" s="23"/>
      <c r="V775" s="23"/>
      <c r="W775" s="23"/>
      <c r="X775" s="23"/>
      <c r="Y775" s="23"/>
      <c r="Z775" s="23"/>
      <c r="AA775" s="23"/>
      <c r="AB775" s="23"/>
      <c r="AC775" s="23"/>
      <c r="AD775" s="23"/>
      <c r="AE775" s="23"/>
    </row>
    <row r="776" spans="1:31">
      <c r="A776" s="23"/>
      <c r="B776" s="40"/>
      <c r="C776" s="40"/>
      <c r="D776" s="23"/>
      <c r="E776" s="23"/>
      <c r="F776" s="23"/>
      <c r="G776" s="23"/>
      <c r="H776" s="23"/>
      <c r="I776" s="40"/>
      <c r="J776" s="70"/>
      <c r="K776" s="23"/>
      <c r="L776" s="70"/>
      <c r="M776" s="70"/>
      <c r="N776" s="23"/>
      <c r="O776" s="23"/>
      <c r="P776" s="23"/>
      <c r="Q776" s="23"/>
      <c r="R776" s="72"/>
      <c r="S776" s="23"/>
      <c r="T776" s="23"/>
      <c r="U776" s="23"/>
      <c r="V776" s="23"/>
      <c r="W776" s="23"/>
      <c r="X776" s="23"/>
      <c r="Y776" s="23"/>
      <c r="Z776" s="23"/>
      <c r="AA776" s="23"/>
      <c r="AB776" s="23"/>
      <c r="AC776" s="23"/>
      <c r="AD776" s="23"/>
      <c r="AE776" s="23"/>
    </row>
    <row r="777" spans="1:31">
      <c r="A777" s="23"/>
      <c r="B777" s="40"/>
      <c r="C777" s="40"/>
      <c r="D777" s="23"/>
      <c r="E777" s="23"/>
      <c r="F777" s="23"/>
      <c r="G777" s="23"/>
      <c r="H777" s="23"/>
      <c r="I777" s="40"/>
      <c r="J777" s="70"/>
      <c r="K777" s="23"/>
      <c r="L777" s="70"/>
      <c r="M777" s="70"/>
      <c r="N777" s="23"/>
      <c r="O777" s="23"/>
      <c r="P777" s="23"/>
      <c r="Q777" s="23"/>
      <c r="R777" s="72"/>
      <c r="S777" s="23"/>
      <c r="T777" s="23"/>
      <c r="U777" s="23"/>
      <c r="V777" s="23"/>
      <c r="W777" s="23"/>
      <c r="X777" s="23"/>
      <c r="Y777" s="23"/>
      <c r="Z777" s="23"/>
      <c r="AA777" s="23"/>
      <c r="AB777" s="23"/>
      <c r="AC777" s="23"/>
      <c r="AD777" s="23"/>
      <c r="AE777" s="23"/>
    </row>
    <row r="778" spans="1:31">
      <c r="A778" s="23"/>
      <c r="B778" s="40"/>
      <c r="C778" s="40"/>
      <c r="D778" s="23"/>
      <c r="E778" s="23"/>
      <c r="F778" s="23"/>
      <c r="G778" s="23"/>
      <c r="H778" s="23"/>
      <c r="I778" s="40"/>
      <c r="J778" s="70"/>
      <c r="K778" s="23"/>
      <c r="L778" s="70"/>
      <c r="M778" s="70"/>
      <c r="N778" s="23"/>
      <c r="O778" s="23"/>
      <c r="P778" s="23"/>
      <c r="Q778" s="23"/>
      <c r="R778" s="72"/>
      <c r="S778" s="23"/>
      <c r="T778" s="23"/>
      <c r="U778" s="23"/>
      <c r="V778" s="23"/>
      <c r="W778" s="23"/>
      <c r="X778" s="23"/>
      <c r="Y778" s="23"/>
      <c r="Z778" s="23"/>
      <c r="AA778" s="23"/>
      <c r="AB778" s="23"/>
      <c r="AC778" s="23"/>
      <c r="AD778" s="23"/>
      <c r="AE778" s="23"/>
    </row>
    <row r="779" spans="1:31">
      <c r="A779" s="23"/>
      <c r="B779" s="40"/>
      <c r="C779" s="40"/>
      <c r="D779" s="23"/>
      <c r="E779" s="23"/>
      <c r="F779" s="23"/>
      <c r="G779" s="23"/>
      <c r="H779" s="23"/>
      <c r="I779" s="40"/>
      <c r="J779" s="70"/>
      <c r="K779" s="23"/>
      <c r="L779" s="70"/>
      <c r="M779" s="70"/>
      <c r="N779" s="23"/>
      <c r="O779" s="23"/>
      <c r="P779" s="23"/>
      <c r="Q779" s="23"/>
      <c r="R779" s="72"/>
      <c r="S779" s="23"/>
      <c r="T779" s="23"/>
      <c r="U779" s="23"/>
      <c r="V779" s="23"/>
      <c r="W779" s="23"/>
      <c r="X779" s="23"/>
      <c r="Y779" s="23"/>
      <c r="Z779" s="23"/>
      <c r="AA779" s="23"/>
      <c r="AB779" s="23"/>
      <c r="AC779" s="23"/>
      <c r="AD779" s="23"/>
      <c r="AE779" s="23"/>
    </row>
    <row r="780" spans="1:31">
      <c r="A780" s="23"/>
      <c r="B780" s="40"/>
      <c r="C780" s="40"/>
      <c r="D780" s="23"/>
      <c r="E780" s="23"/>
      <c r="F780" s="23"/>
      <c r="G780" s="23"/>
      <c r="H780" s="23"/>
      <c r="I780" s="40"/>
      <c r="J780" s="70"/>
      <c r="K780" s="23"/>
      <c r="L780" s="70"/>
      <c r="M780" s="70"/>
      <c r="N780" s="23"/>
      <c r="O780" s="23"/>
      <c r="P780" s="23"/>
      <c r="Q780" s="23"/>
      <c r="R780" s="72"/>
      <c r="S780" s="23"/>
      <c r="T780" s="23"/>
      <c r="U780" s="23"/>
      <c r="V780" s="23"/>
      <c r="W780" s="23"/>
      <c r="X780" s="23"/>
      <c r="Y780" s="23"/>
      <c r="Z780" s="23"/>
      <c r="AA780" s="23"/>
      <c r="AB780" s="23"/>
      <c r="AC780" s="23"/>
      <c r="AD780" s="23"/>
      <c r="AE780" s="23"/>
    </row>
    <row r="781" spans="1:31">
      <c r="A781" s="23"/>
      <c r="B781" s="40"/>
      <c r="C781" s="40"/>
      <c r="D781" s="23"/>
      <c r="E781" s="23"/>
      <c r="F781" s="23"/>
      <c r="G781" s="23"/>
      <c r="H781" s="23"/>
      <c r="I781" s="40"/>
      <c r="J781" s="70"/>
      <c r="K781" s="23"/>
      <c r="L781" s="70"/>
      <c r="M781" s="70"/>
      <c r="N781" s="23"/>
      <c r="O781" s="23"/>
      <c r="P781" s="23"/>
      <c r="Q781" s="23"/>
      <c r="R781" s="72"/>
      <c r="S781" s="23"/>
      <c r="T781" s="23"/>
      <c r="U781" s="23"/>
      <c r="V781" s="23"/>
      <c r="W781" s="23"/>
      <c r="X781" s="23"/>
      <c r="Y781" s="23"/>
      <c r="Z781" s="23"/>
      <c r="AA781" s="23"/>
      <c r="AB781" s="23"/>
      <c r="AC781" s="23"/>
      <c r="AD781" s="23"/>
      <c r="AE781" s="23"/>
    </row>
    <row r="782" spans="1:31">
      <c r="A782" s="23"/>
      <c r="B782" s="40"/>
      <c r="C782" s="40"/>
      <c r="D782" s="23"/>
      <c r="E782" s="23"/>
      <c r="F782" s="23"/>
      <c r="G782" s="23"/>
      <c r="H782" s="23"/>
      <c r="I782" s="40"/>
      <c r="J782" s="70"/>
      <c r="K782" s="23"/>
      <c r="L782" s="70"/>
      <c r="M782" s="70"/>
      <c r="N782" s="23"/>
      <c r="O782" s="23"/>
      <c r="P782" s="23"/>
      <c r="Q782" s="23"/>
      <c r="R782" s="72"/>
      <c r="S782" s="23"/>
      <c r="T782" s="23"/>
      <c r="U782" s="23"/>
      <c r="V782" s="23"/>
      <c r="W782" s="23"/>
      <c r="X782" s="23"/>
      <c r="Y782" s="23"/>
      <c r="Z782" s="23"/>
      <c r="AA782" s="23"/>
      <c r="AB782" s="23"/>
      <c r="AC782" s="23"/>
      <c r="AD782" s="23"/>
      <c r="AE782" s="23"/>
    </row>
    <row r="783" spans="1:31">
      <c r="A783" s="23"/>
      <c r="B783" s="40"/>
      <c r="C783" s="40"/>
      <c r="D783" s="23"/>
      <c r="E783" s="23"/>
      <c r="F783" s="23"/>
      <c r="G783" s="23"/>
      <c r="H783" s="23"/>
      <c r="I783" s="40"/>
      <c r="J783" s="70"/>
      <c r="K783" s="23"/>
      <c r="L783" s="70"/>
      <c r="M783" s="70"/>
      <c r="N783" s="23"/>
      <c r="O783" s="23"/>
      <c r="P783" s="23"/>
      <c r="Q783" s="23"/>
      <c r="R783" s="72"/>
      <c r="S783" s="23"/>
      <c r="T783" s="23"/>
      <c r="U783" s="23"/>
      <c r="V783" s="23"/>
      <c r="W783" s="23"/>
      <c r="X783" s="23"/>
      <c r="Y783" s="23"/>
      <c r="Z783" s="23"/>
      <c r="AA783" s="23"/>
      <c r="AB783" s="23"/>
      <c r="AC783" s="23"/>
      <c r="AD783" s="23"/>
      <c r="AE783" s="23"/>
    </row>
    <row r="784" spans="1:31">
      <c r="A784" s="23"/>
      <c r="B784" s="40"/>
      <c r="C784" s="40"/>
      <c r="D784" s="23"/>
      <c r="E784" s="23"/>
      <c r="F784" s="23"/>
      <c r="G784" s="23"/>
      <c r="H784" s="23"/>
      <c r="I784" s="40"/>
      <c r="J784" s="70"/>
      <c r="K784" s="23"/>
      <c r="L784" s="70"/>
      <c r="M784" s="70"/>
      <c r="N784" s="23"/>
      <c r="O784" s="23"/>
      <c r="P784" s="23"/>
      <c r="Q784" s="23"/>
      <c r="R784" s="72"/>
      <c r="S784" s="23"/>
      <c r="T784" s="23"/>
      <c r="U784" s="23"/>
      <c r="V784" s="23"/>
      <c r="W784" s="23"/>
      <c r="X784" s="23"/>
      <c r="Y784" s="23"/>
      <c r="Z784" s="23"/>
      <c r="AA784" s="23"/>
      <c r="AB784" s="23"/>
      <c r="AC784" s="23"/>
      <c r="AD784" s="23"/>
      <c r="AE784" s="23"/>
    </row>
    <row r="785" spans="1:31">
      <c r="A785" s="23"/>
      <c r="B785" s="40"/>
      <c r="C785" s="40"/>
      <c r="D785" s="23"/>
      <c r="E785" s="23"/>
      <c r="F785" s="23"/>
      <c r="G785" s="23"/>
      <c r="H785" s="23"/>
      <c r="I785" s="40"/>
      <c r="J785" s="70"/>
      <c r="K785" s="23"/>
      <c r="L785" s="70"/>
      <c r="M785" s="70"/>
      <c r="N785" s="23"/>
      <c r="O785" s="23"/>
      <c r="P785" s="23"/>
      <c r="Q785" s="23"/>
      <c r="R785" s="72"/>
      <c r="S785" s="23"/>
      <c r="T785" s="23"/>
      <c r="U785" s="23"/>
      <c r="V785" s="23"/>
      <c r="W785" s="23"/>
      <c r="X785" s="23"/>
      <c r="Y785" s="23"/>
      <c r="Z785" s="23"/>
      <c r="AA785" s="23"/>
      <c r="AB785" s="23"/>
      <c r="AC785" s="23"/>
      <c r="AD785" s="23"/>
      <c r="AE785" s="23"/>
    </row>
    <row r="786" spans="1:31">
      <c r="A786" s="23"/>
      <c r="B786" s="40"/>
      <c r="C786" s="40"/>
      <c r="D786" s="23"/>
      <c r="E786" s="23"/>
      <c r="F786" s="23"/>
      <c r="G786" s="23"/>
      <c r="H786" s="23"/>
      <c r="I786" s="40"/>
      <c r="J786" s="70"/>
      <c r="K786" s="23"/>
      <c r="L786" s="70"/>
      <c r="M786" s="70"/>
      <c r="N786" s="23"/>
      <c r="O786" s="23"/>
      <c r="P786" s="23"/>
      <c r="Q786" s="23"/>
      <c r="R786" s="72"/>
      <c r="S786" s="23"/>
      <c r="T786" s="23"/>
      <c r="U786" s="23"/>
      <c r="V786" s="23"/>
      <c r="W786" s="23"/>
      <c r="X786" s="23"/>
      <c r="Y786" s="23"/>
      <c r="Z786" s="23"/>
      <c r="AA786" s="23"/>
      <c r="AB786" s="23"/>
      <c r="AC786" s="23"/>
      <c r="AD786" s="23"/>
      <c r="AE786" s="23"/>
    </row>
    <row r="787" spans="1:31" ht="24" customHeight="1">
      <c r="A787" s="23"/>
      <c r="B787" s="40"/>
      <c r="C787" s="40"/>
      <c r="D787" s="23"/>
      <c r="E787" s="23"/>
      <c r="F787" s="23"/>
      <c r="G787" s="23"/>
      <c r="H787" s="40"/>
      <c r="I787" s="40"/>
      <c r="J787" s="70"/>
      <c r="K787" s="23"/>
      <c r="L787" s="70"/>
      <c r="M787" s="70"/>
      <c r="N787" s="23"/>
      <c r="O787" s="23"/>
      <c r="P787" s="23"/>
      <c r="Q787" s="23"/>
      <c r="R787" s="72"/>
      <c r="S787" s="23"/>
      <c r="T787" s="23"/>
      <c r="U787" s="23"/>
      <c r="V787" s="23"/>
      <c r="W787" s="23"/>
      <c r="X787" s="23"/>
      <c r="Y787" s="23"/>
      <c r="Z787" s="23"/>
      <c r="AA787" s="23"/>
      <c r="AB787" s="23"/>
      <c r="AC787" s="23"/>
      <c r="AD787" s="23"/>
      <c r="AE787" s="23"/>
    </row>
    <row r="788" spans="1:31">
      <c r="A788" s="23"/>
      <c r="B788" s="40"/>
      <c r="C788" s="40"/>
      <c r="D788" s="23"/>
      <c r="E788" s="23"/>
      <c r="F788" s="23"/>
      <c r="G788" s="23"/>
      <c r="H788" s="40"/>
      <c r="I788" s="40"/>
      <c r="J788" s="70"/>
      <c r="K788" s="23"/>
      <c r="L788" s="70"/>
      <c r="M788" s="70"/>
      <c r="N788" s="23"/>
      <c r="O788" s="23"/>
      <c r="P788" s="23"/>
      <c r="Q788" s="23"/>
      <c r="R788" s="72"/>
      <c r="S788" s="23"/>
      <c r="T788" s="23"/>
      <c r="U788" s="23"/>
      <c r="V788" s="23"/>
      <c r="W788" s="23"/>
      <c r="X788" s="23"/>
      <c r="Y788" s="23"/>
      <c r="Z788" s="23"/>
      <c r="AA788" s="23"/>
      <c r="AB788" s="23"/>
      <c r="AC788" s="23"/>
      <c r="AD788" s="23"/>
      <c r="AE788" s="23"/>
    </row>
    <row r="789" spans="1:31">
      <c r="A789" s="23"/>
      <c r="B789" s="40"/>
      <c r="C789" s="40"/>
      <c r="D789" s="23"/>
      <c r="E789" s="23"/>
      <c r="F789" s="23"/>
      <c r="G789" s="23"/>
      <c r="H789" s="40"/>
      <c r="I789" s="40"/>
      <c r="J789" s="70"/>
      <c r="K789" s="23"/>
      <c r="L789" s="70"/>
      <c r="M789" s="70"/>
      <c r="N789" s="23"/>
      <c r="O789" s="23"/>
      <c r="P789" s="23"/>
      <c r="Q789" s="23"/>
      <c r="R789" s="72"/>
      <c r="S789" s="23"/>
      <c r="T789" s="23"/>
      <c r="U789" s="23"/>
      <c r="V789" s="23"/>
      <c r="W789" s="23"/>
      <c r="X789" s="23"/>
      <c r="Y789" s="23"/>
      <c r="Z789" s="23"/>
      <c r="AA789" s="23"/>
      <c r="AB789" s="23"/>
      <c r="AC789" s="23"/>
      <c r="AD789" s="23"/>
      <c r="AE789" s="23"/>
    </row>
    <row r="790" spans="1:31">
      <c r="A790" s="23"/>
      <c r="B790" s="40"/>
      <c r="C790" s="40"/>
      <c r="D790" s="23"/>
      <c r="E790" s="23"/>
      <c r="F790" s="23"/>
      <c r="G790" s="23"/>
      <c r="H790" s="40"/>
      <c r="I790" s="40"/>
      <c r="J790" s="70"/>
      <c r="K790" s="23"/>
      <c r="L790" s="70"/>
      <c r="M790" s="70"/>
      <c r="N790" s="23"/>
      <c r="O790" s="23"/>
      <c r="P790" s="23"/>
      <c r="Q790" s="23"/>
      <c r="R790" s="72"/>
      <c r="S790" s="23"/>
      <c r="T790" s="23"/>
      <c r="U790" s="23"/>
      <c r="V790" s="23"/>
      <c r="W790" s="23"/>
      <c r="X790" s="23"/>
      <c r="Y790" s="23"/>
      <c r="Z790" s="23"/>
      <c r="AA790" s="23"/>
      <c r="AB790" s="23"/>
      <c r="AC790" s="23"/>
      <c r="AD790" s="23"/>
      <c r="AE790" s="23"/>
    </row>
    <row r="791" spans="1:31">
      <c r="A791" s="23"/>
      <c r="B791" s="40"/>
      <c r="C791" s="40"/>
      <c r="D791" s="23"/>
      <c r="E791" s="23"/>
      <c r="F791" s="23"/>
      <c r="G791" s="23"/>
      <c r="H791" s="40"/>
      <c r="I791" s="40"/>
      <c r="J791" s="70"/>
      <c r="K791" s="23"/>
      <c r="L791" s="70"/>
      <c r="M791" s="70"/>
      <c r="N791" s="23"/>
      <c r="O791" s="23"/>
      <c r="P791" s="23"/>
      <c r="Q791" s="23"/>
      <c r="R791" s="72"/>
      <c r="S791" s="23"/>
      <c r="T791" s="23"/>
      <c r="U791" s="23"/>
      <c r="V791" s="23"/>
      <c r="W791" s="23"/>
      <c r="X791" s="23"/>
      <c r="Y791" s="23"/>
      <c r="Z791" s="23"/>
      <c r="AA791" s="23"/>
      <c r="AB791" s="23"/>
      <c r="AC791" s="23"/>
      <c r="AD791" s="23"/>
      <c r="AE791" s="23"/>
    </row>
    <row r="792" spans="1:31">
      <c r="A792" s="23"/>
      <c r="B792" s="40"/>
      <c r="C792" s="40"/>
      <c r="D792" s="23"/>
      <c r="E792" s="23"/>
      <c r="F792" s="23"/>
      <c r="G792" s="23"/>
      <c r="H792" s="23"/>
      <c r="I792" s="40"/>
      <c r="J792" s="70"/>
      <c r="K792" s="23"/>
      <c r="L792" s="70"/>
      <c r="M792" s="70"/>
      <c r="N792" s="23"/>
      <c r="O792" s="23"/>
      <c r="P792" s="23"/>
      <c r="Q792" s="23"/>
      <c r="R792" s="72"/>
      <c r="S792" s="23"/>
      <c r="T792" s="23"/>
      <c r="U792" s="23"/>
      <c r="V792" s="23"/>
      <c r="W792" s="23"/>
      <c r="X792" s="23"/>
      <c r="Y792" s="23"/>
      <c r="Z792" s="23"/>
      <c r="AA792" s="23"/>
      <c r="AB792" s="23"/>
      <c r="AC792" s="23"/>
      <c r="AD792" s="23"/>
      <c r="AE792" s="23"/>
    </row>
    <row r="793" spans="1:31">
      <c r="A793" s="23"/>
      <c r="B793" s="40"/>
      <c r="C793" s="40"/>
      <c r="D793" s="23"/>
      <c r="E793" s="23"/>
      <c r="F793" s="23"/>
      <c r="G793" s="23"/>
      <c r="H793" s="23"/>
      <c r="I793" s="40"/>
      <c r="J793" s="70"/>
      <c r="K793" s="23"/>
      <c r="L793" s="70"/>
      <c r="M793" s="70"/>
      <c r="N793" s="23"/>
      <c r="O793" s="23"/>
      <c r="P793" s="23"/>
      <c r="Q793" s="23"/>
      <c r="R793" s="72"/>
      <c r="S793" s="23"/>
      <c r="T793" s="23"/>
      <c r="U793" s="23"/>
      <c r="V793" s="23"/>
      <c r="W793" s="23"/>
      <c r="X793" s="23"/>
      <c r="Y793" s="23"/>
      <c r="Z793" s="23"/>
      <c r="AA793" s="23"/>
      <c r="AB793" s="23"/>
      <c r="AC793" s="23"/>
      <c r="AD793" s="23"/>
      <c r="AE793" s="23"/>
    </row>
    <row r="794" spans="1:31" ht="24" customHeight="1">
      <c r="A794" s="23"/>
      <c r="B794" s="40"/>
      <c r="C794" s="40"/>
      <c r="D794" s="23"/>
      <c r="E794" s="23"/>
      <c r="F794" s="23"/>
      <c r="G794" s="23"/>
      <c r="H794" s="40"/>
      <c r="I794" s="40"/>
      <c r="J794" s="70"/>
      <c r="K794" s="23"/>
      <c r="L794" s="70"/>
      <c r="M794" s="70"/>
      <c r="N794" s="23"/>
      <c r="O794" s="23"/>
      <c r="P794" s="23"/>
      <c r="Q794" s="23"/>
      <c r="R794" s="72"/>
      <c r="S794" s="23"/>
      <c r="T794" s="23"/>
      <c r="U794" s="23"/>
      <c r="V794" s="23"/>
      <c r="W794" s="23"/>
      <c r="X794" s="23"/>
      <c r="Y794" s="23"/>
      <c r="Z794" s="23"/>
      <c r="AA794" s="23"/>
      <c r="AB794" s="23"/>
      <c r="AC794" s="23"/>
      <c r="AD794" s="23"/>
      <c r="AE794" s="23"/>
    </row>
    <row r="795" spans="1:31">
      <c r="A795" s="23"/>
      <c r="B795" s="40"/>
      <c r="C795" s="40"/>
      <c r="D795" s="23"/>
      <c r="E795" s="23"/>
      <c r="F795" s="23"/>
      <c r="G795" s="23"/>
      <c r="H795" s="40"/>
      <c r="I795" s="40"/>
      <c r="J795" s="70"/>
      <c r="K795" s="23"/>
      <c r="L795" s="70"/>
      <c r="M795" s="70"/>
      <c r="N795" s="23"/>
      <c r="O795" s="23"/>
      <c r="P795" s="23"/>
      <c r="Q795" s="23"/>
      <c r="R795" s="72"/>
      <c r="S795" s="23"/>
      <c r="T795" s="23"/>
      <c r="U795" s="23"/>
      <c r="V795" s="23"/>
      <c r="W795" s="23"/>
      <c r="X795" s="23"/>
      <c r="Y795" s="23"/>
      <c r="Z795" s="23"/>
      <c r="AA795" s="23"/>
      <c r="AB795" s="23"/>
      <c r="AC795" s="23"/>
      <c r="AD795" s="23"/>
      <c r="AE795" s="23"/>
    </row>
    <row r="796" spans="1:31">
      <c r="A796" s="23"/>
      <c r="B796" s="40"/>
      <c r="C796" s="40"/>
      <c r="D796" s="23"/>
      <c r="E796" s="23"/>
      <c r="F796" s="23"/>
      <c r="G796" s="23"/>
      <c r="H796" s="40"/>
      <c r="I796" s="40"/>
      <c r="J796" s="70"/>
      <c r="K796" s="23"/>
      <c r="L796" s="70"/>
      <c r="M796" s="70"/>
      <c r="N796" s="23"/>
      <c r="O796" s="23"/>
      <c r="P796" s="23"/>
      <c r="Q796" s="23"/>
      <c r="R796" s="72"/>
      <c r="S796" s="23"/>
      <c r="T796" s="23"/>
      <c r="U796" s="23"/>
      <c r="V796" s="23"/>
      <c r="W796" s="23"/>
      <c r="X796" s="23"/>
      <c r="Y796" s="23"/>
      <c r="Z796" s="23"/>
      <c r="AA796" s="23"/>
      <c r="AB796" s="23"/>
      <c r="AC796" s="23"/>
      <c r="AD796" s="23"/>
      <c r="AE796" s="23"/>
    </row>
    <row r="797" spans="1:31">
      <c r="A797" s="23"/>
      <c r="B797" s="40"/>
      <c r="C797" s="40"/>
      <c r="D797" s="23"/>
      <c r="E797" s="23"/>
      <c r="F797" s="23"/>
      <c r="G797" s="23"/>
      <c r="H797" s="40"/>
      <c r="I797" s="40"/>
      <c r="J797" s="70"/>
      <c r="K797" s="23"/>
      <c r="L797" s="70"/>
      <c r="M797" s="70"/>
      <c r="N797" s="23"/>
      <c r="O797" s="23"/>
      <c r="P797" s="23"/>
      <c r="Q797" s="23"/>
      <c r="R797" s="72"/>
      <c r="S797" s="23"/>
      <c r="T797" s="23"/>
      <c r="U797" s="23"/>
      <c r="V797" s="23"/>
      <c r="W797" s="23"/>
      <c r="X797" s="23"/>
      <c r="Y797" s="23"/>
      <c r="Z797" s="23"/>
      <c r="AA797" s="23"/>
      <c r="AB797" s="23"/>
      <c r="AC797" s="23"/>
      <c r="AD797" s="23"/>
      <c r="AE797" s="23"/>
    </row>
    <row r="798" spans="1:31">
      <c r="A798" s="23"/>
      <c r="B798" s="40"/>
      <c r="C798" s="40"/>
      <c r="D798" s="23"/>
      <c r="E798" s="23"/>
      <c r="F798" s="23"/>
      <c r="G798" s="23"/>
      <c r="H798" s="40"/>
      <c r="I798" s="40"/>
      <c r="J798" s="70"/>
      <c r="K798" s="23"/>
      <c r="L798" s="70"/>
      <c r="M798" s="70"/>
      <c r="N798" s="23"/>
      <c r="O798" s="23"/>
      <c r="P798" s="23"/>
      <c r="Q798" s="23"/>
      <c r="R798" s="72"/>
      <c r="S798" s="23"/>
      <c r="T798" s="23"/>
      <c r="U798" s="23"/>
      <c r="V798" s="23"/>
      <c r="W798" s="23"/>
      <c r="X798" s="23"/>
      <c r="Y798" s="23"/>
      <c r="Z798" s="23"/>
      <c r="AA798" s="23"/>
      <c r="AB798" s="23"/>
      <c r="AC798" s="23"/>
      <c r="AD798" s="23"/>
      <c r="AE798" s="23"/>
    </row>
    <row r="799" spans="1:31">
      <c r="A799" s="23"/>
      <c r="B799" s="40"/>
      <c r="C799" s="40"/>
      <c r="D799" s="23"/>
      <c r="E799" s="23"/>
      <c r="F799" s="23"/>
      <c r="G799" s="23"/>
      <c r="H799" s="40"/>
      <c r="I799" s="40"/>
      <c r="J799" s="70"/>
      <c r="K799" s="23"/>
      <c r="L799" s="70"/>
      <c r="M799" s="70"/>
      <c r="N799" s="23"/>
      <c r="O799" s="23"/>
      <c r="P799" s="23"/>
      <c r="Q799" s="23"/>
      <c r="R799" s="72"/>
      <c r="S799" s="23"/>
      <c r="T799" s="23"/>
      <c r="U799" s="23"/>
      <c r="V799" s="23"/>
      <c r="W799" s="23"/>
      <c r="X799" s="23"/>
      <c r="Y799" s="23"/>
      <c r="Z799" s="23"/>
      <c r="AA799" s="23"/>
      <c r="AB799" s="23"/>
      <c r="AC799" s="23"/>
      <c r="AD799" s="23"/>
      <c r="AE799" s="23"/>
    </row>
    <row r="800" spans="1:31">
      <c r="A800" s="23"/>
      <c r="B800" s="40"/>
      <c r="C800" s="40"/>
      <c r="D800" s="23"/>
      <c r="E800" s="23"/>
      <c r="F800" s="23"/>
      <c r="G800" s="23"/>
      <c r="H800" s="40"/>
      <c r="I800" s="40"/>
      <c r="J800" s="70"/>
      <c r="K800" s="23"/>
      <c r="L800" s="70"/>
      <c r="M800" s="70"/>
      <c r="N800" s="23"/>
      <c r="O800" s="23"/>
      <c r="P800" s="23"/>
      <c r="Q800" s="23"/>
      <c r="R800" s="72"/>
      <c r="S800" s="23"/>
      <c r="T800" s="23"/>
      <c r="U800" s="23"/>
      <c r="V800" s="23"/>
      <c r="W800" s="23"/>
      <c r="X800" s="23"/>
      <c r="Y800" s="23"/>
      <c r="Z800" s="23"/>
      <c r="AA800" s="23"/>
      <c r="AB800" s="23"/>
      <c r="AC800" s="23"/>
      <c r="AD800" s="23"/>
      <c r="AE800" s="23"/>
    </row>
    <row r="801" spans="1:31">
      <c r="A801" s="23"/>
      <c r="B801" s="40"/>
      <c r="C801" s="40"/>
      <c r="D801" s="23"/>
      <c r="E801" s="23"/>
      <c r="F801" s="23"/>
      <c r="G801" s="23"/>
      <c r="H801" s="23"/>
      <c r="I801" s="40"/>
      <c r="J801" s="70"/>
      <c r="K801" s="23"/>
      <c r="L801" s="70"/>
      <c r="M801" s="70"/>
      <c r="N801" s="23"/>
      <c r="O801" s="23"/>
      <c r="P801" s="23"/>
      <c r="Q801" s="23"/>
      <c r="R801" s="72"/>
      <c r="S801" s="23"/>
      <c r="T801" s="23"/>
      <c r="U801" s="23"/>
      <c r="V801" s="23"/>
      <c r="W801" s="23"/>
      <c r="X801" s="23"/>
      <c r="Y801" s="23"/>
      <c r="Z801" s="23"/>
      <c r="AA801" s="23"/>
      <c r="AB801" s="23"/>
      <c r="AC801" s="23"/>
      <c r="AD801" s="23"/>
      <c r="AE801" s="23"/>
    </row>
    <row r="802" spans="1:31">
      <c r="A802" s="23"/>
      <c r="B802" s="40"/>
      <c r="C802" s="40"/>
      <c r="D802" s="23"/>
      <c r="E802" s="23"/>
      <c r="F802" s="23"/>
      <c r="G802" s="23"/>
      <c r="H802" s="23"/>
      <c r="I802" s="40"/>
      <c r="J802" s="70"/>
      <c r="K802" s="23"/>
      <c r="L802" s="70"/>
      <c r="M802" s="70"/>
      <c r="N802" s="23"/>
      <c r="O802" s="23"/>
      <c r="P802" s="23"/>
      <c r="Q802" s="23"/>
      <c r="R802" s="72"/>
      <c r="S802" s="23"/>
      <c r="T802" s="23"/>
      <c r="U802" s="23"/>
      <c r="V802" s="23"/>
      <c r="W802" s="23"/>
      <c r="X802" s="23"/>
      <c r="Y802" s="23"/>
      <c r="Z802" s="23"/>
      <c r="AA802" s="23"/>
      <c r="AB802" s="23"/>
      <c r="AC802" s="23"/>
      <c r="AD802" s="23"/>
      <c r="AE802" s="23"/>
    </row>
    <row r="803" spans="1:31">
      <c r="A803" s="23"/>
      <c r="B803" s="40"/>
      <c r="C803" s="40"/>
      <c r="D803" s="23"/>
      <c r="E803" s="23"/>
      <c r="F803" s="23"/>
      <c r="G803" s="23"/>
      <c r="H803" s="23"/>
      <c r="I803" s="40"/>
      <c r="J803" s="70"/>
      <c r="K803" s="23"/>
      <c r="L803" s="70"/>
      <c r="M803" s="70"/>
      <c r="N803" s="23"/>
      <c r="O803" s="23"/>
      <c r="P803" s="23"/>
      <c r="Q803" s="23"/>
      <c r="R803" s="72"/>
      <c r="S803" s="23"/>
      <c r="T803" s="23"/>
      <c r="U803" s="23"/>
      <c r="V803" s="23"/>
      <c r="W803" s="23"/>
      <c r="X803" s="23"/>
      <c r="Y803" s="23"/>
      <c r="Z803" s="23"/>
      <c r="AA803" s="23"/>
      <c r="AB803" s="23"/>
      <c r="AC803" s="23"/>
      <c r="AD803" s="23"/>
      <c r="AE803" s="23"/>
    </row>
    <row r="804" spans="1:31">
      <c r="A804" s="23"/>
      <c r="B804" s="40"/>
      <c r="C804" s="40"/>
      <c r="D804" s="23"/>
      <c r="E804" s="23"/>
      <c r="F804" s="23"/>
      <c r="G804" s="23"/>
      <c r="H804" s="23"/>
      <c r="I804" s="40"/>
      <c r="J804" s="70"/>
      <c r="K804" s="23"/>
      <c r="L804" s="70"/>
      <c r="M804" s="70"/>
      <c r="N804" s="23"/>
      <c r="O804" s="23"/>
      <c r="P804" s="23"/>
      <c r="Q804" s="23"/>
      <c r="R804" s="72"/>
      <c r="S804" s="23"/>
      <c r="T804" s="23"/>
      <c r="U804" s="23"/>
      <c r="V804" s="23"/>
      <c r="W804" s="23"/>
      <c r="X804" s="23"/>
      <c r="Y804" s="23"/>
      <c r="Z804" s="23"/>
      <c r="AA804" s="23"/>
      <c r="AB804" s="23"/>
      <c r="AC804" s="23"/>
      <c r="AD804" s="23"/>
      <c r="AE804" s="23"/>
    </row>
    <row r="805" spans="1:31" ht="24" customHeight="1">
      <c r="A805" s="23"/>
      <c r="B805" s="40"/>
      <c r="C805" s="40"/>
      <c r="D805" s="23"/>
      <c r="E805" s="23"/>
      <c r="F805" s="23"/>
      <c r="G805" s="23"/>
      <c r="H805" s="40"/>
      <c r="I805" s="40"/>
      <c r="J805" s="70"/>
      <c r="K805" s="23"/>
      <c r="L805" s="70"/>
      <c r="M805" s="70"/>
      <c r="N805" s="23"/>
      <c r="O805" s="23"/>
      <c r="P805" s="23"/>
      <c r="Q805" s="23"/>
      <c r="R805" s="72"/>
      <c r="S805" s="23"/>
      <c r="T805" s="23"/>
      <c r="U805" s="23"/>
      <c r="V805" s="23"/>
      <c r="W805" s="23"/>
      <c r="X805" s="23"/>
      <c r="Y805" s="23"/>
      <c r="Z805" s="23"/>
      <c r="AA805" s="23"/>
      <c r="AB805" s="23"/>
      <c r="AC805" s="23"/>
      <c r="AD805" s="23"/>
      <c r="AE805" s="23"/>
    </row>
    <row r="806" spans="1:31">
      <c r="A806" s="23"/>
      <c r="B806" s="40"/>
      <c r="C806" s="40"/>
      <c r="D806" s="23"/>
      <c r="E806" s="23"/>
      <c r="F806" s="23"/>
      <c r="G806" s="23"/>
      <c r="H806" s="40"/>
      <c r="I806" s="40"/>
      <c r="J806" s="70"/>
      <c r="K806" s="23"/>
      <c r="L806" s="70"/>
      <c r="M806" s="70"/>
      <c r="N806" s="23"/>
      <c r="O806" s="23"/>
      <c r="P806" s="23"/>
      <c r="Q806" s="23"/>
      <c r="R806" s="72"/>
      <c r="S806" s="23"/>
      <c r="T806" s="23"/>
      <c r="U806" s="23"/>
      <c r="V806" s="23"/>
      <c r="W806" s="23"/>
      <c r="X806" s="23"/>
      <c r="Y806" s="23"/>
      <c r="Z806" s="23"/>
      <c r="AA806" s="23"/>
      <c r="AB806" s="23"/>
      <c r="AC806" s="23"/>
      <c r="AD806" s="23"/>
      <c r="AE806" s="23"/>
    </row>
    <row r="807" spans="1:31">
      <c r="A807" s="23"/>
      <c r="B807" s="40"/>
      <c r="C807" s="40"/>
      <c r="D807" s="23"/>
      <c r="E807" s="23"/>
      <c r="F807" s="23"/>
      <c r="G807" s="23"/>
      <c r="H807" s="40"/>
      <c r="I807" s="40"/>
      <c r="J807" s="70"/>
      <c r="K807" s="23"/>
      <c r="L807" s="70"/>
      <c r="M807" s="70"/>
      <c r="N807" s="23"/>
      <c r="O807" s="23"/>
      <c r="P807" s="23"/>
      <c r="Q807" s="23"/>
      <c r="R807" s="72"/>
      <c r="S807" s="23"/>
      <c r="T807" s="23"/>
      <c r="U807" s="23"/>
      <c r="V807" s="23"/>
      <c r="W807" s="23"/>
      <c r="X807" s="23"/>
      <c r="Y807" s="23"/>
      <c r="Z807" s="23"/>
      <c r="AA807" s="23"/>
      <c r="AB807" s="23"/>
      <c r="AC807" s="23"/>
      <c r="AD807" s="23"/>
      <c r="AE807" s="23"/>
    </row>
    <row r="808" spans="1:31">
      <c r="A808" s="23"/>
      <c r="B808" s="40"/>
      <c r="C808" s="40"/>
      <c r="D808" s="23"/>
      <c r="E808" s="23"/>
      <c r="F808" s="23"/>
      <c r="G808" s="23"/>
      <c r="H808" s="40"/>
      <c r="I808" s="40"/>
      <c r="J808" s="70"/>
      <c r="K808" s="23"/>
      <c r="L808" s="70"/>
      <c r="M808" s="70"/>
      <c r="N808" s="23"/>
      <c r="O808" s="23"/>
      <c r="P808" s="23"/>
      <c r="Q808" s="23"/>
      <c r="R808" s="72"/>
      <c r="S808" s="23"/>
      <c r="T808" s="23"/>
      <c r="U808" s="23"/>
      <c r="V808" s="23"/>
      <c r="W808" s="23"/>
      <c r="X808" s="23"/>
      <c r="Y808" s="23"/>
      <c r="Z808" s="23"/>
      <c r="AA808" s="23"/>
      <c r="AB808" s="23"/>
      <c r="AC808" s="23"/>
      <c r="AD808" s="23"/>
      <c r="AE808" s="23"/>
    </row>
    <row r="809" spans="1:31">
      <c r="A809" s="23"/>
      <c r="B809" s="40"/>
      <c r="C809" s="40"/>
      <c r="D809" s="23"/>
      <c r="E809" s="23"/>
      <c r="F809" s="23"/>
      <c r="G809" s="23"/>
      <c r="H809" s="40"/>
      <c r="I809" s="40"/>
      <c r="J809" s="70"/>
      <c r="K809" s="23"/>
      <c r="L809" s="70"/>
      <c r="M809" s="70"/>
      <c r="N809" s="23"/>
      <c r="O809" s="23"/>
      <c r="P809" s="23"/>
      <c r="Q809" s="23"/>
      <c r="R809" s="72"/>
      <c r="S809" s="23"/>
      <c r="T809" s="23"/>
      <c r="U809" s="23"/>
      <c r="V809" s="23"/>
      <c r="W809" s="23"/>
      <c r="X809" s="23"/>
      <c r="Y809" s="23"/>
      <c r="Z809" s="23"/>
      <c r="AA809" s="23"/>
      <c r="AB809" s="23"/>
      <c r="AC809" s="23"/>
      <c r="AD809" s="23"/>
      <c r="AE809" s="23"/>
    </row>
    <row r="810" spans="1:31">
      <c r="A810" s="23"/>
      <c r="B810" s="40"/>
      <c r="C810" s="40"/>
      <c r="D810" s="23"/>
      <c r="E810" s="23"/>
      <c r="F810" s="23"/>
      <c r="G810" s="23"/>
      <c r="H810" s="23"/>
      <c r="I810" s="40"/>
      <c r="J810" s="70"/>
      <c r="K810" s="23"/>
      <c r="L810" s="70"/>
      <c r="M810" s="70"/>
      <c r="N810" s="23"/>
      <c r="O810" s="23"/>
      <c r="P810" s="23"/>
      <c r="Q810" s="23"/>
      <c r="R810" s="72"/>
      <c r="S810" s="23"/>
      <c r="T810" s="23"/>
      <c r="U810" s="23"/>
      <c r="V810" s="23"/>
      <c r="W810" s="23"/>
      <c r="X810" s="23"/>
      <c r="Y810" s="23"/>
      <c r="Z810" s="23"/>
      <c r="AA810" s="23"/>
      <c r="AB810" s="23"/>
      <c r="AC810" s="23"/>
      <c r="AD810" s="23"/>
      <c r="AE810" s="23"/>
    </row>
    <row r="811" spans="1:31">
      <c r="A811" s="23"/>
      <c r="B811" s="40"/>
      <c r="C811" s="40"/>
      <c r="D811" s="23"/>
      <c r="E811" s="23"/>
      <c r="F811" s="23"/>
      <c r="G811" s="23"/>
      <c r="H811" s="23"/>
      <c r="I811" s="40"/>
      <c r="J811" s="70"/>
      <c r="K811" s="23"/>
      <c r="L811" s="70"/>
      <c r="M811" s="70"/>
      <c r="N811" s="23"/>
      <c r="O811" s="23"/>
      <c r="P811" s="23"/>
      <c r="Q811" s="23"/>
      <c r="R811" s="72"/>
      <c r="S811" s="23"/>
      <c r="T811" s="23"/>
      <c r="U811" s="23"/>
      <c r="V811" s="23"/>
      <c r="W811" s="23"/>
      <c r="X811" s="23"/>
      <c r="Y811" s="23"/>
      <c r="Z811" s="23"/>
      <c r="AA811" s="23"/>
      <c r="AB811" s="23"/>
      <c r="AC811" s="23"/>
      <c r="AD811" s="23"/>
      <c r="AE811" s="23"/>
    </row>
    <row r="812" spans="1:31" ht="24" customHeight="1">
      <c r="A812" s="23"/>
      <c r="B812" s="40"/>
      <c r="C812" s="40"/>
      <c r="D812" s="23"/>
      <c r="E812" s="23"/>
      <c r="F812" s="23"/>
      <c r="G812" s="23"/>
      <c r="H812" s="40"/>
      <c r="I812" s="40"/>
      <c r="J812" s="70"/>
      <c r="K812" s="23"/>
      <c r="L812" s="70"/>
      <c r="M812" s="70"/>
      <c r="N812" s="23"/>
      <c r="O812" s="23"/>
      <c r="P812" s="23"/>
      <c r="Q812" s="23"/>
      <c r="R812" s="72"/>
      <c r="S812" s="23"/>
      <c r="T812" s="23"/>
      <c r="U812" s="23"/>
      <c r="V812" s="23"/>
      <c r="W812" s="23"/>
      <c r="X812" s="23"/>
      <c r="Y812" s="23"/>
      <c r="Z812" s="23"/>
      <c r="AA812" s="23"/>
      <c r="AB812" s="23"/>
      <c r="AC812" s="23"/>
      <c r="AD812" s="23"/>
      <c r="AE812" s="23"/>
    </row>
    <row r="813" spans="1:31">
      <c r="A813" s="23"/>
      <c r="B813" s="40"/>
      <c r="C813" s="40"/>
      <c r="D813" s="23"/>
      <c r="E813" s="23"/>
      <c r="F813" s="23"/>
      <c r="G813" s="23"/>
      <c r="H813" s="40"/>
      <c r="I813" s="40"/>
      <c r="J813" s="70"/>
      <c r="K813" s="23"/>
      <c r="L813" s="70"/>
      <c r="M813" s="70"/>
      <c r="N813" s="23"/>
      <c r="O813" s="23"/>
      <c r="P813" s="23"/>
      <c r="Q813" s="23"/>
      <c r="R813" s="72"/>
      <c r="S813" s="23"/>
      <c r="T813" s="23"/>
      <c r="U813" s="23"/>
      <c r="V813" s="23"/>
      <c r="W813" s="23"/>
      <c r="X813" s="23"/>
      <c r="Y813" s="23"/>
      <c r="Z813" s="23"/>
      <c r="AA813" s="23"/>
      <c r="AB813" s="23"/>
      <c r="AC813" s="23"/>
      <c r="AD813" s="23"/>
      <c r="AE813" s="23"/>
    </row>
    <row r="814" spans="1:31">
      <c r="A814" s="23"/>
      <c r="B814" s="40"/>
      <c r="C814" s="40"/>
      <c r="D814" s="23"/>
      <c r="E814" s="23"/>
      <c r="F814" s="23"/>
      <c r="G814" s="23"/>
      <c r="H814" s="40"/>
      <c r="I814" s="40"/>
      <c r="J814" s="70"/>
      <c r="K814" s="23"/>
      <c r="L814" s="70"/>
      <c r="M814" s="70"/>
      <c r="N814" s="23"/>
      <c r="O814" s="23"/>
      <c r="P814" s="23"/>
      <c r="Q814" s="23"/>
      <c r="R814" s="72"/>
      <c r="S814" s="23"/>
      <c r="T814" s="23"/>
      <c r="U814" s="23"/>
      <c r="V814" s="23"/>
      <c r="W814" s="23"/>
      <c r="X814" s="23"/>
      <c r="Y814" s="23"/>
      <c r="Z814" s="23"/>
      <c r="AA814" s="23"/>
      <c r="AB814" s="23"/>
      <c r="AC814" s="23"/>
      <c r="AD814" s="23"/>
      <c r="AE814" s="23"/>
    </row>
    <row r="815" spans="1:31">
      <c r="A815" s="23"/>
      <c r="B815" s="40"/>
      <c r="C815" s="40"/>
      <c r="D815" s="23"/>
      <c r="E815" s="23"/>
      <c r="F815" s="23"/>
      <c r="G815" s="23"/>
      <c r="H815" s="40"/>
      <c r="I815" s="40"/>
      <c r="J815" s="70"/>
      <c r="K815" s="23"/>
      <c r="L815" s="70"/>
      <c r="M815" s="70"/>
      <c r="N815" s="23"/>
      <c r="O815" s="23"/>
      <c r="P815" s="23"/>
      <c r="Q815" s="23"/>
      <c r="R815" s="72"/>
      <c r="S815" s="23"/>
      <c r="T815" s="23"/>
      <c r="U815" s="23"/>
      <c r="V815" s="23"/>
      <c r="W815" s="23"/>
      <c r="X815" s="23"/>
      <c r="Y815" s="23"/>
      <c r="Z815" s="23"/>
      <c r="AA815" s="23"/>
      <c r="AB815" s="23"/>
      <c r="AC815" s="23"/>
      <c r="AD815" s="23"/>
      <c r="AE815" s="23"/>
    </row>
    <row r="816" spans="1:31">
      <c r="A816" s="23"/>
      <c r="B816" s="40"/>
      <c r="C816" s="40"/>
      <c r="D816" s="23"/>
      <c r="E816" s="23"/>
      <c r="F816" s="23"/>
      <c r="G816" s="23"/>
      <c r="H816" s="40"/>
      <c r="I816" s="40"/>
      <c r="J816" s="70"/>
      <c r="K816" s="23"/>
      <c r="L816" s="70"/>
      <c r="M816" s="70"/>
      <c r="N816" s="23"/>
      <c r="O816" s="23"/>
      <c r="P816" s="23"/>
      <c r="Q816" s="23"/>
      <c r="R816" s="72"/>
      <c r="S816" s="23"/>
      <c r="T816" s="23"/>
      <c r="U816" s="23"/>
      <c r="V816" s="23"/>
      <c r="W816" s="23"/>
      <c r="X816" s="23"/>
      <c r="Y816" s="23"/>
      <c r="Z816" s="23"/>
      <c r="AA816" s="23"/>
      <c r="AB816" s="23"/>
      <c r="AC816" s="23"/>
      <c r="AD816" s="23"/>
      <c r="AE816" s="23"/>
    </row>
    <row r="817" spans="1:31">
      <c r="A817" s="23"/>
      <c r="B817" s="40"/>
      <c r="C817" s="40"/>
      <c r="D817" s="23"/>
      <c r="E817" s="23"/>
      <c r="F817" s="23"/>
      <c r="G817" s="23"/>
      <c r="H817" s="40"/>
      <c r="I817" s="40"/>
      <c r="J817" s="70"/>
      <c r="K817" s="23"/>
      <c r="L817" s="70"/>
      <c r="M817" s="70"/>
      <c r="N817" s="23"/>
      <c r="O817" s="23"/>
      <c r="P817" s="23"/>
      <c r="Q817" s="23"/>
      <c r="R817" s="72"/>
      <c r="S817" s="23"/>
      <c r="T817" s="23"/>
      <c r="U817" s="23"/>
      <c r="V817" s="23"/>
      <c r="W817" s="23"/>
      <c r="X817" s="23"/>
      <c r="Y817" s="23"/>
      <c r="Z817" s="23"/>
      <c r="AA817" s="23"/>
      <c r="AB817" s="23"/>
      <c r="AC817" s="23"/>
      <c r="AD817" s="23"/>
      <c r="AE817" s="23"/>
    </row>
    <row r="818" spans="1:31">
      <c r="A818" s="23"/>
      <c r="B818" s="40"/>
      <c r="C818" s="40"/>
      <c r="D818" s="23"/>
      <c r="E818" s="23"/>
      <c r="F818" s="23"/>
      <c r="G818" s="23"/>
      <c r="H818" s="40"/>
      <c r="I818" s="40"/>
      <c r="J818" s="70"/>
      <c r="K818" s="23"/>
      <c r="L818" s="70"/>
      <c r="M818" s="70"/>
      <c r="N818" s="23"/>
      <c r="O818" s="23"/>
      <c r="P818" s="23"/>
      <c r="Q818" s="23"/>
      <c r="R818" s="72"/>
      <c r="S818" s="23"/>
      <c r="T818" s="23"/>
      <c r="U818" s="23"/>
      <c r="V818" s="23"/>
      <c r="W818" s="23"/>
      <c r="X818" s="23"/>
      <c r="Y818" s="23"/>
      <c r="Z818" s="23"/>
      <c r="AA818" s="23"/>
      <c r="AB818" s="23"/>
      <c r="AC818" s="23"/>
      <c r="AD818" s="23"/>
      <c r="AE818" s="23"/>
    </row>
    <row r="819" spans="1:31">
      <c r="A819" s="23"/>
      <c r="B819" s="40"/>
      <c r="C819" s="40"/>
      <c r="D819" s="23"/>
      <c r="E819" s="23"/>
      <c r="F819" s="23"/>
      <c r="G819" s="23"/>
      <c r="H819" s="23"/>
      <c r="I819" s="40"/>
      <c r="J819" s="70"/>
      <c r="K819" s="23"/>
      <c r="L819" s="70"/>
      <c r="M819" s="70"/>
      <c r="N819" s="23"/>
      <c r="O819" s="23"/>
      <c r="P819" s="23"/>
      <c r="Q819" s="23"/>
      <c r="R819" s="72"/>
      <c r="S819" s="23"/>
      <c r="T819" s="23"/>
      <c r="U819" s="23"/>
      <c r="V819" s="23"/>
      <c r="W819" s="23"/>
      <c r="X819" s="23"/>
      <c r="Y819" s="23"/>
      <c r="Z819" s="23"/>
      <c r="AA819" s="23"/>
      <c r="AB819" s="23"/>
      <c r="AC819" s="23"/>
      <c r="AD819" s="23"/>
      <c r="AE819" s="23"/>
    </row>
    <row r="820" spans="1:31">
      <c r="A820" s="23"/>
      <c r="B820" s="40"/>
      <c r="C820" s="40"/>
      <c r="D820" s="23"/>
      <c r="E820" s="23"/>
      <c r="F820" s="23"/>
      <c r="G820" s="23"/>
      <c r="H820" s="23"/>
      <c r="I820" s="40"/>
      <c r="J820" s="70"/>
      <c r="K820" s="23"/>
      <c r="L820" s="70"/>
      <c r="M820" s="70"/>
      <c r="N820" s="23"/>
      <c r="O820" s="23"/>
      <c r="P820" s="23"/>
      <c r="Q820" s="23"/>
      <c r="R820" s="72"/>
      <c r="S820" s="23"/>
      <c r="T820" s="23"/>
      <c r="U820" s="23"/>
      <c r="V820" s="23"/>
      <c r="W820" s="23"/>
      <c r="X820" s="23"/>
      <c r="Y820" s="23"/>
      <c r="Z820" s="23"/>
      <c r="AA820" s="23"/>
      <c r="AB820" s="23"/>
      <c r="AC820" s="23"/>
      <c r="AD820" s="23"/>
      <c r="AE820" s="23"/>
    </row>
    <row r="821" spans="1:31">
      <c r="A821" s="23"/>
      <c r="B821" s="40"/>
      <c r="C821" s="40"/>
      <c r="D821" s="23"/>
      <c r="E821" s="23"/>
      <c r="F821" s="23"/>
      <c r="G821" s="23"/>
      <c r="H821" s="23"/>
      <c r="I821" s="40"/>
      <c r="J821" s="70"/>
      <c r="K821" s="23"/>
      <c r="L821" s="70"/>
      <c r="M821" s="70"/>
      <c r="N821" s="23"/>
      <c r="O821" s="23"/>
      <c r="P821" s="23"/>
      <c r="Q821" s="23"/>
      <c r="R821" s="72"/>
      <c r="S821" s="23"/>
      <c r="T821" s="23"/>
      <c r="U821" s="23"/>
      <c r="V821" s="23"/>
      <c r="W821" s="23"/>
      <c r="X821" s="23"/>
      <c r="Y821" s="23"/>
      <c r="Z821" s="23"/>
      <c r="AA821" s="23"/>
      <c r="AB821" s="23"/>
      <c r="AC821" s="23"/>
      <c r="AD821" s="23"/>
      <c r="AE821" s="23"/>
    </row>
    <row r="822" spans="1:31">
      <c r="A822" s="23"/>
      <c r="B822" s="40"/>
      <c r="C822" s="40"/>
      <c r="D822" s="23"/>
      <c r="E822" s="23"/>
      <c r="F822" s="23"/>
      <c r="G822" s="23"/>
      <c r="H822" s="23"/>
      <c r="I822" s="40"/>
      <c r="J822" s="70"/>
      <c r="K822" s="23"/>
      <c r="L822" s="70"/>
      <c r="M822" s="70"/>
      <c r="N822" s="23"/>
      <c r="O822" s="23"/>
      <c r="P822" s="23"/>
      <c r="Q822" s="23"/>
      <c r="R822" s="72"/>
      <c r="S822" s="23"/>
      <c r="T822" s="23"/>
      <c r="U822" s="23"/>
      <c r="V822" s="23"/>
      <c r="W822" s="23"/>
      <c r="X822" s="23"/>
      <c r="Y822" s="23"/>
      <c r="Z822" s="23"/>
      <c r="AA822" s="23"/>
      <c r="AB822" s="23"/>
      <c r="AC822" s="23"/>
      <c r="AD822" s="23"/>
      <c r="AE822" s="23"/>
    </row>
    <row r="823" spans="1:31">
      <c r="A823" s="23"/>
      <c r="B823" s="40"/>
      <c r="C823" s="40"/>
      <c r="D823" s="23"/>
      <c r="E823" s="23"/>
      <c r="F823" s="23"/>
      <c r="G823" s="23"/>
      <c r="H823" s="23"/>
      <c r="I823" s="40"/>
      <c r="J823" s="70"/>
      <c r="K823" s="23"/>
      <c r="L823" s="70"/>
      <c r="M823" s="70"/>
      <c r="N823" s="23"/>
      <c r="O823" s="23"/>
      <c r="P823" s="23"/>
      <c r="Q823" s="23"/>
      <c r="R823" s="72"/>
      <c r="S823" s="23"/>
      <c r="T823" s="23"/>
      <c r="U823" s="23"/>
      <c r="V823" s="23"/>
      <c r="W823" s="23"/>
      <c r="X823" s="23"/>
      <c r="Y823" s="23"/>
      <c r="Z823" s="23"/>
      <c r="AA823" s="23"/>
      <c r="AB823" s="23"/>
      <c r="AC823" s="23"/>
      <c r="AD823" s="23"/>
      <c r="AE823" s="23"/>
    </row>
    <row r="824" spans="1:31">
      <c r="A824" s="23"/>
      <c r="B824" s="40"/>
      <c r="C824" s="40"/>
      <c r="D824" s="23"/>
      <c r="E824" s="23"/>
      <c r="F824" s="23"/>
      <c r="G824" s="23"/>
      <c r="H824" s="23"/>
      <c r="I824" s="40"/>
      <c r="J824" s="70"/>
      <c r="K824" s="23"/>
      <c r="L824" s="70"/>
      <c r="M824" s="70"/>
      <c r="N824" s="23"/>
      <c r="O824" s="23"/>
      <c r="P824" s="23"/>
      <c r="Q824" s="23"/>
      <c r="R824" s="72"/>
      <c r="S824" s="23"/>
      <c r="T824" s="23"/>
      <c r="U824" s="23"/>
      <c r="V824" s="23"/>
      <c r="W824" s="23"/>
      <c r="X824" s="23"/>
      <c r="Y824" s="23"/>
      <c r="Z824" s="23"/>
      <c r="AA824" s="23"/>
      <c r="AB824" s="23"/>
      <c r="AC824" s="23"/>
      <c r="AD824" s="23"/>
      <c r="AE824" s="23"/>
    </row>
    <row r="825" spans="1:31">
      <c r="A825" s="23"/>
      <c r="B825" s="40"/>
      <c r="C825" s="40"/>
      <c r="D825" s="23"/>
      <c r="E825" s="23"/>
      <c r="F825" s="23"/>
      <c r="G825" s="23"/>
      <c r="H825" s="23"/>
      <c r="I825" s="40"/>
      <c r="J825" s="70"/>
      <c r="K825" s="23"/>
      <c r="L825" s="70"/>
      <c r="M825" s="70"/>
      <c r="N825" s="23"/>
      <c r="O825" s="23"/>
      <c r="P825" s="23"/>
      <c r="Q825" s="23"/>
      <c r="R825" s="72"/>
      <c r="S825" s="23"/>
      <c r="T825" s="23"/>
      <c r="U825" s="23"/>
      <c r="V825" s="23"/>
      <c r="W825" s="23"/>
      <c r="X825" s="23"/>
      <c r="Y825" s="23"/>
      <c r="Z825" s="23"/>
      <c r="AA825" s="23"/>
      <c r="AB825" s="23"/>
      <c r="AC825" s="23"/>
      <c r="AD825" s="23"/>
      <c r="AE825" s="23"/>
    </row>
    <row r="826" spans="1:31">
      <c r="A826" s="23"/>
      <c r="B826" s="40"/>
      <c r="C826" s="40"/>
      <c r="D826" s="23"/>
      <c r="E826" s="23"/>
      <c r="F826" s="23"/>
      <c r="G826" s="23"/>
      <c r="H826" s="23"/>
      <c r="I826" s="40"/>
      <c r="J826" s="70"/>
      <c r="K826" s="23"/>
      <c r="L826" s="70"/>
      <c r="M826" s="70"/>
      <c r="N826" s="23"/>
      <c r="O826" s="23"/>
      <c r="P826" s="23"/>
      <c r="Q826" s="23"/>
      <c r="R826" s="72"/>
      <c r="S826" s="23"/>
      <c r="T826" s="23"/>
      <c r="U826" s="23"/>
      <c r="V826" s="23"/>
      <c r="W826" s="23"/>
      <c r="X826" s="23"/>
      <c r="Y826" s="23"/>
      <c r="Z826" s="23"/>
      <c r="AA826" s="23"/>
      <c r="AB826" s="23"/>
      <c r="AC826" s="23"/>
      <c r="AD826" s="23"/>
      <c r="AE826" s="23"/>
    </row>
    <row r="827" spans="1:31">
      <c r="A827" s="23"/>
      <c r="B827" s="40"/>
      <c r="C827" s="40"/>
      <c r="D827" s="23"/>
      <c r="E827" s="23"/>
      <c r="F827" s="23"/>
      <c r="G827" s="23"/>
      <c r="H827" s="23"/>
      <c r="I827" s="40"/>
      <c r="J827" s="70"/>
      <c r="K827" s="23"/>
      <c r="L827" s="70"/>
      <c r="M827" s="70"/>
      <c r="N827" s="23"/>
      <c r="O827" s="23"/>
      <c r="P827" s="23"/>
      <c r="Q827" s="23"/>
      <c r="R827" s="72"/>
      <c r="S827" s="23"/>
      <c r="T827" s="23"/>
      <c r="U827" s="23"/>
      <c r="V827" s="23"/>
      <c r="W827" s="23"/>
      <c r="X827" s="23"/>
      <c r="Y827" s="23"/>
      <c r="Z827" s="23"/>
      <c r="AA827" s="23"/>
      <c r="AB827" s="23"/>
      <c r="AC827" s="23"/>
      <c r="AD827" s="23"/>
      <c r="AE827" s="23"/>
    </row>
    <row r="828" spans="1:31">
      <c r="A828" s="23"/>
      <c r="B828" s="40"/>
      <c r="C828" s="40"/>
      <c r="D828" s="23"/>
      <c r="E828" s="23"/>
      <c r="F828" s="23"/>
      <c r="G828" s="23"/>
      <c r="H828" s="23"/>
      <c r="I828" s="40"/>
      <c r="J828" s="70"/>
      <c r="K828" s="23"/>
      <c r="L828" s="70"/>
      <c r="M828" s="70"/>
      <c r="N828" s="23"/>
      <c r="O828" s="23"/>
      <c r="P828" s="23"/>
      <c r="Q828" s="23"/>
      <c r="R828" s="72"/>
      <c r="S828" s="23"/>
      <c r="T828" s="23"/>
      <c r="U828" s="23"/>
      <c r="V828" s="23"/>
      <c r="W828" s="23"/>
      <c r="X828" s="23"/>
      <c r="Y828" s="23"/>
      <c r="Z828" s="23"/>
      <c r="AA828" s="23"/>
      <c r="AB828" s="23"/>
      <c r="AC828" s="23"/>
      <c r="AD828" s="23"/>
      <c r="AE828" s="23"/>
    </row>
    <row r="829" spans="1:31">
      <c r="A829" s="23"/>
      <c r="B829" s="40"/>
      <c r="C829" s="40"/>
      <c r="D829" s="23"/>
      <c r="E829" s="23"/>
      <c r="F829" s="23"/>
      <c r="G829" s="23"/>
      <c r="H829" s="23"/>
      <c r="I829" s="40"/>
      <c r="J829" s="70"/>
      <c r="K829" s="23"/>
      <c r="L829" s="70"/>
      <c r="M829" s="70"/>
      <c r="N829" s="23"/>
      <c r="O829" s="23"/>
      <c r="P829" s="23"/>
      <c r="Q829" s="23"/>
      <c r="R829" s="72"/>
      <c r="S829" s="23"/>
      <c r="T829" s="23"/>
      <c r="U829" s="23"/>
      <c r="V829" s="23"/>
      <c r="W829" s="23"/>
      <c r="X829" s="23"/>
      <c r="Y829" s="23"/>
      <c r="Z829" s="23"/>
      <c r="AA829" s="23"/>
      <c r="AB829" s="23"/>
      <c r="AC829" s="23"/>
      <c r="AD829" s="23"/>
      <c r="AE829" s="23"/>
    </row>
    <row r="830" spans="1:31">
      <c r="A830" s="23"/>
      <c r="B830" s="40"/>
      <c r="C830" s="40"/>
      <c r="D830" s="23"/>
      <c r="E830" s="23"/>
      <c r="F830" s="23"/>
      <c r="G830" s="23"/>
      <c r="H830" s="23"/>
      <c r="I830" s="40"/>
      <c r="J830" s="70"/>
      <c r="K830" s="23"/>
      <c r="L830" s="70"/>
      <c r="M830" s="70"/>
      <c r="N830" s="23"/>
      <c r="O830" s="23"/>
      <c r="P830" s="23"/>
      <c r="Q830" s="23"/>
      <c r="R830" s="72"/>
      <c r="S830" s="23"/>
      <c r="T830" s="23"/>
      <c r="U830" s="23"/>
      <c r="V830" s="23"/>
      <c r="W830" s="23"/>
      <c r="X830" s="23"/>
      <c r="Y830" s="23"/>
      <c r="Z830" s="23"/>
      <c r="AA830" s="23"/>
      <c r="AB830" s="23"/>
      <c r="AC830" s="23"/>
      <c r="AD830" s="23"/>
      <c r="AE830" s="23"/>
    </row>
    <row r="831" spans="1:31">
      <c r="A831" s="23"/>
      <c r="B831" s="40"/>
      <c r="C831" s="40"/>
      <c r="D831" s="23"/>
      <c r="E831" s="23"/>
      <c r="F831" s="23"/>
      <c r="G831" s="23"/>
      <c r="H831" s="23"/>
      <c r="I831" s="40"/>
      <c r="J831" s="70"/>
      <c r="K831" s="23"/>
      <c r="L831" s="70"/>
      <c r="M831" s="70"/>
      <c r="N831" s="23"/>
      <c r="O831" s="23"/>
      <c r="P831" s="23"/>
      <c r="Q831" s="23"/>
      <c r="R831" s="72"/>
      <c r="S831" s="23"/>
      <c r="T831" s="23"/>
      <c r="U831" s="23"/>
      <c r="V831" s="23"/>
      <c r="W831" s="23"/>
      <c r="X831" s="23"/>
      <c r="Y831" s="23"/>
      <c r="Z831" s="23"/>
      <c r="AA831" s="23"/>
      <c r="AB831" s="23"/>
      <c r="AC831" s="23"/>
      <c r="AD831" s="23"/>
      <c r="AE831" s="23"/>
    </row>
    <row r="832" spans="1:31" ht="24" customHeight="1">
      <c r="A832" s="23"/>
      <c r="B832" s="40"/>
      <c r="C832" s="40"/>
      <c r="D832" s="23"/>
      <c r="E832" s="23"/>
      <c r="F832" s="23"/>
      <c r="G832" s="40"/>
      <c r="H832" s="40"/>
      <c r="I832" s="40"/>
      <c r="J832" s="70"/>
      <c r="K832" s="23"/>
      <c r="L832" s="70"/>
      <c r="M832" s="70"/>
      <c r="N832" s="23"/>
      <c r="O832" s="23"/>
      <c r="P832" s="23"/>
      <c r="Q832" s="23"/>
      <c r="R832" s="72"/>
      <c r="S832" s="23"/>
      <c r="T832" s="23"/>
      <c r="U832" s="23"/>
      <c r="V832" s="23"/>
      <c r="W832" s="23"/>
      <c r="X832" s="23"/>
      <c r="Y832" s="23"/>
      <c r="Z832" s="23"/>
      <c r="AA832" s="23"/>
      <c r="AB832" s="23"/>
      <c r="AC832" s="23"/>
      <c r="AD832" s="23"/>
      <c r="AE832" s="23"/>
    </row>
    <row r="833" spans="1:31">
      <c r="A833" s="23"/>
      <c r="B833" s="40"/>
      <c r="C833" s="40"/>
      <c r="D833" s="23"/>
      <c r="E833" s="23"/>
      <c r="F833" s="23"/>
      <c r="G833" s="23"/>
      <c r="H833" s="40"/>
      <c r="I833" s="40"/>
      <c r="J833" s="70"/>
      <c r="K833" s="23"/>
      <c r="L833" s="70"/>
      <c r="M833" s="70"/>
      <c r="N833" s="23"/>
      <c r="O833" s="23"/>
      <c r="P833" s="23"/>
      <c r="Q833" s="23"/>
      <c r="R833" s="72"/>
      <c r="S833" s="23"/>
      <c r="T833" s="23"/>
      <c r="U833" s="23"/>
      <c r="V833" s="23"/>
      <c r="W833" s="23"/>
      <c r="X833" s="23"/>
      <c r="Y833" s="23"/>
      <c r="Z833" s="23"/>
      <c r="AA833" s="23"/>
      <c r="AB833" s="23"/>
      <c r="AC833" s="23"/>
      <c r="AD833" s="23"/>
      <c r="AE833" s="23"/>
    </row>
    <row r="834" spans="1:31">
      <c r="A834" s="23"/>
      <c r="B834" s="40"/>
      <c r="C834" s="40"/>
      <c r="D834" s="23"/>
      <c r="E834" s="23"/>
      <c r="F834" s="23"/>
      <c r="G834" s="23"/>
      <c r="H834" s="40"/>
      <c r="I834" s="40"/>
      <c r="J834" s="70"/>
      <c r="K834" s="23"/>
      <c r="L834" s="70"/>
      <c r="M834" s="70"/>
      <c r="N834" s="23"/>
      <c r="O834" s="23"/>
      <c r="P834" s="23"/>
      <c r="Q834" s="23"/>
      <c r="R834" s="72"/>
      <c r="S834" s="23"/>
      <c r="T834" s="23"/>
      <c r="U834" s="23"/>
      <c r="V834" s="23"/>
      <c r="W834" s="23"/>
      <c r="X834" s="23"/>
      <c r="Y834" s="23"/>
      <c r="Z834" s="23"/>
      <c r="AA834" s="23"/>
      <c r="AB834" s="23"/>
      <c r="AC834" s="23"/>
      <c r="AD834" s="23"/>
      <c r="AE834" s="23"/>
    </row>
    <row r="835" spans="1:31">
      <c r="A835" s="23"/>
      <c r="B835" s="40"/>
      <c r="C835" s="40"/>
      <c r="D835" s="23"/>
      <c r="E835" s="23"/>
      <c r="F835" s="23"/>
      <c r="G835" s="40"/>
      <c r="H835" s="40"/>
      <c r="I835" s="40"/>
      <c r="J835" s="70"/>
      <c r="K835" s="23"/>
      <c r="L835" s="70"/>
      <c r="M835" s="70"/>
      <c r="N835" s="23"/>
      <c r="O835" s="23"/>
      <c r="P835" s="23"/>
      <c r="Q835" s="23"/>
      <c r="R835" s="72"/>
      <c r="S835" s="23"/>
      <c r="T835" s="23"/>
      <c r="U835" s="23"/>
      <c r="V835" s="23"/>
      <c r="W835" s="23"/>
      <c r="X835" s="23"/>
      <c r="Y835" s="23"/>
      <c r="Z835" s="23"/>
      <c r="AA835" s="23"/>
      <c r="AB835" s="23"/>
      <c r="AC835" s="23"/>
      <c r="AD835" s="23"/>
      <c r="AE835" s="23"/>
    </row>
    <row r="836" spans="1:31">
      <c r="A836" s="23"/>
      <c r="B836" s="40"/>
      <c r="C836" s="40"/>
      <c r="D836" s="23"/>
      <c r="E836" s="23"/>
      <c r="F836" s="23"/>
      <c r="G836" s="23"/>
      <c r="H836" s="40"/>
      <c r="I836" s="40"/>
      <c r="J836" s="70"/>
      <c r="K836" s="23"/>
      <c r="L836" s="70"/>
      <c r="M836" s="70"/>
      <c r="N836" s="23"/>
      <c r="O836" s="23"/>
      <c r="P836" s="23"/>
      <c r="Q836" s="23"/>
      <c r="R836" s="72"/>
      <c r="S836" s="23"/>
      <c r="T836" s="23"/>
      <c r="U836" s="23"/>
      <c r="V836" s="23"/>
      <c r="W836" s="23"/>
      <c r="X836" s="23"/>
      <c r="Y836" s="23"/>
      <c r="Z836" s="23"/>
      <c r="AA836" s="23"/>
      <c r="AB836" s="23"/>
      <c r="AC836" s="23"/>
      <c r="AD836" s="23"/>
      <c r="AE836" s="23"/>
    </row>
    <row r="837" spans="1:31">
      <c r="A837" s="23"/>
      <c r="B837" s="40"/>
      <c r="C837" s="40"/>
      <c r="D837" s="23"/>
      <c r="E837" s="23"/>
      <c r="F837" s="23"/>
      <c r="G837" s="23"/>
      <c r="H837" s="23"/>
      <c r="I837" s="40"/>
      <c r="J837" s="70"/>
      <c r="K837" s="23"/>
      <c r="L837" s="70"/>
      <c r="M837" s="70"/>
      <c r="N837" s="23"/>
      <c r="O837" s="23"/>
      <c r="P837" s="23"/>
      <c r="Q837" s="23"/>
      <c r="R837" s="72"/>
      <c r="S837" s="23"/>
      <c r="T837" s="23"/>
      <c r="U837" s="23"/>
      <c r="V837" s="23"/>
      <c r="W837" s="23"/>
      <c r="X837" s="23"/>
      <c r="Y837" s="23"/>
      <c r="Z837" s="23"/>
      <c r="AA837" s="23"/>
      <c r="AB837" s="23"/>
      <c r="AC837" s="23"/>
      <c r="AD837" s="23"/>
      <c r="AE837" s="23"/>
    </row>
    <row r="838" spans="1:31">
      <c r="A838" s="23"/>
      <c r="B838" s="40"/>
      <c r="C838" s="40"/>
      <c r="D838" s="23"/>
      <c r="E838" s="23"/>
      <c r="F838" s="23"/>
      <c r="G838" s="40"/>
      <c r="H838" s="23"/>
      <c r="I838" s="40"/>
      <c r="J838" s="70"/>
      <c r="K838" s="23"/>
      <c r="L838" s="70"/>
      <c r="M838" s="70"/>
      <c r="N838" s="23"/>
      <c r="O838" s="23"/>
      <c r="P838" s="23"/>
      <c r="Q838" s="23"/>
      <c r="R838" s="72"/>
      <c r="S838" s="23"/>
      <c r="T838" s="23"/>
      <c r="U838" s="23"/>
      <c r="V838" s="23"/>
      <c r="W838" s="23"/>
      <c r="X838" s="23"/>
      <c r="Y838" s="23"/>
      <c r="Z838" s="23"/>
      <c r="AA838" s="23"/>
      <c r="AB838" s="23"/>
      <c r="AC838" s="23"/>
      <c r="AD838" s="23"/>
      <c r="AE838" s="23"/>
    </row>
    <row r="839" spans="1:31" ht="24" customHeight="1">
      <c r="A839" s="23"/>
      <c r="B839" s="40"/>
      <c r="C839" s="40"/>
      <c r="D839" s="23"/>
      <c r="E839" s="23"/>
      <c r="F839" s="23"/>
      <c r="G839" s="23"/>
      <c r="H839" s="40"/>
      <c r="I839" s="40"/>
      <c r="J839" s="70"/>
      <c r="K839" s="23"/>
      <c r="L839" s="70"/>
      <c r="M839" s="70"/>
      <c r="N839" s="23"/>
      <c r="O839" s="23"/>
      <c r="P839" s="23"/>
      <c r="Q839" s="23"/>
      <c r="R839" s="72"/>
      <c r="S839" s="23"/>
      <c r="T839" s="23"/>
      <c r="U839" s="23"/>
      <c r="V839" s="23"/>
      <c r="W839" s="23"/>
      <c r="X839" s="23"/>
      <c r="Y839" s="23"/>
      <c r="Z839" s="23"/>
      <c r="AA839" s="23"/>
      <c r="AB839" s="23"/>
      <c r="AC839" s="23"/>
      <c r="AD839" s="23"/>
      <c r="AE839" s="23"/>
    </row>
    <row r="840" spans="1:31">
      <c r="A840" s="23"/>
      <c r="B840" s="40"/>
      <c r="C840" s="40"/>
      <c r="D840" s="23"/>
      <c r="E840" s="23"/>
      <c r="F840" s="23"/>
      <c r="G840" s="23"/>
      <c r="H840" s="40"/>
      <c r="I840" s="40"/>
      <c r="J840" s="70"/>
      <c r="K840" s="23"/>
      <c r="L840" s="70"/>
      <c r="M840" s="70"/>
      <c r="N840" s="23"/>
      <c r="O840" s="23"/>
      <c r="P840" s="23"/>
      <c r="Q840" s="23"/>
      <c r="R840" s="72"/>
      <c r="S840" s="23"/>
      <c r="T840" s="23"/>
      <c r="U840" s="23"/>
      <c r="V840" s="23"/>
      <c r="W840" s="23"/>
      <c r="X840" s="23"/>
      <c r="Y840" s="23"/>
      <c r="Z840" s="23"/>
      <c r="AA840" s="23"/>
      <c r="AB840" s="23"/>
      <c r="AC840" s="23"/>
      <c r="AD840" s="23"/>
      <c r="AE840" s="23"/>
    </row>
    <row r="841" spans="1:31">
      <c r="A841" s="23"/>
      <c r="B841" s="40"/>
      <c r="C841" s="40"/>
      <c r="D841" s="23"/>
      <c r="E841" s="23"/>
      <c r="F841" s="23"/>
      <c r="G841" s="40"/>
      <c r="H841" s="40"/>
      <c r="I841" s="40"/>
      <c r="J841" s="70"/>
      <c r="K841" s="23"/>
      <c r="L841" s="70"/>
      <c r="M841" s="70"/>
      <c r="N841" s="23"/>
      <c r="O841" s="23"/>
      <c r="P841" s="23"/>
      <c r="Q841" s="23"/>
      <c r="R841" s="72"/>
      <c r="S841" s="23"/>
      <c r="T841" s="23"/>
      <c r="U841" s="23"/>
      <c r="V841" s="23"/>
      <c r="W841" s="23"/>
      <c r="X841" s="23"/>
      <c r="Y841" s="23"/>
      <c r="Z841" s="23"/>
      <c r="AA841" s="23"/>
      <c r="AB841" s="23"/>
      <c r="AC841" s="23"/>
      <c r="AD841" s="23"/>
      <c r="AE841" s="23"/>
    </row>
    <row r="842" spans="1:31">
      <c r="A842" s="23"/>
      <c r="B842" s="40"/>
      <c r="C842" s="40"/>
      <c r="D842" s="23"/>
      <c r="E842" s="23"/>
      <c r="F842" s="23"/>
      <c r="G842" s="23"/>
      <c r="H842" s="40"/>
      <c r="I842" s="40"/>
      <c r="J842" s="70"/>
      <c r="K842" s="23"/>
      <c r="L842" s="70"/>
      <c r="M842" s="70"/>
      <c r="N842" s="23"/>
      <c r="O842" s="23"/>
      <c r="P842" s="23"/>
      <c r="Q842" s="23"/>
      <c r="R842" s="72"/>
      <c r="S842" s="23"/>
      <c r="T842" s="23"/>
      <c r="U842" s="23"/>
      <c r="V842" s="23"/>
      <c r="W842" s="23"/>
      <c r="X842" s="23"/>
      <c r="Y842" s="23"/>
      <c r="Z842" s="23"/>
      <c r="AA842" s="23"/>
      <c r="AB842" s="23"/>
      <c r="AC842" s="23"/>
      <c r="AD842" s="23"/>
      <c r="AE842" s="23"/>
    </row>
    <row r="843" spans="1:31">
      <c r="A843" s="23"/>
      <c r="B843" s="40"/>
      <c r="C843" s="40"/>
      <c r="D843" s="23"/>
      <c r="E843" s="23"/>
      <c r="F843" s="23"/>
      <c r="G843" s="23"/>
      <c r="H843" s="40"/>
      <c r="I843" s="40"/>
      <c r="J843" s="70"/>
      <c r="K843" s="23"/>
      <c r="L843" s="70"/>
      <c r="M843" s="70"/>
      <c r="N843" s="23"/>
      <c r="O843" s="23"/>
      <c r="P843" s="23"/>
      <c r="Q843" s="23"/>
      <c r="R843" s="72"/>
      <c r="S843" s="23"/>
      <c r="T843" s="23"/>
      <c r="U843" s="23"/>
      <c r="V843" s="23"/>
      <c r="W843" s="23"/>
      <c r="X843" s="23"/>
      <c r="Y843" s="23"/>
      <c r="Z843" s="23"/>
      <c r="AA843" s="23"/>
      <c r="AB843" s="23"/>
      <c r="AC843" s="23"/>
      <c r="AD843" s="23"/>
      <c r="AE843" s="23"/>
    </row>
    <row r="844" spans="1:31">
      <c r="A844" s="23"/>
      <c r="B844" s="40"/>
      <c r="C844" s="40"/>
      <c r="D844" s="23"/>
      <c r="E844" s="23"/>
      <c r="F844" s="23"/>
      <c r="G844" s="40"/>
      <c r="H844" s="40"/>
      <c r="I844" s="40"/>
      <c r="J844" s="70"/>
      <c r="K844" s="23"/>
      <c r="L844" s="70"/>
      <c r="M844" s="70"/>
      <c r="N844" s="23"/>
      <c r="O844" s="23"/>
      <c r="P844" s="23"/>
      <c r="Q844" s="23"/>
      <c r="R844" s="72"/>
      <c r="S844" s="23"/>
      <c r="T844" s="23"/>
      <c r="U844" s="23"/>
      <c r="V844" s="23"/>
      <c r="W844" s="23"/>
      <c r="X844" s="23"/>
      <c r="Y844" s="23"/>
      <c r="Z844" s="23"/>
      <c r="AA844" s="23"/>
      <c r="AB844" s="23"/>
      <c r="AC844" s="23"/>
      <c r="AD844" s="23"/>
      <c r="AE844" s="23"/>
    </row>
    <row r="845" spans="1:31">
      <c r="A845" s="23"/>
      <c r="B845" s="40"/>
      <c r="C845" s="40"/>
      <c r="D845" s="23"/>
      <c r="E845" s="23"/>
      <c r="F845" s="23"/>
      <c r="G845" s="23"/>
      <c r="H845" s="40"/>
      <c r="I845" s="40"/>
      <c r="J845" s="70"/>
      <c r="K845" s="23"/>
      <c r="L845" s="70"/>
      <c r="M845" s="70"/>
      <c r="N845" s="23"/>
      <c r="O845" s="23"/>
      <c r="P845" s="23"/>
      <c r="Q845" s="23"/>
      <c r="R845" s="72"/>
      <c r="S845" s="23"/>
      <c r="T845" s="23"/>
      <c r="U845" s="23"/>
      <c r="V845" s="23"/>
      <c r="W845" s="23"/>
      <c r="X845" s="23"/>
      <c r="Y845" s="23"/>
      <c r="Z845" s="23"/>
      <c r="AA845" s="23"/>
      <c r="AB845" s="23"/>
      <c r="AC845" s="23"/>
      <c r="AD845" s="23"/>
      <c r="AE845" s="23"/>
    </row>
    <row r="846" spans="1:31">
      <c r="A846" s="23"/>
      <c r="B846" s="40"/>
      <c r="C846" s="40"/>
      <c r="D846" s="23"/>
      <c r="E846" s="23"/>
      <c r="F846" s="23"/>
      <c r="G846" s="23"/>
      <c r="H846" s="23"/>
      <c r="I846" s="40"/>
      <c r="J846" s="70"/>
      <c r="K846" s="23"/>
      <c r="L846" s="70"/>
      <c r="M846" s="70"/>
      <c r="N846" s="23"/>
      <c r="O846" s="23"/>
      <c r="P846" s="23"/>
      <c r="Q846" s="23"/>
      <c r="R846" s="72"/>
      <c r="S846" s="23"/>
      <c r="T846" s="23"/>
      <c r="U846" s="23"/>
      <c r="V846" s="23"/>
      <c r="W846" s="23"/>
      <c r="X846" s="23"/>
      <c r="Y846" s="23"/>
      <c r="Z846" s="23"/>
      <c r="AA846" s="23"/>
      <c r="AB846" s="23"/>
      <c r="AC846" s="23"/>
      <c r="AD846" s="23"/>
      <c r="AE846" s="23"/>
    </row>
    <row r="847" spans="1:31">
      <c r="A847" s="23"/>
      <c r="B847" s="40"/>
      <c r="C847" s="40"/>
      <c r="D847" s="23"/>
      <c r="E847" s="23"/>
      <c r="F847" s="23"/>
      <c r="G847" s="40"/>
      <c r="H847" s="23"/>
      <c r="I847" s="40"/>
      <c r="J847" s="70"/>
      <c r="K847" s="23"/>
      <c r="L847" s="70"/>
      <c r="M847" s="70"/>
      <c r="N847" s="23"/>
      <c r="O847" s="23"/>
      <c r="P847" s="23"/>
      <c r="Q847" s="23"/>
      <c r="R847" s="72"/>
      <c r="S847" s="23"/>
      <c r="T847" s="23"/>
      <c r="U847" s="23"/>
      <c r="V847" s="23"/>
      <c r="W847" s="23"/>
      <c r="X847" s="23"/>
      <c r="Y847" s="23"/>
      <c r="Z847" s="23"/>
      <c r="AA847" s="23"/>
      <c r="AB847" s="23"/>
      <c r="AC847" s="23"/>
      <c r="AD847" s="23"/>
      <c r="AE847" s="23"/>
    </row>
    <row r="848" spans="1:31">
      <c r="A848" s="23"/>
      <c r="B848" s="40"/>
      <c r="C848" s="40"/>
      <c r="D848" s="23"/>
      <c r="E848" s="23"/>
      <c r="F848" s="23"/>
      <c r="G848" s="23"/>
      <c r="H848" s="23"/>
      <c r="I848" s="40"/>
      <c r="J848" s="70"/>
      <c r="K848" s="23"/>
      <c r="L848" s="70"/>
      <c r="M848" s="70"/>
      <c r="N848" s="23"/>
      <c r="O848" s="23"/>
      <c r="P848" s="23"/>
      <c r="Q848" s="23"/>
      <c r="R848" s="72"/>
      <c r="S848" s="23"/>
      <c r="T848" s="23"/>
      <c r="U848" s="23"/>
      <c r="V848" s="23"/>
      <c r="W848" s="23"/>
      <c r="X848" s="23"/>
      <c r="Y848" s="23"/>
      <c r="Z848" s="23"/>
      <c r="AA848" s="23"/>
      <c r="AB848" s="23"/>
      <c r="AC848" s="23"/>
      <c r="AD848" s="23"/>
      <c r="AE848" s="23"/>
    </row>
    <row r="849" spans="1:31" ht="24" customHeight="1">
      <c r="A849" s="23"/>
      <c r="B849" s="40"/>
      <c r="C849" s="40"/>
      <c r="D849" s="23"/>
      <c r="E849" s="23"/>
      <c r="F849" s="23"/>
      <c r="G849" s="23"/>
      <c r="H849" s="40"/>
      <c r="I849" s="40"/>
      <c r="J849" s="70"/>
      <c r="K849" s="23"/>
      <c r="L849" s="70"/>
      <c r="M849" s="70"/>
      <c r="N849" s="23"/>
      <c r="O849" s="23"/>
      <c r="P849" s="23"/>
      <c r="Q849" s="23"/>
      <c r="R849" s="72"/>
      <c r="S849" s="23"/>
      <c r="T849" s="23"/>
      <c r="U849" s="23"/>
      <c r="V849" s="23"/>
      <c r="W849" s="23"/>
      <c r="X849" s="23"/>
      <c r="Y849" s="23"/>
      <c r="Z849" s="23"/>
      <c r="AA849" s="23"/>
      <c r="AB849" s="23"/>
      <c r="AC849" s="23"/>
      <c r="AD849" s="23"/>
      <c r="AE849" s="23"/>
    </row>
    <row r="850" spans="1:31">
      <c r="A850" s="23"/>
      <c r="B850" s="40"/>
      <c r="C850" s="40"/>
      <c r="D850" s="23"/>
      <c r="E850" s="23"/>
      <c r="F850" s="23"/>
      <c r="G850" s="40"/>
      <c r="H850" s="40"/>
      <c r="I850" s="40"/>
      <c r="J850" s="70"/>
      <c r="K850" s="23"/>
      <c r="L850" s="70"/>
      <c r="M850" s="70"/>
      <c r="N850" s="23"/>
      <c r="O850" s="23"/>
      <c r="P850" s="23"/>
      <c r="Q850" s="23"/>
      <c r="R850" s="72"/>
      <c r="S850" s="23"/>
      <c r="T850" s="23"/>
      <c r="U850" s="23"/>
      <c r="V850" s="23"/>
      <c r="W850" s="23"/>
      <c r="X850" s="23"/>
      <c r="Y850" s="23"/>
      <c r="Z850" s="23"/>
      <c r="AA850" s="23"/>
      <c r="AB850" s="23"/>
      <c r="AC850" s="23"/>
      <c r="AD850" s="23"/>
      <c r="AE850" s="23"/>
    </row>
    <row r="851" spans="1:31">
      <c r="A851" s="23"/>
      <c r="B851" s="40"/>
      <c r="C851" s="40"/>
      <c r="D851" s="23"/>
      <c r="E851" s="23"/>
      <c r="F851" s="23"/>
      <c r="G851" s="23"/>
      <c r="H851" s="40"/>
      <c r="I851" s="40"/>
      <c r="J851" s="70"/>
      <c r="K851" s="23"/>
      <c r="L851" s="70"/>
      <c r="M851" s="70"/>
      <c r="N851" s="23"/>
      <c r="O851" s="23"/>
      <c r="P851" s="23"/>
      <c r="Q851" s="23"/>
      <c r="R851" s="72"/>
      <c r="S851" s="23"/>
      <c r="T851" s="23"/>
      <c r="U851" s="23"/>
      <c r="V851" s="23"/>
      <c r="W851" s="23"/>
      <c r="X851" s="23"/>
      <c r="Y851" s="23"/>
      <c r="Z851" s="23"/>
      <c r="AA851" s="23"/>
      <c r="AB851" s="23"/>
      <c r="AC851" s="23"/>
      <c r="AD851" s="23"/>
      <c r="AE851" s="23"/>
    </row>
    <row r="852" spans="1:31">
      <c r="A852" s="23"/>
      <c r="B852" s="40"/>
      <c r="C852" s="40"/>
      <c r="D852" s="23"/>
      <c r="E852" s="23"/>
      <c r="F852" s="23"/>
      <c r="G852" s="23"/>
      <c r="H852" s="40"/>
      <c r="I852" s="40"/>
      <c r="J852" s="70"/>
      <c r="K852" s="23"/>
      <c r="L852" s="70"/>
      <c r="M852" s="70"/>
      <c r="N852" s="23"/>
      <c r="O852" s="23"/>
      <c r="P852" s="23"/>
      <c r="Q852" s="23"/>
      <c r="R852" s="72"/>
      <c r="S852" s="23"/>
      <c r="T852" s="23"/>
      <c r="U852" s="23"/>
      <c r="V852" s="23"/>
      <c r="W852" s="23"/>
      <c r="X852" s="23"/>
      <c r="Y852" s="23"/>
      <c r="Z852" s="23"/>
      <c r="AA852" s="23"/>
      <c r="AB852" s="23"/>
      <c r="AC852" s="23"/>
      <c r="AD852" s="23"/>
      <c r="AE852" s="23"/>
    </row>
    <row r="853" spans="1:31">
      <c r="A853" s="23"/>
      <c r="B853" s="40"/>
      <c r="C853" s="40"/>
      <c r="D853" s="23"/>
      <c r="E853" s="23"/>
      <c r="F853" s="23"/>
      <c r="G853" s="40"/>
      <c r="H853" s="40"/>
      <c r="I853" s="40"/>
      <c r="J853" s="70"/>
      <c r="K853" s="23"/>
      <c r="L853" s="70"/>
      <c r="M853" s="70"/>
      <c r="N853" s="23"/>
      <c r="O853" s="23"/>
      <c r="P853" s="23"/>
      <c r="Q853" s="23"/>
      <c r="R853" s="72"/>
      <c r="S853" s="23"/>
      <c r="T853" s="23"/>
      <c r="U853" s="23"/>
      <c r="V853" s="23"/>
      <c r="W853" s="23"/>
      <c r="X853" s="23"/>
      <c r="Y853" s="23"/>
      <c r="Z853" s="23"/>
      <c r="AA853" s="23"/>
      <c r="AB853" s="23"/>
      <c r="AC853" s="23"/>
      <c r="AD853" s="23"/>
      <c r="AE853" s="23"/>
    </row>
    <row r="854" spans="1:31">
      <c r="A854" s="23"/>
      <c r="B854" s="40"/>
      <c r="C854" s="40"/>
      <c r="D854" s="23"/>
      <c r="E854" s="23"/>
      <c r="F854" s="23"/>
      <c r="G854" s="23"/>
      <c r="H854" s="23"/>
      <c r="I854" s="40"/>
      <c r="J854" s="70"/>
      <c r="K854" s="23"/>
      <c r="L854" s="70"/>
      <c r="M854" s="70"/>
      <c r="N854" s="23"/>
      <c r="O854" s="23"/>
      <c r="P854" s="23"/>
      <c r="Q854" s="23"/>
      <c r="R854" s="72"/>
      <c r="S854" s="23"/>
      <c r="T854" s="23"/>
      <c r="U854" s="23"/>
      <c r="V854" s="23"/>
      <c r="W854" s="23"/>
      <c r="X854" s="23"/>
      <c r="Y854" s="23"/>
      <c r="Z854" s="23"/>
      <c r="AA854" s="23"/>
      <c r="AB854" s="23"/>
      <c r="AC854" s="23"/>
      <c r="AD854" s="23"/>
      <c r="AE854" s="23"/>
    </row>
    <row r="855" spans="1:31">
      <c r="A855" s="23"/>
      <c r="B855" s="40"/>
      <c r="C855" s="40"/>
      <c r="D855" s="23"/>
      <c r="E855" s="23"/>
      <c r="F855" s="23"/>
      <c r="G855" s="23"/>
      <c r="H855" s="23"/>
      <c r="I855" s="40"/>
      <c r="J855" s="70"/>
      <c r="K855" s="23"/>
      <c r="L855" s="70"/>
      <c r="M855" s="70"/>
      <c r="N855" s="23"/>
      <c r="O855" s="23"/>
      <c r="P855" s="23"/>
      <c r="Q855" s="23"/>
      <c r="R855" s="72"/>
      <c r="S855" s="23"/>
      <c r="T855" s="23"/>
      <c r="U855" s="23"/>
      <c r="V855" s="23"/>
      <c r="W855" s="23"/>
      <c r="X855" s="23"/>
      <c r="Y855" s="23"/>
      <c r="Z855" s="23"/>
      <c r="AA855" s="23"/>
      <c r="AB855" s="23"/>
      <c r="AC855" s="23"/>
      <c r="AD855" s="23"/>
      <c r="AE855" s="23"/>
    </row>
    <row r="856" spans="1:31" ht="24" customHeight="1">
      <c r="A856" s="23"/>
      <c r="B856" s="40"/>
      <c r="C856" s="40"/>
      <c r="D856" s="23"/>
      <c r="E856" s="23"/>
      <c r="F856" s="23"/>
      <c r="G856" s="40"/>
      <c r="H856" s="40"/>
      <c r="I856" s="40"/>
      <c r="J856" s="70"/>
      <c r="K856" s="23"/>
      <c r="L856" s="70"/>
      <c r="M856" s="70"/>
      <c r="N856" s="23"/>
      <c r="O856" s="23"/>
      <c r="P856" s="23"/>
      <c r="Q856" s="23"/>
      <c r="R856" s="72"/>
      <c r="S856" s="23"/>
      <c r="T856" s="23"/>
      <c r="U856" s="23"/>
      <c r="V856" s="23"/>
      <c r="W856" s="23"/>
      <c r="X856" s="23"/>
      <c r="Y856" s="23"/>
      <c r="Z856" s="23"/>
      <c r="AA856" s="23"/>
      <c r="AB856" s="23"/>
      <c r="AC856" s="23"/>
      <c r="AD856" s="23"/>
      <c r="AE856" s="23"/>
    </row>
    <row r="857" spans="1:31">
      <c r="A857" s="23"/>
      <c r="B857" s="40"/>
      <c r="C857" s="40"/>
      <c r="D857" s="23"/>
      <c r="E857" s="23"/>
      <c r="F857" s="23"/>
      <c r="G857" s="23"/>
      <c r="H857" s="40"/>
      <c r="I857" s="40"/>
      <c r="J857" s="70"/>
      <c r="K857" s="23"/>
      <c r="L857" s="70"/>
      <c r="M857" s="70"/>
      <c r="N857" s="23"/>
      <c r="O857" s="23"/>
      <c r="P857" s="23"/>
      <c r="Q857" s="23"/>
      <c r="R857" s="72"/>
      <c r="S857" s="23"/>
      <c r="T857" s="23"/>
      <c r="U857" s="23"/>
      <c r="V857" s="23"/>
      <c r="W857" s="23"/>
      <c r="X857" s="23"/>
      <c r="Y857" s="23"/>
      <c r="Z857" s="23"/>
      <c r="AA857" s="23"/>
      <c r="AB857" s="23"/>
      <c r="AC857" s="23"/>
      <c r="AD857" s="23"/>
      <c r="AE857" s="23"/>
    </row>
    <row r="858" spans="1:31">
      <c r="A858" s="23"/>
      <c r="B858" s="40"/>
      <c r="C858" s="40"/>
      <c r="D858" s="23"/>
      <c r="E858" s="23"/>
      <c r="F858" s="23"/>
      <c r="G858" s="23"/>
      <c r="H858" s="40"/>
      <c r="I858" s="40"/>
      <c r="J858" s="70"/>
      <c r="K858" s="23"/>
      <c r="L858" s="70"/>
      <c r="M858" s="70"/>
      <c r="N858" s="23"/>
      <c r="O858" s="23"/>
      <c r="P858" s="23"/>
      <c r="Q858" s="23"/>
      <c r="R858" s="72"/>
      <c r="S858" s="23"/>
      <c r="T858" s="23"/>
      <c r="U858" s="23"/>
      <c r="V858" s="23"/>
      <c r="W858" s="23"/>
      <c r="X858" s="23"/>
      <c r="Y858" s="23"/>
      <c r="Z858" s="23"/>
      <c r="AA858" s="23"/>
      <c r="AB858" s="23"/>
      <c r="AC858" s="23"/>
      <c r="AD858" s="23"/>
      <c r="AE858" s="23"/>
    </row>
    <row r="859" spans="1:31">
      <c r="A859" s="23"/>
      <c r="B859" s="40"/>
      <c r="C859" s="40"/>
      <c r="D859" s="23"/>
      <c r="E859" s="23"/>
      <c r="F859" s="23"/>
      <c r="G859" s="40"/>
      <c r="H859" s="40"/>
      <c r="I859" s="40"/>
      <c r="J859" s="70"/>
      <c r="K859" s="23"/>
      <c r="L859" s="70"/>
      <c r="M859" s="70"/>
      <c r="N859" s="23"/>
      <c r="O859" s="23"/>
      <c r="P859" s="23"/>
      <c r="Q859" s="23"/>
      <c r="R859" s="72"/>
      <c r="S859" s="23"/>
      <c r="T859" s="23"/>
      <c r="U859" s="23"/>
      <c r="V859" s="23"/>
      <c r="W859" s="23"/>
      <c r="X859" s="23"/>
      <c r="Y859" s="23"/>
      <c r="Z859" s="23"/>
      <c r="AA859" s="23"/>
      <c r="AB859" s="23"/>
      <c r="AC859" s="23"/>
      <c r="AD859" s="23"/>
      <c r="AE859" s="23"/>
    </row>
    <row r="860" spans="1:31">
      <c r="A860" s="23"/>
      <c r="B860" s="40"/>
      <c r="C860" s="40"/>
      <c r="D860" s="23"/>
      <c r="E860" s="23"/>
      <c r="F860" s="23"/>
      <c r="G860" s="23"/>
      <c r="H860" s="40"/>
      <c r="I860" s="40"/>
      <c r="J860" s="70"/>
      <c r="K860" s="23"/>
      <c r="L860" s="70"/>
      <c r="M860" s="70"/>
      <c r="N860" s="23"/>
      <c r="O860" s="23"/>
      <c r="P860" s="23"/>
      <c r="Q860" s="23"/>
      <c r="R860" s="72"/>
      <c r="S860" s="23"/>
      <c r="T860" s="23"/>
      <c r="U860" s="23"/>
      <c r="V860" s="23"/>
      <c r="W860" s="23"/>
      <c r="X860" s="23"/>
      <c r="Y860" s="23"/>
      <c r="Z860" s="23"/>
      <c r="AA860" s="23"/>
      <c r="AB860" s="23"/>
      <c r="AC860" s="23"/>
      <c r="AD860" s="23"/>
      <c r="AE860" s="23"/>
    </row>
    <row r="861" spans="1:31">
      <c r="A861" s="23"/>
      <c r="B861" s="40"/>
      <c r="C861" s="40"/>
      <c r="D861" s="23"/>
      <c r="E861" s="23"/>
      <c r="F861" s="23"/>
      <c r="G861" s="23"/>
      <c r="H861" s="40"/>
      <c r="I861" s="40"/>
      <c r="J861" s="70"/>
      <c r="K861" s="23"/>
      <c r="L861" s="70"/>
      <c r="M861" s="70"/>
      <c r="N861" s="23"/>
      <c r="O861" s="23"/>
      <c r="P861" s="23"/>
      <c r="Q861" s="23"/>
      <c r="R861" s="72"/>
      <c r="S861" s="23"/>
      <c r="T861" s="23"/>
      <c r="U861" s="23"/>
      <c r="V861" s="23"/>
      <c r="W861" s="23"/>
      <c r="X861" s="23"/>
      <c r="Y861" s="23"/>
      <c r="Z861" s="23"/>
      <c r="AA861" s="23"/>
      <c r="AB861" s="23"/>
      <c r="AC861" s="23"/>
      <c r="AD861" s="23"/>
      <c r="AE861" s="23"/>
    </row>
    <row r="862" spans="1:31">
      <c r="A862" s="23"/>
      <c r="B862" s="40"/>
      <c r="C862" s="40"/>
      <c r="D862" s="23"/>
      <c r="E862" s="23"/>
      <c r="F862" s="23"/>
      <c r="G862" s="40"/>
      <c r="H862" s="40"/>
      <c r="I862" s="40"/>
      <c r="J862" s="70"/>
      <c r="K862" s="23"/>
      <c r="L862" s="70"/>
      <c r="M862" s="70"/>
      <c r="N862" s="23"/>
      <c r="O862" s="23"/>
      <c r="P862" s="23"/>
      <c r="Q862" s="23"/>
      <c r="R862" s="72"/>
      <c r="S862" s="23"/>
      <c r="T862" s="23"/>
      <c r="U862" s="23"/>
      <c r="V862" s="23"/>
      <c r="W862" s="23"/>
      <c r="X862" s="23"/>
      <c r="Y862" s="23"/>
      <c r="Z862" s="23"/>
      <c r="AA862" s="23"/>
      <c r="AB862" s="23"/>
      <c r="AC862" s="23"/>
      <c r="AD862" s="23"/>
      <c r="AE862" s="23"/>
    </row>
    <row r="863" spans="1:31">
      <c r="A863" s="23"/>
      <c r="B863" s="40"/>
      <c r="C863" s="40"/>
      <c r="D863" s="23"/>
      <c r="E863" s="23"/>
      <c r="F863" s="23"/>
      <c r="G863" s="23"/>
      <c r="H863" s="23"/>
      <c r="I863" s="40"/>
      <c r="J863" s="70"/>
      <c r="K863" s="23"/>
      <c r="L863" s="70"/>
      <c r="M863" s="70"/>
      <c r="N863" s="23"/>
      <c r="O863" s="23"/>
      <c r="P863" s="23"/>
      <c r="Q863" s="23"/>
      <c r="R863" s="72"/>
      <c r="S863" s="23"/>
      <c r="T863" s="23"/>
      <c r="U863" s="23"/>
      <c r="V863" s="23"/>
      <c r="W863" s="23"/>
      <c r="X863" s="23"/>
      <c r="Y863" s="23"/>
      <c r="Z863" s="23"/>
      <c r="AA863" s="23"/>
      <c r="AB863" s="23"/>
      <c r="AC863" s="23"/>
      <c r="AD863" s="23"/>
      <c r="AE863" s="23"/>
    </row>
    <row r="864" spans="1:31">
      <c r="A864" s="23"/>
      <c r="B864" s="40"/>
      <c r="C864" s="40"/>
      <c r="D864" s="23"/>
      <c r="E864" s="23"/>
      <c r="F864" s="23"/>
      <c r="G864" s="23"/>
      <c r="H864" s="23"/>
      <c r="I864" s="40"/>
      <c r="J864" s="70"/>
      <c r="K864" s="23"/>
      <c r="L864" s="70"/>
      <c r="M864" s="70"/>
      <c r="N864" s="23"/>
      <c r="O864" s="23"/>
      <c r="P864" s="23"/>
      <c r="Q864" s="23"/>
      <c r="R864" s="72"/>
      <c r="S864" s="23"/>
      <c r="T864" s="23"/>
      <c r="U864" s="23"/>
      <c r="V864" s="23"/>
      <c r="W864" s="23"/>
      <c r="X864" s="23"/>
      <c r="Y864" s="23"/>
      <c r="Z864" s="23"/>
      <c r="AA864" s="23"/>
      <c r="AB864" s="23"/>
      <c r="AC864" s="23"/>
      <c r="AD864" s="23"/>
      <c r="AE864" s="23"/>
    </row>
    <row r="865" spans="1:31">
      <c r="A865" s="23"/>
      <c r="B865" s="40"/>
      <c r="C865" s="40"/>
      <c r="D865" s="23"/>
      <c r="E865" s="23"/>
      <c r="F865" s="23"/>
      <c r="G865" s="40"/>
      <c r="H865" s="23"/>
      <c r="I865" s="40"/>
      <c r="J865" s="70"/>
      <c r="K865" s="23"/>
      <c r="L865" s="70"/>
      <c r="M865" s="70"/>
      <c r="N865" s="23"/>
      <c r="O865" s="23"/>
      <c r="P865" s="23"/>
      <c r="Q865" s="23"/>
      <c r="R865" s="72"/>
      <c r="S865" s="23"/>
      <c r="T865" s="23"/>
      <c r="U865" s="23"/>
      <c r="V865" s="23"/>
      <c r="W865" s="23"/>
      <c r="X865" s="23"/>
      <c r="Y865" s="23"/>
      <c r="Z865" s="23"/>
      <c r="AA865" s="23"/>
      <c r="AB865" s="23"/>
      <c r="AC865" s="23"/>
      <c r="AD865" s="23"/>
      <c r="AE865" s="23"/>
    </row>
    <row r="866" spans="1:31">
      <c r="A866" s="23"/>
      <c r="B866" s="40"/>
      <c r="C866" s="40"/>
      <c r="D866" s="23"/>
      <c r="E866" s="23"/>
      <c r="F866" s="23"/>
      <c r="G866" s="23"/>
      <c r="H866" s="23"/>
      <c r="I866" s="40"/>
      <c r="J866" s="70"/>
      <c r="K866" s="23"/>
      <c r="L866" s="70"/>
      <c r="M866" s="70"/>
      <c r="N866" s="23"/>
      <c r="O866" s="23"/>
      <c r="P866" s="23"/>
      <c r="Q866" s="23"/>
      <c r="R866" s="72"/>
      <c r="S866" s="23"/>
      <c r="T866" s="23"/>
      <c r="U866" s="23"/>
      <c r="V866" s="23"/>
      <c r="W866" s="23"/>
      <c r="X866" s="23"/>
      <c r="Y866" s="23"/>
      <c r="Z866" s="23"/>
      <c r="AA866" s="23"/>
      <c r="AB866" s="23"/>
      <c r="AC866" s="23"/>
      <c r="AD866" s="23"/>
      <c r="AE866" s="23"/>
    </row>
    <row r="867" spans="1:31">
      <c r="A867" s="23"/>
      <c r="B867" s="40"/>
      <c r="C867" s="40"/>
      <c r="D867" s="23"/>
      <c r="E867" s="23"/>
      <c r="F867" s="23"/>
      <c r="G867" s="23"/>
      <c r="H867" s="23"/>
      <c r="I867" s="40"/>
      <c r="J867" s="70"/>
      <c r="K867" s="23"/>
      <c r="L867" s="70"/>
      <c r="M867" s="70"/>
      <c r="N867" s="23"/>
      <c r="O867" s="23"/>
      <c r="P867" s="23"/>
      <c r="Q867" s="23"/>
      <c r="R867" s="72"/>
      <c r="S867" s="23"/>
      <c r="T867" s="23"/>
      <c r="U867" s="23"/>
      <c r="V867" s="23"/>
      <c r="W867" s="23"/>
      <c r="X867" s="23"/>
      <c r="Y867" s="23"/>
      <c r="Z867" s="23"/>
      <c r="AA867" s="23"/>
      <c r="AB867" s="23"/>
      <c r="AC867" s="23"/>
      <c r="AD867" s="23"/>
      <c r="AE867" s="23"/>
    </row>
    <row r="868" spans="1:31">
      <c r="A868" s="23"/>
      <c r="B868" s="40"/>
      <c r="C868" s="40"/>
      <c r="D868" s="23"/>
      <c r="E868" s="23"/>
      <c r="F868" s="23"/>
      <c r="G868" s="40"/>
      <c r="H868" s="23"/>
      <c r="I868" s="40"/>
      <c r="J868" s="70"/>
      <c r="K868" s="23"/>
      <c r="L868" s="70"/>
      <c r="M868" s="70"/>
      <c r="N868" s="23"/>
      <c r="O868" s="23"/>
      <c r="P868" s="23"/>
      <c r="Q868" s="23"/>
      <c r="R868" s="72"/>
      <c r="S868" s="23"/>
      <c r="T868" s="23"/>
      <c r="U868" s="23"/>
      <c r="V868" s="23"/>
      <c r="W868" s="23"/>
      <c r="X868" s="23"/>
      <c r="Y868" s="23"/>
      <c r="Z868" s="23"/>
      <c r="AA868" s="23"/>
      <c r="AB868" s="23"/>
      <c r="AC868" s="23"/>
      <c r="AD868" s="23"/>
      <c r="AE868" s="23"/>
    </row>
    <row r="869" spans="1:31">
      <c r="A869" s="23"/>
      <c r="B869" s="40"/>
      <c r="C869" s="40"/>
      <c r="D869" s="23"/>
      <c r="E869" s="23"/>
      <c r="F869" s="23"/>
      <c r="G869" s="23"/>
      <c r="H869" s="23"/>
      <c r="I869" s="40"/>
      <c r="J869" s="70"/>
      <c r="K869" s="23"/>
      <c r="L869" s="70"/>
      <c r="M869" s="70"/>
      <c r="N869" s="23"/>
      <c r="O869" s="23"/>
      <c r="P869" s="23"/>
      <c r="Q869" s="23"/>
      <c r="R869" s="72"/>
      <c r="S869" s="23"/>
      <c r="T869" s="23"/>
      <c r="U869" s="23"/>
      <c r="V869" s="23"/>
      <c r="W869" s="23"/>
      <c r="X869" s="23"/>
      <c r="Y869" s="23"/>
      <c r="Z869" s="23"/>
      <c r="AA869" s="23"/>
      <c r="AB869" s="23"/>
      <c r="AC869" s="23"/>
      <c r="AD869" s="23"/>
      <c r="AE869" s="23"/>
    </row>
    <row r="870" spans="1:31">
      <c r="A870" s="23"/>
      <c r="B870" s="40"/>
      <c r="C870" s="40"/>
      <c r="D870" s="23"/>
      <c r="E870" s="23"/>
      <c r="F870" s="23"/>
      <c r="G870" s="23"/>
      <c r="H870" s="23"/>
      <c r="I870" s="40"/>
      <c r="J870" s="70"/>
      <c r="K870" s="23"/>
      <c r="L870" s="70"/>
      <c r="M870" s="70"/>
      <c r="N870" s="23"/>
      <c r="O870" s="23"/>
      <c r="P870" s="23"/>
      <c r="Q870" s="23"/>
      <c r="R870" s="72"/>
      <c r="S870" s="23"/>
      <c r="T870" s="23"/>
      <c r="U870" s="23"/>
      <c r="V870" s="23"/>
      <c r="W870" s="23"/>
      <c r="X870" s="23"/>
      <c r="Y870" s="23"/>
      <c r="Z870" s="23"/>
      <c r="AA870" s="23"/>
      <c r="AB870" s="23"/>
      <c r="AC870" s="23"/>
      <c r="AD870" s="23"/>
      <c r="AE870" s="23"/>
    </row>
    <row r="871" spans="1:31">
      <c r="A871" s="23"/>
      <c r="B871" s="40"/>
      <c r="C871" s="40"/>
      <c r="D871" s="23"/>
      <c r="E871" s="23"/>
      <c r="F871" s="23"/>
      <c r="G871" s="40"/>
      <c r="H871" s="23"/>
      <c r="I871" s="40"/>
      <c r="J871" s="70"/>
      <c r="K871" s="23"/>
      <c r="L871" s="70"/>
      <c r="M871" s="70"/>
      <c r="N871" s="23"/>
      <c r="O871" s="23"/>
      <c r="P871" s="23"/>
      <c r="Q871" s="23"/>
      <c r="R871" s="72"/>
      <c r="S871" s="23"/>
      <c r="T871" s="23"/>
      <c r="U871" s="23"/>
      <c r="V871" s="23"/>
      <c r="W871" s="23"/>
      <c r="X871" s="23"/>
      <c r="Y871" s="23"/>
      <c r="Z871" s="23"/>
      <c r="AA871" s="23"/>
      <c r="AB871" s="23"/>
      <c r="AC871" s="23"/>
      <c r="AD871" s="23"/>
      <c r="AE871" s="23"/>
    </row>
    <row r="872" spans="1:31">
      <c r="A872" s="23"/>
      <c r="B872" s="40"/>
      <c r="C872" s="40"/>
      <c r="D872" s="23"/>
      <c r="E872" s="23"/>
      <c r="F872" s="23"/>
      <c r="G872" s="23"/>
      <c r="H872" s="23"/>
      <c r="I872" s="40"/>
      <c r="J872" s="70"/>
      <c r="K872" s="23"/>
      <c r="L872" s="70"/>
      <c r="M872" s="70"/>
      <c r="N872" s="23"/>
      <c r="O872" s="23"/>
      <c r="P872" s="23"/>
      <c r="Q872" s="23"/>
      <c r="R872" s="72"/>
      <c r="S872" s="23"/>
      <c r="T872" s="23"/>
      <c r="U872" s="23"/>
      <c r="V872" s="23"/>
      <c r="W872" s="23"/>
      <c r="X872" s="23"/>
      <c r="Y872" s="23"/>
      <c r="Z872" s="23"/>
      <c r="AA872" s="23"/>
      <c r="AB872" s="23"/>
      <c r="AC872" s="23"/>
      <c r="AD872" s="23"/>
      <c r="AE872" s="23"/>
    </row>
    <row r="873" spans="1:31">
      <c r="A873" s="23"/>
      <c r="B873" s="40"/>
      <c r="C873" s="40"/>
      <c r="D873" s="23"/>
      <c r="E873" s="23"/>
      <c r="F873" s="23"/>
      <c r="G873" s="23"/>
      <c r="H873" s="23"/>
      <c r="I873" s="40"/>
      <c r="J873" s="70"/>
      <c r="K873" s="23"/>
      <c r="L873" s="70"/>
      <c r="M873" s="70"/>
      <c r="N873" s="23"/>
      <c r="O873" s="23"/>
      <c r="P873" s="23"/>
      <c r="Q873" s="23"/>
      <c r="R873" s="72"/>
      <c r="S873" s="23"/>
      <c r="T873" s="23"/>
      <c r="U873" s="23"/>
      <c r="V873" s="23"/>
      <c r="W873" s="23"/>
      <c r="X873" s="23"/>
      <c r="Y873" s="23"/>
      <c r="Z873" s="23"/>
      <c r="AA873" s="23"/>
      <c r="AB873" s="23"/>
      <c r="AC873" s="23"/>
      <c r="AD873" s="23"/>
      <c r="AE873" s="23"/>
    </row>
    <row r="874" spans="1:31">
      <c r="A874" s="23"/>
      <c r="B874" s="40"/>
      <c r="C874" s="40"/>
      <c r="D874" s="23"/>
      <c r="E874" s="23"/>
      <c r="F874" s="23"/>
      <c r="G874" s="40"/>
      <c r="H874" s="23"/>
      <c r="I874" s="40"/>
      <c r="J874" s="70"/>
      <c r="K874" s="23"/>
      <c r="L874" s="70"/>
      <c r="M874" s="70"/>
      <c r="N874" s="23"/>
      <c r="O874" s="23"/>
      <c r="P874" s="23"/>
      <c r="Q874" s="23"/>
      <c r="R874" s="72"/>
      <c r="S874" s="23"/>
      <c r="T874" s="23"/>
      <c r="U874" s="23"/>
      <c r="V874" s="23"/>
      <c r="W874" s="23"/>
      <c r="X874" s="23"/>
      <c r="Y874" s="23"/>
      <c r="Z874" s="23"/>
      <c r="AA874" s="23"/>
      <c r="AB874" s="23"/>
      <c r="AC874" s="23"/>
      <c r="AD874" s="23"/>
      <c r="AE874" s="23"/>
    </row>
    <row r="875" spans="1:31">
      <c r="A875" s="23"/>
      <c r="B875" s="40"/>
      <c r="C875" s="40"/>
      <c r="D875" s="23"/>
      <c r="E875" s="23"/>
      <c r="F875" s="23"/>
      <c r="G875" s="23"/>
      <c r="H875" s="23"/>
      <c r="I875" s="40"/>
      <c r="J875" s="70"/>
      <c r="K875" s="23"/>
      <c r="L875" s="70"/>
      <c r="M875" s="70"/>
      <c r="N875" s="23"/>
      <c r="O875" s="23"/>
      <c r="P875" s="23"/>
      <c r="Q875" s="23"/>
      <c r="R875" s="72"/>
      <c r="S875" s="23"/>
      <c r="T875" s="23"/>
      <c r="U875" s="23"/>
      <c r="V875" s="23"/>
      <c r="W875" s="23"/>
      <c r="X875" s="23"/>
      <c r="Y875" s="23"/>
      <c r="Z875" s="23"/>
      <c r="AA875" s="23"/>
      <c r="AB875" s="23"/>
      <c r="AC875" s="23"/>
      <c r="AD875" s="23"/>
      <c r="AE875" s="23"/>
    </row>
    <row r="876" spans="1:31">
      <c r="A876" s="23"/>
      <c r="B876" s="40"/>
      <c r="C876" s="40"/>
      <c r="D876" s="23"/>
      <c r="E876" s="23"/>
      <c r="F876" s="23"/>
      <c r="G876" s="23"/>
      <c r="H876" s="23"/>
      <c r="I876" s="40"/>
      <c r="J876" s="70"/>
      <c r="K876" s="23"/>
      <c r="L876" s="70"/>
      <c r="M876" s="70"/>
      <c r="N876" s="23"/>
      <c r="O876" s="23"/>
      <c r="P876" s="23"/>
      <c r="Q876" s="23"/>
      <c r="R876" s="72"/>
      <c r="S876" s="23"/>
      <c r="T876" s="23"/>
      <c r="U876" s="23"/>
      <c r="V876" s="23"/>
      <c r="W876" s="23"/>
      <c r="X876" s="23"/>
      <c r="Y876" s="23"/>
      <c r="Z876" s="23"/>
      <c r="AA876" s="23"/>
      <c r="AB876" s="23"/>
      <c r="AC876" s="23"/>
      <c r="AD876" s="23"/>
      <c r="AE876" s="23"/>
    </row>
    <row r="877" spans="1:31" ht="24" customHeight="1">
      <c r="A877" s="23"/>
      <c r="B877" s="40"/>
      <c r="C877" s="40"/>
      <c r="D877" s="23"/>
      <c r="E877" s="23"/>
      <c r="F877" s="23"/>
      <c r="G877" s="23"/>
      <c r="H877" s="40"/>
      <c r="I877" s="40"/>
      <c r="J877" s="70"/>
      <c r="K877" s="23"/>
      <c r="L877" s="70"/>
      <c r="M877" s="70"/>
      <c r="N877" s="23"/>
      <c r="O877" s="23"/>
      <c r="P877" s="23"/>
      <c r="Q877" s="23"/>
      <c r="R877" s="72"/>
      <c r="S877" s="23"/>
      <c r="T877" s="23"/>
      <c r="U877" s="23"/>
      <c r="V877" s="23"/>
      <c r="W877" s="23"/>
      <c r="X877" s="23"/>
      <c r="Y877" s="23"/>
      <c r="Z877" s="23"/>
      <c r="AA877" s="23"/>
      <c r="AB877" s="23"/>
      <c r="AC877" s="23"/>
      <c r="AD877" s="23"/>
      <c r="AE877" s="23"/>
    </row>
    <row r="878" spans="1:31">
      <c r="A878" s="23"/>
      <c r="B878" s="40"/>
      <c r="C878" s="40"/>
      <c r="D878" s="23"/>
      <c r="E878" s="23"/>
      <c r="F878" s="23"/>
      <c r="G878" s="23"/>
      <c r="H878" s="40"/>
      <c r="I878" s="40"/>
      <c r="J878" s="70"/>
      <c r="K878" s="23"/>
      <c r="L878" s="70"/>
      <c r="M878" s="70"/>
      <c r="N878" s="23"/>
      <c r="O878" s="23"/>
      <c r="P878" s="23"/>
      <c r="Q878" s="23"/>
      <c r="R878" s="72"/>
      <c r="S878" s="23"/>
      <c r="T878" s="23"/>
      <c r="U878" s="23"/>
      <c r="V878" s="23"/>
      <c r="W878" s="23"/>
      <c r="X878" s="23"/>
      <c r="Y878" s="23"/>
      <c r="Z878" s="23"/>
      <c r="AA878" s="23"/>
      <c r="AB878" s="23"/>
      <c r="AC878" s="23"/>
      <c r="AD878" s="23"/>
      <c r="AE878" s="23"/>
    </row>
    <row r="879" spans="1:31">
      <c r="A879" s="23"/>
      <c r="B879" s="40"/>
      <c r="C879" s="40"/>
      <c r="D879" s="23"/>
      <c r="E879" s="23"/>
      <c r="F879" s="23"/>
      <c r="G879" s="23"/>
      <c r="H879" s="40"/>
      <c r="I879" s="40"/>
      <c r="J879" s="70"/>
      <c r="K879" s="23"/>
      <c r="L879" s="70"/>
      <c r="M879" s="70"/>
      <c r="N879" s="23"/>
      <c r="O879" s="23"/>
      <c r="P879" s="23"/>
      <c r="Q879" s="23"/>
      <c r="R879" s="72"/>
      <c r="S879" s="23"/>
      <c r="T879" s="23"/>
      <c r="U879" s="23"/>
      <c r="V879" s="23"/>
      <c r="W879" s="23"/>
      <c r="X879" s="23"/>
      <c r="Y879" s="23"/>
      <c r="Z879" s="23"/>
      <c r="AA879" s="23"/>
      <c r="AB879" s="23"/>
      <c r="AC879" s="23"/>
      <c r="AD879" s="23"/>
      <c r="AE879" s="23"/>
    </row>
    <row r="880" spans="1:31">
      <c r="A880" s="23"/>
      <c r="B880" s="40"/>
      <c r="C880" s="40"/>
      <c r="D880" s="23"/>
      <c r="E880" s="23"/>
      <c r="F880" s="23"/>
      <c r="G880" s="23"/>
      <c r="H880" s="40"/>
      <c r="I880" s="40"/>
      <c r="J880" s="70"/>
      <c r="K880" s="23"/>
      <c r="L880" s="70"/>
      <c r="M880" s="70"/>
      <c r="N880" s="23"/>
      <c r="O880" s="23"/>
      <c r="P880" s="23"/>
      <c r="Q880" s="23"/>
      <c r="R880" s="72"/>
      <c r="S880" s="23"/>
      <c r="T880" s="23"/>
      <c r="U880" s="23"/>
      <c r="V880" s="23"/>
      <c r="W880" s="23"/>
      <c r="X880" s="23"/>
      <c r="Y880" s="23"/>
      <c r="Z880" s="23"/>
      <c r="AA880" s="23"/>
      <c r="AB880" s="23"/>
      <c r="AC880" s="23"/>
      <c r="AD880" s="23"/>
      <c r="AE880" s="23"/>
    </row>
    <row r="881" spans="1:31">
      <c r="A881" s="23"/>
      <c r="B881" s="40"/>
      <c r="C881" s="40"/>
      <c r="D881" s="23"/>
      <c r="E881" s="23"/>
      <c r="F881" s="23"/>
      <c r="G881" s="23"/>
      <c r="H881" s="40"/>
      <c r="I881" s="40"/>
      <c r="J881" s="70"/>
      <c r="K881" s="23"/>
      <c r="L881" s="70"/>
      <c r="M881" s="70"/>
      <c r="N881" s="23"/>
      <c r="O881" s="23"/>
      <c r="P881" s="23"/>
      <c r="Q881" s="23"/>
      <c r="R881" s="72"/>
      <c r="S881" s="23"/>
      <c r="T881" s="23"/>
      <c r="U881" s="23"/>
      <c r="V881" s="23"/>
      <c r="W881" s="23"/>
      <c r="X881" s="23"/>
      <c r="Y881" s="23"/>
      <c r="Z881" s="23"/>
      <c r="AA881" s="23"/>
      <c r="AB881" s="23"/>
      <c r="AC881" s="23"/>
      <c r="AD881" s="23"/>
      <c r="AE881" s="23"/>
    </row>
    <row r="882" spans="1:31">
      <c r="A882" s="23"/>
      <c r="B882" s="40"/>
      <c r="C882" s="40"/>
      <c r="D882" s="23"/>
      <c r="E882" s="23"/>
      <c r="F882" s="23"/>
      <c r="G882" s="23"/>
      <c r="H882" s="23"/>
      <c r="I882" s="40"/>
      <c r="J882" s="70"/>
      <c r="K882" s="23"/>
      <c r="L882" s="70"/>
      <c r="M882" s="70"/>
      <c r="N882" s="23"/>
      <c r="O882" s="23"/>
      <c r="P882" s="23"/>
      <c r="Q882" s="23"/>
      <c r="R882" s="72"/>
      <c r="S882" s="23"/>
      <c r="T882" s="23"/>
      <c r="U882" s="23"/>
      <c r="V882" s="23"/>
      <c r="W882" s="23"/>
      <c r="X882" s="23"/>
      <c r="Y882" s="23"/>
      <c r="Z882" s="23"/>
      <c r="AA882" s="23"/>
      <c r="AB882" s="23"/>
      <c r="AC882" s="23"/>
      <c r="AD882" s="23"/>
      <c r="AE882" s="23"/>
    </row>
    <row r="883" spans="1:31">
      <c r="A883" s="23"/>
      <c r="B883" s="40"/>
      <c r="C883" s="40"/>
      <c r="D883" s="23"/>
      <c r="E883" s="23"/>
      <c r="F883" s="23"/>
      <c r="G883" s="23"/>
      <c r="H883" s="23"/>
      <c r="I883" s="40"/>
      <c r="J883" s="70"/>
      <c r="K883" s="23"/>
      <c r="L883" s="70"/>
      <c r="M883" s="70"/>
      <c r="N883" s="23"/>
      <c r="O883" s="23"/>
      <c r="P883" s="23"/>
      <c r="Q883" s="23"/>
      <c r="R883" s="72"/>
      <c r="S883" s="23"/>
      <c r="T883" s="23"/>
      <c r="U883" s="23"/>
      <c r="V883" s="23"/>
      <c r="W883" s="23"/>
      <c r="X883" s="23"/>
      <c r="Y883" s="23"/>
      <c r="Z883" s="23"/>
      <c r="AA883" s="23"/>
      <c r="AB883" s="23"/>
      <c r="AC883" s="23"/>
      <c r="AD883" s="23"/>
      <c r="AE883" s="23"/>
    </row>
    <row r="884" spans="1:31" ht="24" customHeight="1">
      <c r="A884" s="23"/>
      <c r="B884" s="40"/>
      <c r="C884" s="40"/>
      <c r="D884" s="23"/>
      <c r="E884" s="23"/>
      <c r="F884" s="23"/>
      <c r="G884" s="23"/>
      <c r="H884" s="40"/>
      <c r="I884" s="40"/>
      <c r="J884" s="70"/>
      <c r="K884" s="23"/>
      <c r="L884" s="70"/>
      <c r="M884" s="70"/>
      <c r="N884" s="23"/>
      <c r="O884" s="23"/>
      <c r="P884" s="23"/>
      <c r="Q884" s="23"/>
      <c r="R884" s="72"/>
      <c r="S884" s="23"/>
      <c r="T884" s="23"/>
      <c r="U884" s="23"/>
      <c r="V884" s="23"/>
      <c r="W884" s="23"/>
      <c r="X884" s="23"/>
      <c r="Y884" s="23"/>
      <c r="Z884" s="23"/>
      <c r="AA884" s="23"/>
      <c r="AB884" s="23"/>
      <c r="AC884" s="23"/>
      <c r="AD884" s="23"/>
      <c r="AE884" s="23"/>
    </row>
    <row r="885" spans="1:31">
      <c r="A885" s="23"/>
      <c r="B885" s="40"/>
      <c r="C885" s="40"/>
      <c r="D885" s="23"/>
      <c r="E885" s="23"/>
      <c r="F885" s="23"/>
      <c r="G885" s="23"/>
      <c r="H885" s="40"/>
      <c r="I885" s="40"/>
      <c r="J885" s="70"/>
      <c r="K885" s="23"/>
      <c r="L885" s="70"/>
      <c r="M885" s="70"/>
      <c r="N885" s="23"/>
      <c r="O885" s="23"/>
      <c r="P885" s="23"/>
      <c r="Q885" s="23"/>
      <c r="R885" s="72"/>
      <c r="S885" s="23"/>
      <c r="T885" s="23"/>
      <c r="U885" s="23"/>
      <c r="V885" s="23"/>
      <c r="W885" s="23"/>
      <c r="X885" s="23"/>
      <c r="Y885" s="23"/>
      <c r="Z885" s="23"/>
      <c r="AA885" s="23"/>
      <c r="AB885" s="23"/>
      <c r="AC885" s="23"/>
      <c r="AD885" s="23"/>
      <c r="AE885" s="23"/>
    </row>
    <row r="886" spans="1:31">
      <c r="A886" s="23"/>
      <c r="B886" s="40"/>
      <c r="C886" s="40"/>
      <c r="D886" s="23"/>
      <c r="E886" s="23"/>
      <c r="F886" s="23"/>
      <c r="G886" s="23"/>
      <c r="H886" s="40"/>
      <c r="I886" s="40"/>
      <c r="J886" s="70"/>
      <c r="K886" s="23"/>
      <c r="L886" s="70"/>
      <c r="M886" s="70"/>
      <c r="N886" s="23"/>
      <c r="O886" s="23"/>
      <c r="P886" s="23"/>
      <c r="Q886" s="23"/>
      <c r="R886" s="72"/>
      <c r="S886" s="23"/>
      <c r="T886" s="23"/>
      <c r="U886" s="23"/>
      <c r="V886" s="23"/>
      <c r="W886" s="23"/>
      <c r="X886" s="23"/>
      <c r="Y886" s="23"/>
      <c r="Z886" s="23"/>
      <c r="AA886" s="23"/>
      <c r="AB886" s="23"/>
      <c r="AC886" s="23"/>
      <c r="AD886" s="23"/>
      <c r="AE886" s="23"/>
    </row>
    <row r="887" spans="1:31">
      <c r="A887" s="23"/>
      <c r="B887" s="40"/>
      <c r="C887" s="40"/>
      <c r="D887" s="23"/>
      <c r="E887" s="23"/>
      <c r="F887" s="23"/>
      <c r="G887" s="23"/>
      <c r="H887" s="40"/>
      <c r="I887" s="40"/>
      <c r="J887" s="70"/>
      <c r="K887" s="23"/>
      <c r="L887" s="70"/>
      <c r="M887" s="70"/>
      <c r="N887" s="23"/>
      <c r="O887" s="23"/>
      <c r="P887" s="23"/>
      <c r="Q887" s="23"/>
      <c r="R887" s="72"/>
      <c r="S887" s="23"/>
      <c r="T887" s="23"/>
      <c r="U887" s="23"/>
      <c r="V887" s="23"/>
      <c r="W887" s="23"/>
      <c r="X887" s="23"/>
      <c r="Y887" s="23"/>
      <c r="Z887" s="23"/>
      <c r="AA887" s="23"/>
      <c r="AB887" s="23"/>
      <c r="AC887" s="23"/>
      <c r="AD887" s="23"/>
      <c r="AE887" s="23"/>
    </row>
    <row r="888" spans="1:31">
      <c r="A888" s="23"/>
      <c r="B888" s="40"/>
      <c r="C888" s="40"/>
      <c r="D888" s="23"/>
      <c r="E888" s="23"/>
      <c r="F888" s="23"/>
      <c r="G888" s="23"/>
      <c r="H888" s="40"/>
      <c r="I888" s="40"/>
      <c r="J888" s="70"/>
      <c r="K888" s="23"/>
      <c r="L888" s="70"/>
      <c r="M888" s="70"/>
      <c r="N888" s="23"/>
      <c r="O888" s="23"/>
      <c r="P888" s="23"/>
      <c r="Q888" s="23"/>
      <c r="R888" s="72"/>
      <c r="S888" s="23"/>
      <c r="T888" s="23"/>
      <c r="U888" s="23"/>
      <c r="V888" s="23"/>
      <c r="W888" s="23"/>
      <c r="X888" s="23"/>
      <c r="Y888" s="23"/>
      <c r="Z888" s="23"/>
      <c r="AA888" s="23"/>
      <c r="AB888" s="23"/>
      <c r="AC888" s="23"/>
      <c r="AD888" s="23"/>
      <c r="AE888" s="23"/>
    </row>
    <row r="889" spans="1:31">
      <c r="A889" s="23"/>
      <c r="B889" s="40"/>
      <c r="C889" s="40"/>
      <c r="D889" s="23"/>
      <c r="E889" s="23"/>
      <c r="F889" s="23"/>
      <c r="G889" s="23"/>
      <c r="H889" s="40"/>
      <c r="I889" s="40"/>
      <c r="J889" s="70"/>
      <c r="K889" s="23"/>
      <c r="L889" s="70"/>
      <c r="M889" s="70"/>
      <c r="N889" s="23"/>
      <c r="O889" s="23"/>
      <c r="P889" s="23"/>
      <c r="Q889" s="23"/>
      <c r="R889" s="72"/>
      <c r="S889" s="23"/>
      <c r="T889" s="23"/>
      <c r="U889" s="23"/>
      <c r="V889" s="23"/>
      <c r="W889" s="23"/>
      <c r="X889" s="23"/>
      <c r="Y889" s="23"/>
      <c r="Z889" s="23"/>
      <c r="AA889" s="23"/>
      <c r="AB889" s="23"/>
      <c r="AC889" s="23"/>
      <c r="AD889" s="23"/>
      <c r="AE889" s="23"/>
    </row>
    <row r="890" spans="1:31">
      <c r="A890" s="23"/>
      <c r="B890" s="40"/>
      <c r="C890" s="40"/>
      <c r="D890" s="23"/>
      <c r="E890" s="23"/>
      <c r="F890" s="23"/>
      <c r="G890" s="23"/>
      <c r="H890" s="40"/>
      <c r="I890" s="40"/>
      <c r="J890" s="70"/>
      <c r="K890" s="23"/>
      <c r="L890" s="70"/>
      <c r="M890" s="70"/>
      <c r="N890" s="23"/>
      <c r="O890" s="23"/>
      <c r="P890" s="23"/>
      <c r="Q890" s="23"/>
      <c r="R890" s="72"/>
      <c r="S890" s="23"/>
      <c r="T890" s="23"/>
      <c r="U890" s="23"/>
      <c r="V890" s="23"/>
      <c r="W890" s="23"/>
      <c r="X890" s="23"/>
      <c r="Y890" s="23"/>
      <c r="Z890" s="23"/>
      <c r="AA890" s="23"/>
      <c r="AB890" s="23"/>
      <c r="AC890" s="23"/>
      <c r="AD890" s="23"/>
      <c r="AE890" s="23"/>
    </row>
    <row r="891" spans="1:31">
      <c r="A891" s="23"/>
      <c r="B891" s="40"/>
      <c r="C891" s="40"/>
      <c r="D891" s="23"/>
      <c r="E891" s="23"/>
      <c r="F891" s="23"/>
      <c r="G891" s="23"/>
      <c r="H891" s="23"/>
      <c r="I891" s="40"/>
      <c r="J891" s="70"/>
      <c r="K891" s="23"/>
      <c r="L891" s="70"/>
      <c r="M891" s="70"/>
      <c r="N891" s="23"/>
      <c r="O891" s="23"/>
      <c r="P891" s="23"/>
      <c r="Q891" s="23"/>
      <c r="R891" s="72"/>
      <c r="S891" s="23"/>
      <c r="T891" s="23"/>
      <c r="U891" s="23"/>
      <c r="V891" s="23"/>
      <c r="W891" s="23"/>
      <c r="X891" s="23"/>
      <c r="Y891" s="23"/>
      <c r="Z891" s="23"/>
      <c r="AA891" s="23"/>
      <c r="AB891" s="23"/>
      <c r="AC891" s="23"/>
      <c r="AD891" s="23"/>
      <c r="AE891" s="23"/>
    </row>
    <row r="892" spans="1:31">
      <c r="A892" s="23"/>
      <c r="B892" s="40"/>
      <c r="C892" s="40"/>
      <c r="D892" s="23"/>
      <c r="E892" s="23"/>
      <c r="F892" s="23"/>
      <c r="G892" s="23"/>
      <c r="H892" s="23"/>
      <c r="I892" s="40"/>
      <c r="J892" s="70"/>
      <c r="K892" s="23"/>
      <c r="L892" s="70"/>
      <c r="M892" s="70"/>
      <c r="N892" s="23"/>
      <c r="O892" s="23"/>
      <c r="P892" s="23"/>
      <c r="Q892" s="23"/>
      <c r="R892" s="72"/>
      <c r="S892" s="23"/>
      <c r="T892" s="23"/>
      <c r="U892" s="23"/>
      <c r="V892" s="23"/>
      <c r="W892" s="23"/>
      <c r="X892" s="23"/>
      <c r="Y892" s="23"/>
      <c r="Z892" s="23"/>
      <c r="AA892" s="23"/>
      <c r="AB892" s="23"/>
      <c r="AC892" s="23"/>
      <c r="AD892" s="23"/>
      <c r="AE892" s="23"/>
    </row>
    <row r="893" spans="1:31" ht="24" customHeight="1">
      <c r="A893" s="23"/>
      <c r="B893" s="40"/>
      <c r="C893" s="40"/>
      <c r="D893" s="23"/>
      <c r="E893" s="23"/>
      <c r="F893" s="23"/>
      <c r="G893" s="23"/>
      <c r="H893" s="40"/>
      <c r="I893" s="40"/>
      <c r="J893" s="70"/>
      <c r="K893" s="23"/>
      <c r="L893" s="70"/>
      <c r="M893" s="70"/>
      <c r="N893" s="23"/>
      <c r="O893" s="23"/>
      <c r="P893" s="23"/>
      <c r="Q893" s="23"/>
      <c r="R893" s="72"/>
      <c r="S893" s="23"/>
      <c r="T893" s="23"/>
      <c r="U893" s="23"/>
      <c r="V893" s="23"/>
      <c r="W893" s="23"/>
      <c r="X893" s="23"/>
      <c r="Y893" s="23"/>
      <c r="Z893" s="23"/>
      <c r="AA893" s="23"/>
      <c r="AB893" s="23"/>
      <c r="AC893" s="23"/>
      <c r="AD893" s="23"/>
      <c r="AE893" s="23"/>
    </row>
    <row r="894" spans="1:31">
      <c r="A894" s="23"/>
      <c r="B894" s="40"/>
      <c r="C894" s="40"/>
      <c r="D894" s="23"/>
      <c r="E894" s="23"/>
      <c r="F894" s="23"/>
      <c r="G894" s="23"/>
      <c r="H894" s="40"/>
      <c r="I894" s="40"/>
      <c r="J894" s="70"/>
      <c r="K894" s="23"/>
      <c r="L894" s="70"/>
      <c r="M894" s="70"/>
      <c r="N894" s="23"/>
      <c r="O894" s="23"/>
      <c r="P894" s="23"/>
      <c r="Q894" s="23"/>
      <c r="R894" s="72"/>
      <c r="S894" s="23"/>
      <c r="T894" s="23"/>
      <c r="U894" s="23"/>
      <c r="V894" s="23"/>
      <c r="W894" s="23"/>
      <c r="X894" s="23"/>
      <c r="Y894" s="23"/>
      <c r="Z894" s="23"/>
      <c r="AA894" s="23"/>
      <c r="AB894" s="23"/>
      <c r="AC894" s="23"/>
      <c r="AD894" s="23"/>
      <c r="AE894" s="23"/>
    </row>
    <row r="895" spans="1:31">
      <c r="A895" s="23"/>
      <c r="B895" s="40"/>
      <c r="C895" s="40"/>
      <c r="D895" s="23"/>
      <c r="E895" s="23"/>
      <c r="F895" s="23"/>
      <c r="G895" s="23"/>
      <c r="H895" s="40"/>
      <c r="I895" s="40"/>
      <c r="J895" s="70"/>
      <c r="K895" s="23"/>
      <c r="L895" s="70"/>
      <c r="M895" s="70"/>
      <c r="N895" s="23"/>
      <c r="O895" s="23"/>
      <c r="P895" s="23"/>
      <c r="Q895" s="23"/>
      <c r="R895" s="72"/>
      <c r="S895" s="23"/>
      <c r="T895" s="23"/>
      <c r="U895" s="23"/>
      <c r="V895" s="23"/>
      <c r="W895" s="23"/>
      <c r="X895" s="23"/>
      <c r="Y895" s="23"/>
      <c r="Z895" s="23"/>
      <c r="AA895" s="23"/>
      <c r="AB895" s="23"/>
      <c r="AC895" s="23"/>
      <c r="AD895" s="23"/>
      <c r="AE895" s="23"/>
    </row>
    <row r="896" spans="1:31">
      <c r="A896" s="23"/>
      <c r="B896" s="40"/>
      <c r="C896" s="40"/>
      <c r="D896" s="23"/>
      <c r="E896" s="23"/>
      <c r="F896" s="23"/>
      <c r="G896" s="23"/>
      <c r="H896" s="40"/>
      <c r="I896" s="40"/>
      <c r="J896" s="70"/>
      <c r="K896" s="23"/>
      <c r="L896" s="70"/>
      <c r="M896" s="70"/>
      <c r="N896" s="23"/>
      <c r="O896" s="23"/>
      <c r="P896" s="23"/>
      <c r="Q896" s="23"/>
      <c r="R896" s="72"/>
      <c r="S896" s="23"/>
      <c r="T896" s="23"/>
      <c r="U896" s="23"/>
      <c r="V896" s="23"/>
      <c r="W896" s="23"/>
      <c r="X896" s="23"/>
      <c r="Y896" s="23"/>
      <c r="Z896" s="23"/>
      <c r="AA896" s="23"/>
      <c r="AB896" s="23"/>
      <c r="AC896" s="23"/>
      <c r="AD896" s="23"/>
      <c r="AE896" s="23"/>
    </row>
    <row r="897" spans="1:31">
      <c r="A897" s="23"/>
      <c r="B897" s="40"/>
      <c r="C897" s="40"/>
      <c r="D897" s="23"/>
      <c r="E897" s="23"/>
      <c r="F897" s="23"/>
      <c r="G897" s="23"/>
      <c r="H897" s="40"/>
      <c r="I897" s="40"/>
      <c r="J897" s="70"/>
      <c r="K897" s="23"/>
      <c r="L897" s="70"/>
      <c r="M897" s="70"/>
      <c r="N897" s="23"/>
      <c r="O897" s="23"/>
      <c r="P897" s="23"/>
      <c r="Q897" s="23"/>
      <c r="R897" s="72"/>
      <c r="S897" s="23"/>
      <c r="T897" s="23"/>
      <c r="U897" s="23"/>
      <c r="V897" s="23"/>
      <c r="W897" s="23"/>
      <c r="X897" s="23"/>
      <c r="Y897" s="23"/>
      <c r="Z897" s="23"/>
      <c r="AA897" s="23"/>
      <c r="AB897" s="23"/>
      <c r="AC897" s="23"/>
      <c r="AD897" s="23"/>
      <c r="AE897" s="23"/>
    </row>
    <row r="898" spans="1:31">
      <c r="A898" s="23"/>
      <c r="B898" s="40"/>
      <c r="C898" s="40"/>
      <c r="D898" s="23"/>
      <c r="E898" s="23"/>
      <c r="F898" s="23"/>
      <c r="G898" s="23"/>
      <c r="H898" s="23"/>
      <c r="I898" s="40"/>
      <c r="J898" s="70"/>
      <c r="K898" s="23"/>
      <c r="L898" s="70"/>
      <c r="M898" s="70"/>
      <c r="N898" s="23"/>
      <c r="O898" s="23"/>
      <c r="P898" s="23"/>
      <c r="Q898" s="23"/>
      <c r="R898" s="72"/>
      <c r="S898" s="23"/>
      <c r="T898" s="23"/>
      <c r="U898" s="23"/>
      <c r="V898" s="23"/>
      <c r="W898" s="23"/>
      <c r="X898" s="23"/>
      <c r="Y898" s="23"/>
      <c r="Z898" s="23"/>
      <c r="AA898" s="23"/>
      <c r="AB898" s="23"/>
      <c r="AC898" s="23"/>
      <c r="AD898" s="23"/>
      <c r="AE898" s="23"/>
    </row>
    <row r="899" spans="1:31">
      <c r="A899" s="23"/>
      <c r="B899" s="40"/>
      <c r="C899" s="40"/>
      <c r="D899" s="23"/>
      <c r="E899" s="23"/>
      <c r="F899" s="23"/>
      <c r="G899" s="23"/>
      <c r="H899" s="23"/>
      <c r="I899" s="40"/>
      <c r="J899" s="70"/>
      <c r="K899" s="23"/>
      <c r="L899" s="70"/>
      <c r="M899" s="70"/>
      <c r="N899" s="23"/>
      <c r="O899" s="23"/>
      <c r="P899" s="23"/>
      <c r="Q899" s="23"/>
      <c r="R899" s="72"/>
      <c r="S899" s="23"/>
      <c r="T899" s="23"/>
      <c r="U899" s="23"/>
      <c r="V899" s="23"/>
      <c r="W899" s="23"/>
      <c r="X899" s="23"/>
      <c r="Y899" s="23"/>
      <c r="Z899" s="23"/>
      <c r="AA899" s="23"/>
      <c r="AB899" s="23"/>
      <c r="AC899" s="23"/>
      <c r="AD899" s="23"/>
      <c r="AE899" s="23"/>
    </row>
    <row r="900" spans="1:31" ht="24" customHeight="1">
      <c r="A900" s="23"/>
      <c r="B900" s="40"/>
      <c r="C900" s="40"/>
      <c r="D900" s="23"/>
      <c r="E900" s="23"/>
      <c r="F900" s="23"/>
      <c r="G900" s="23"/>
      <c r="H900" s="40"/>
      <c r="I900" s="40"/>
      <c r="J900" s="70"/>
      <c r="K900" s="23"/>
      <c r="L900" s="70"/>
      <c r="M900" s="70"/>
      <c r="N900" s="23"/>
      <c r="O900" s="23"/>
      <c r="P900" s="23"/>
      <c r="Q900" s="23"/>
      <c r="R900" s="72"/>
      <c r="S900" s="23"/>
      <c r="T900" s="23"/>
      <c r="U900" s="23"/>
      <c r="V900" s="23"/>
      <c r="W900" s="23"/>
      <c r="X900" s="23"/>
      <c r="Y900" s="23"/>
      <c r="Z900" s="23"/>
      <c r="AA900" s="23"/>
      <c r="AB900" s="23"/>
      <c r="AC900" s="23"/>
      <c r="AD900" s="23"/>
      <c r="AE900" s="23"/>
    </row>
    <row r="901" spans="1:31">
      <c r="A901" s="23"/>
      <c r="B901" s="40"/>
      <c r="C901" s="40"/>
      <c r="D901" s="23"/>
      <c r="E901" s="23"/>
      <c r="F901" s="23"/>
      <c r="G901" s="23"/>
      <c r="H901" s="40"/>
      <c r="I901" s="40"/>
      <c r="J901" s="70"/>
      <c r="K901" s="23"/>
      <c r="L901" s="70"/>
      <c r="M901" s="70"/>
      <c r="N901" s="23"/>
      <c r="O901" s="23"/>
      <c r="P901" s="23"/>
      <c r="Q901" s="23"/>
      <c r="R901" s="72"/>
      <c r="S901" s="23"/>
      <c r="T901" s="23"/>
      <c r="U901" s="23"/>
      <c r="V901" s="23"/>
      <c r="W901" s="23"/>
      <c r="X901" s="23"/>
      <c r="Y901" s="23"/>
      <c r="Z901" s="23"/>
      <c r="AA901" s="23"/>
      <c r="AB901" s="23"/>
      <c r="AC901" s="23"/>
      <c r="AD901" s="23"/>
      <c r="AE901" s="23"/>
    </row>
    <row r="902" spans="1:31">
      <c r="A902" s="23"/>
      <c r="B902" s="40"/>
      <c r="C902" s="40"/>
      <c r="D902" s="23"/>
      <c r="E902" s="23"/>
      <c r="F902" s="23"/>
      <c r="G902" s="23"/>
      <c r="H902" s="40"/>
      <c r="I902" s="40"/>
      <c r="J902" s="70"/>
      <c r="K902" s="23"/>
      <c r="L902" s="70"/>
      <c r="M902" s="70"/>
      <c r="N902" s="23"/>
      <c r="O902" s="23"/>
      <c r="P902" s="23"/>
      <c r="Q902" s="23"/>
      <c r="R902" s="72"/>
      <c r="S902" s="23"/>
      <c r="T902" s="23"/>
      <c r="U902" s="23"/>
      <c r="V902" s="23"/>
      <c r="W902" s="23"/>
      <c r="X902" s="23"/>
      <c r="Y902" s="23"/>
      <c r="Z902" s="23"/>
      <c r="AA902" s="23"/>
      <c r="AB902" s="23"/>
      <c r="AC902" s="23"/>
      <c r="AD902" s="23"/>
      <c r="AE902" s="23"/>
    </row>
    <row r="903" spans="1:31">
      <c r="A903" s="23"/>
      <c r="B903" s="40"/>
      <c r="C903" s="40"/>
      <c r="D903" s="23"/>
      <c r="E903" s="23"/>
      <c r="F903" s="23"/>
      <c r="G903" s="23"/>
      <c r="H903" s="40"/>
      <c r="I903" s="40"/>
      <c r="J903" s="70"/>
      <c r="K903" s="23"/>
      <c r="L903" s="70"/>
      <c r="M903" s="70"/>
      <c r="N903" s="23"/>
      <c r="O903" s="23"/>
      <c r="P903" s="23"/>
      <c r="Q903" s="23"/>
      <c r="R903" s="72"/>
      <c r="S903" s="23"/>
      <c r="T903" s="23"/>
      <c r="U903" s="23"/>
      <c r="V903" s="23"/>
      <c r="W903" s="23"/>
      <c r="X903" s="23"/>
      <c r="Y903" s="23"/>
      <c r="Z903" s="23"/>
      <c r="AA903" s="23"/>
      <c r="AB903" s="23"/>
      <c r="AC903" s="23"/>
      <c r="AD903" s="23"/>
      <c r="AE903" s="23"/>
    </row>
    <row r="904" spans="1:31">
      <c r="A904" s="23"/>
      <c r="B904" s="40"/>
      <c r="C904" s="40"/>
      <c r="D904" s="23"/>
      <c r="E904" s="23"/>
      <c r="F904" s="23"/>
      <c r="G904" s="23"/>
      <c r="H904" s="40"/>
      <c r="I904" s="40"/>
      <c r="J904" s="70"/>
      <c r="K904" s="23"/>
      <c r="L904" s="70"/>
      <c r="M904" s="70"/>
      <c r="N904" s="23"/>
      <c r="O904" s="23"/>
      <c r="P904" s="23"/>
      <c r="Q904" s="23"/>
      <c r="R904" s="72"/>
      <c r="S904" s="23"/>
      <c r="T904" s="23"/>
      <c r="U904" s="23"/>
      <c r="V904" s="23"/>
      <c r="W904" s="23"/>
      <c r="X904" s="23"/>
      <c r="Y904" s="23"/>
      <c r="Z904" s="23"/>
      <c r="AA904" s="23"/>
      <c r="AB904" s="23"/>
      <c r="AC904" s="23"/>
      <c r="AD904" s="23"/>
      <c r="AE904" s="23"/>
    </row>
    <row r="905" spans="1:31">
      <c r="A905" s="23"/>
      <c r="B905" s="40"/>
      <c r="C905" s="40"/>
      <c r="D905" s="23"/>
      <c r="E905" s="23"/>
      <c r="F905" s="23"/>
      <c r="G905" s="23"/>
      <c r="H905" s="40"/>
      <c r="I905" s="40"/>
      <c r="J905" s="70"/>
      <c r="K905" s="23"/>
      <c r="L905" s="70"/>
      <c r="M905" s="70"/>
      <c r="N905" s="23"/>
      <c r="O905" s="23"/>
      <c r="P905" s="23"/>
      <c r="Q905" s="23"/>
      <c r="R905" s="72"/>
      <c r="S905" s="23"/>
      <c r="T905" s="23"/>
      <c r="U905" s="23"/>
      <c r="V905" s="23"/>
      <c r="W905" s="23"/>
      <c r="X905" s="23"/>
      <c r="Y905" s="23"/>
      <c r="Z905" s="23"/>
      <c r="AA905" s="23"/>
      <c r="AB905" s="23"/>
      <c r="AC905" s="23"/>
      <c r="AD905" s="23"/>
      <c r="AE905" s="23"/>
    </row>
    <row r="906" spans="1:31">
      <c r="A906" s="23"/>
      <c r="B906" s="40"/>
      <c r="C906" s="40"/>
      <c r="D906" s="23"/>
      <c r="E906" s="23"/>
      <c r="F906" s="23"/>
      <c r="G906" s="23"/>
      <c r="H906" s="40"/>
      <c r="I906" s="40"/>
      <c r="J906" s="70"/>
      <c r="K906" s="23"/>
      <c r="L906" s="70"/>
      <c r="M906" s="70"/>
      <c r="N906" s="23"/>
      <c r="O906" s="23"/>
      <c r="P906" s="23"/>
      <c r="Q906" s="23"/>
      <c r="R906" s="72"/>
      <c r="S906" s="23"/>
      <c r="T906" s="23"/>
      <c r="U906" s="23"/>
      <c r="V906" s="23"/>
      <c r="W906" s="23"/>
      <c r="X906" s="23"/>
      <c r="Y906" s="23"/>
      <c r="Z906" s="23"/>
      <c r="AA906" s="23"/>
      <c r="AB906" s="23"/>
      <c r="AC906" s="23"/>
      <c r="AD906" s="23"/>
      <c r="AE906" s="23"/>
    </row>
    <row r="907" spans="1:31">
      <c r="A907" s="23"/>
      <c r="B907" s="40"/>
      <c r="C907" s="40"/>
      <c r="D907" s="23"/>
      <c r="E907" s="23"/>
      <c r="F907" s="23"/>
      <c r="G907" s="23"/>
      <c r="H907" s="23"/>
      <c r="I907" s="40"/>
      <c r="J907" s="70"/>
      <c r="K907" s="23"/>
      <c r="L907" s="70"/>
      <c r="M907" s="70"/>
      <c r="N907" s="23"/>
      <c r="O907" s="23"/>
      <c r="P907" s="23"/>
      <c r="Q907" s="23"/>
      <c r="R907" s="72"/>
      <c r="S907" s="23"/>
      <c r="T907" s="23"/>
      <c r="U907" s="23"/>
      <c r="V907" s="23"/>
      <c r="W907" s="23"/>
      <c r="X907" s="23"/>
      <c r="Y907" s="23"/>
      <c r="Z907" s="23"/>
      <c r="AA907" s="23"/>
      <c r="AB907" s="23"/>
      <c r="AC907" s="23"/>
      <c r="AD907" s="23"/>
      <c r="AE907" s="23"/>
    </row>
    <row r="908" spans="1:31">
      <c r="A908" s="23"/>
      <c r="B908" s="40"/>
      <c r="C908" s="40"/>
      <c r="D908" s="23"/>
      <c r="E908" s="23"/>
      <c r="F908" s="23"/>
      <c r="G908" s="23"/>
      <c r="H908" s="23"/>
      <c r="I908" s="40"/>
      <c r="J908" s="70"/>
      <c r="K908" s="23"/>
      <c r="L908" s="70"/>
      <c r="M908" s="70"/>
      <c r="N908" s="23"/>
      <c r="O908" s="23"/>
      <c r="P908" s="23"/>
      <c r="Q908" s="23"/>
      <c r="R908" s="72"/>
      <c r="S908" s="23"/>
      <c r="T908" s="23"/>
      <c r="U908" s="23"/>
      <c r="V908" s="23"/>
      <c r="W908" s="23"/>
      <c r="X908" s="23"/>
      <c r="Y908" s="23"/>
      <c r="Z908" s="23"/>
      <c r="AA908" s="23"/>
      <c r="AB908" s="23"/>
      <c r="AC908" s="23"/>
      <c r="AD908" s="23"/>
      <c r="AE908" s="23"/>
    </row>
    <row r="909" spans="1:31">
      <c r="A909" s="23"/>
      <c r="B909" s="40"/>
      <c r="C909" s="40"/>
      <c r="D909" s="23"/>
      <c r="E909" s="23"/>
      <c r="F909" s="23"/>
      <c r="G909" s="23"/>
      <c r="H909" s="23"/>
      <c r="I909" s="40"/>
      <c r="J909" s="70"/>
      <c r="K909" s="23"/>
      <c r="L909" s="70"/>
      <c r="M909" s="70"/>
      <c r="N909" s="23"/>
      <c r="O909" s="23"/>
      <c r="P909" s="23"/>
      <c r="Q909" s="23"/>
      <c r="R909" s="72"/>
      <c r="S909" s="23"/>
      <c r="T909" s="23"/>
      <c r="U909" s="23"/>
      <c r="V909" s="23"/>
      <c r="W909" s="23"/>
      <c r="X909" s="23"/>
      <c r="Y909" s="23"/>
      <c r="Z909" s="23"/>
      <c r="AA909" s="23"/>
      <c r="AB909" s="23"/>
      <c r="AC909" s="23"/>
      <c r="AD909" s="23"/>
      <c r="AE909" s="23"/>
    </row>
    <row r="910" spans="1:31">
      <c r="A910" s="23"/>
      <c r="B910" s="40"/>
      <c r="C910" s="40"/>
      <c r="D910" s="23"/>
      <c r="E910" s="23"/>
      <c r="F910" s="23"/>
      <c r="G910" s="23"/>
      <c r="H910" s="23"/>
      <c r="I910" s="40"/>
      <c r="J910" s="70"/>
      <c r="K910" s="23"/>
      <c r="L910" s="70"/>
      <c r="M910" s="70"/>
      <c r="N910" s="23"/>
      <c r="O910" s="23"/>
      <c r="P910" s="23"/>
      <c r="Q910" s="23"/>
      <c r="R910" s="72"/>
      <c r="S910" s="23"/>
      <c r="T910" s="23"/>
      <c r="U910" s="23"/>
      <c r="V910" s="23"/>
      <c r="W910" s="23"/>
      <c r="X910" s="23"/>
      <c r="Y910" s="23"/>
      <c r="Z910" s="23"/>
      <c r="AA910" s="23"/>
      <c r="AB910" s="23"/>
      <c r="AC910" s="23"/>
      <c r="AD910" s="23"/>
      <c r="AE910" s="23"/>
    </row>
    <row r="911" spans="1:31">
      <c r="A911" s="23"/>
      <c r="B911" s="40"/>
      <c r="C911" s="40"/>
      <c r="D911" s="23"/>
      <c r="E911" s="23"/>
      <c r="F911" s="23"/>
      <c r="G911" s="23"/>
      <c r="H911" s="23"/>
      <c r="I911" s="40"/>
      <c r="J911" s="70"/>
      <c r="K911" s="23"/>
      <c r="L911" s="70"/>
      <c r="M911" s="70"/>
      <c r="N911" s="23"/>
      <c r="O911" s="23"/>
      <c r="P911" s="23"/>
      <c r="Q911" s="23"/>
      <c r="R911" s="72"/>
      <c r="S911" s="23"/>
      <c r="T911" s="23"/>
      <c r="U911" s="23"/>
      <c r="V911" s="23"/>
      <c r="W911" s="23"/>
      <c r="X911" s="23"/>
      <c r="Y911" s="23"/>
      <c r="Z911" s="23"/>
      <c r="AA911" s="23"/>
      <c r="AB911" s="23"/>
      <c r="AC911" s="23"/>
      <c r="AD911" s="23"/>
      <c r="AE911" s="23"/>
    </row>
    <row r="912" spans="1:31">
      <c r="A912" s="23"/>
      <c r="B912" s="40"/>
      <c r="C912" s="40"/>
      <c r="D912" s="23"/>
      <c r="E912" s="23"/>
      <c r="F912" s="23"/>
      <c r="G912" s="23"/>
      <c r="H912" s="23"/>
      <c r="I912" s="40"/>
      <c r="J912" s="70"/>
      <c r="K912" s="23"/>
      <c r="L912" s="70"/>
      <c r="M912" s="70"/>
      <c r="N912" s="23"/>
      <c r="O912" s="23"/>
      <c r="P912" s="23"/>
      <c r="Q912" s="23"/>
      <c r="R912" s="72"/>
      <c r="S912" s="23"/>
      <c r="T912" s="23"/>
      <c r="U912" s="23"/>
      <c r="V912" s="23"/>
      <c r="W912" s="23"/>
      <c r="X912" s="23"/>
      <c r="Y912" s="23"/>
      <c r="Z912" s="23"/>
      <c r="AA912" s="23"/>
      <c r="AB912" s="23"/>
      <c r="AC912" s="23"/>
      <c r="AD912" s="23"/>
      <c r="AE912" s="23"/>
    </row>
    <row r="913" spans="1:31">
      <c r="A913" s="23"/>
      <c r="B913" s="40"/>
      <c r="C913" s="40"/>
      <c r="D913" s="23"/>
      <c r="E913" s="23"/>
      <c r="F913" s="23"/>
      <c r="G913" s="23"/>
      <c r="H913" s="23"/>
      <c r="I913" s="40"/>
      <c r="J913" s="70"/>
      <c r="K913" s="23"/>
      <c r="L913" s="70"/>
      <c r="M913" s="70"/>
      <c r="N913" s="23"/>
      <c r="O913" s="23"/>
      <c r="P913" s="23"/>
      <c r="Q913" s="23"/>
      <c r="R913" s="72"/>
      <c r="S913" s="23"/>
      <c r="T913" s="23"/>
      <c r="U913" s="23"/>
      <c r="V913" s="23"/>
      <c r="W913" s="23"/>
      <c r="X913" s="23"/>
      <c r="Y913" s="23"/>
      <c r="Z913" s="23"/>
      <c r="AA913" s="23"/>
      <c r="AB913" s="23"/>
      <c r="AC913" s="23"/>
      <c r="AD913" s="23"/>
      <c r="AE913" s="23"/>
    </row>
    <row r="914" spans="1:31">
      <c r="A914" s="23"/>
      <c r="B914" s="40"/>
      <c r="C914" s="40"/>
      <c r="D914" s="23"/>
      <c r="E914" s="23"/>
      <c r="F914" s="23"/>
      <c r="G914" s="23"/>
      <c r="H914" s="23"/>
      <c r="I914" s="40"/>
      <c r="J914" s="70"/>
      <c r="K914" s="23"/>
      <c r="L914" s="70"/>
      <c r="M914" s="70"/>
      <c r="N914" s="23"/>
      <c r="O914" s="23"/>
      <c r="P914" s="23"/>
      <c r="Q914" s="23"/>
      <c r="R914" s="72"/>
      <c r="S914" s="23"/>
      <c r="T914" s="23"/>
      <c r="U914" s="23"/>
      <c r="V914" s="23"/>
      <c r="W914" s="23"/>
      <c r="X914" s="23"/>
      <c r="Y914" s="23"/>
      <c r="Z914" s="23"/>
      <c r="AA914" s="23"/>
      <c r="AB914" s="23"/>
      <c r="AC914" s="23"/>
      <c r="AD914" s="23"/>
      <c r="AE914" s="23"/>
    </row>
    <row r="915" spans="1:31">
      <c r="A915" s="23"/>
      <c r="B915" s="40"/>
      <c r="C915" s="40"/>
      <c r="D915" s="23"/>
      <c r="E915" s="23"/>
      <c r="F915" s="23"/>
      <c r="G915" s="23"/>
      <c r="H915" s="23"/>
      <c r="I915" s="40"/>
      <c r="J915" s="70"/>
      <c r="K915" s="23"/>
      <c r="L915" s="70"/>
      <c r="M915" s="70"/>
      <c r="N915" s="23"/>
      <c r="O915" s="23"/>
      <c r="P915" s="23"/>
      <c r="Q915" s="23"/>
      <c r="R915" s="72"/>
      <c r="S915" s="23"/>
      <c r="T915" s="23"/>
      <c r="U915" s="23"/>
      <c r="V915" s="23"/>
      <c r="W915" s="23"/>
      <c r="X915" s="23"/>
      <c r="Y915" s="23"/>
      <c r="Z915" s="23"/>
      <c r="AA915" s="23"/>
      <c r="AB915" s="23"/>
      <c r="AC915" s="23"/>
      <c r="AD915" s="23"/>
      <c r="AE915" s="23"/>
    </row>
    <row r="916" spans="1:31">
      <c r="A916" s="23"/>
      <c r="B916" s="40"/>
      <c r="C916" s="40"/>
      <c r="D916" s="23"/>
      <c r="E916" s="23"/>
      <c r="F916" s="23"/>
      <c r="G916" s="23"/>
      <c r="H916" s="23"/>
      <c r="I916" s="40"/>
      <c r="J916" s="70"/>
      <c r="K916" s="23"/>
      <c r="L916" s="70"/>
      <c r="M916" s="70"/>
      <c r="N916" s="23"/>
      <c r="O916" s="23"/>
      <c r="P916" s="23"/>
      <c r="Q916" s="23"/>
      <c r="R916" s="72"/>
      <c r="S916" s="23"/>
      <c r="T916" s="23"/>
      <c r="U916" s="23"/>
      <c r="V916" s="23"/>
      <c r="W916" s="23"/>
      <c r="X916" s="23"/>
      <c r="Y916" s="23"/>
      <c r="Z916" s="23"/>
      <c r="AA916" s="23"/>
      <c r="AB916" s="23"/>
      <c r="AC916" s="23"/>
      <c r="AD916" s="23"/>
      <c r="AE916" s="23"/>
    </row>
    <row r="917" spans="1:31">
      <c r="A917" s="23"/>
      <c r="B917" s="40"/>
      <c r="C917" s="40"/>
      <c r="D917" s="23"/>
      <c r="E917" s="23"/>
      <c r="F917" s="23"/>
      <c r="G917" s="23"/>
      <c r="H917" s="23"/>
      <c r="I917" s="40"/>
      <c r="J917" s="70"/>
      <c r="K917" s="23"/>
      <c r="L917" s="70"/>
      <c r="M917" s="70"/>
      <c r="N917" s="23"/>
      <c r="O917" s="23"/>
      <c r="P917" s="23"/>
      <c r="Q917" s="23"/>
      <c r="R917" s="72"/>
      <c r="S917" s="23"/>
      <c r="T917" s="23"/>
      <c r="U917" s="23"/>
      <c r="V917" s="23"/>
      <c r="W917" s="23"/>
      <c r="X917" s="23"/>
      <c r="Y917" s="23"/>
      <c r="Z917" s="23"/>
      <c r="AA917" s="23"/>
      <c r="AB917" s="23"/>
      <c r="AC917" s="23"/>
      <c r="AD917" s="23"/>
      <c r="AE917" s="23"/>
    </row>
    <row r="918" spans="1:31">
      <c r="A918" s="23"/>
      <c r="B918" s="40"/>
      <c r="C918" s="40"/>
      <c r="D918" s="23"/>
      <c r="E918" s="23"/>
      <c r="F918" s="23"/>
      <c r="G918" s="23"/>
      <c r="H918" s="23"/>
      <c r="I918" s="40"/>
      <c r="J918" s="70"/>
      <c r="K918" s="23"/>
      <c r="L918" s="70"/>
      <c r="M918" s="70"/>
      <c r="N918" s="23"/>
      <c r="O918" s="23"/>
      <c r="P918" s="23"/>
      <c r="Q918" s="23"/>
      <c r="R918" s="72"/>
      <c r="S918" s="23"/>
      <c r="T918" s="23"/>
      <c r="U918" s="23"/>
      <c r="V918" s="23"/>
      <c r="W918" s="23"/>
      <c r="X918" s="23"/>
      <c r="Y918" s="23"/>
      <c r="Z918" s="23"/>
      <c r="AA918" s="23"/>
      <c r="AB918" s="23"/>
      <c r="AC918" s="23"/>
      <c r="AD918" s="23"/>
      <c r="AE918" s="23"/>
    </row>
    <row r="919" spans="1:31" ht="12" customHeight="1">
      <c r="A919" s="23"/>
      <c r="B919" s="40"/>
      <c r="C919" s="40"/>
      <c r="D919" s="23"/>
      <c r="E919" s="23"/>
      <c r="F919" s="23"/>
      <c r="G919" s="23"/>
      <c r="H919" s="40"/>
      <c r="I919" s="40"/>
      <c r="J919" s="70"/>
      <c r="K919" s="23"/>
      <c r="L919" s="70"/>
      <c r="M919" s="70"/>
      <c r="N919" s="23"/>
      <c r="O919" s="23"/>
      <c r="P919" s="23"/>
      <c r="Q919" s="23"/>
      <c r="R919" s="72"/>
      <c r="S919" s="23"/>
      <c r="T919" s="23"/>
      <c r="U919" s="23"/>
      <c r="V919" s="23"/>
      <c r="W919" s="23"/>
      <c r="X919" s="23"/>
      <c r="Y919" s="23"/>
      <c r="Z919" s="23"/>
      <c r="AA919" s="23"/>
      <c r="AB919" s="23"/>
      <c r="AC919" s="23"/>
      <c r="AD919" s="23"/>
      <c r="AE919" s="23"/>
    </row>
    <row r="920" spans="1:31">
      <c r="A920" s="23"/>
      <c r="B920" s="40"/>
      <c r="C920" s="40"/>
      <c r="D920" s="23"/>
      <c r="E920" s="23"/>
      <c r="F920" s="23"/>
      <c r="G920" s="23"/>
      <c r="H920" s="40"/>
      <c r="I920" s="40"/>
      <c r="J920" s="70"/>
      <c r="K920" s="23"/>
      <c r="L920" s="70"/>
      <c r="M920" s="70"/>
      <c r="N920" s="23"/>
      <c r="O920" s="23"/>
      <c r="P920" s="23"/>
      <c r="Q920" s="23"/>
      <c r="R920" s="72"/>
      <c r="S920" s="23"/>
      <c r="T920" s="23"/>
      <c r="U920" s="23"/>
      <c r="V920" s="23"/>
      <c r="W920" s="23"/>
      <c r="X920" s="23"/>
      <c r="Y920" s="23"/>
      <c r="Z920" s="23"/>
      <c r="AA920" s="23"/>
      <c r="AB920" s="23"/>
      <c r="AC920" s="23"/>
      <c r="AD920" s="23"/>
      <c r="AE920" s="23"/>
    </row>
    <row r="921" spans="1:31">
      <c r="A921" s="23"/>
      <c r="B921" s="40"/>
      <c r="C921" s="40"/>
      <c r="D921" s="23"/>
      <c r="E921" s="23"/>
      <c r="F921" s="23"/>
      <c r="G921" s="23"/>
      <c r="H921" s="40"/>
      <c r="I921" s="40"/>
      <c r="J921" s="70"/>
      <c r="K921" s="23"/>
      <c r="L921" s="70"/>
      <c r="M921" s="70"/>
      <c r="N921" s="23"/>
      <c r="O921" s="23"/>
      <c r="P921" s="23"/>
      <c r="Q921" s="23"/>
      <c r="R921" s="72"/>
      <c r="S921" s="23"/>
      <c r="T921" s="23"/>
      <c r="U921" s="23"/>
      <c r="V921" s="23"/>
      <c r="W921" s="23"/>
      <c r="X921" s="23"/>
      <c r="Y921" s="23"/>
      <c r="Z921" s="23"/>
      <c r="AA921" s="23"/>
      <c r="AB921" s="23"/>
      <c r="AC921" s="23"/>
      <c r="AD921" s="23"/>
      <c r="AE921" s="23"/>
    </row>
    <row r="922" spans="1:31" ht="12" customHeight="1">
      <c r="A922" s="23"/>
      <c r="B922" s="40"/>
      <c r="C922" s="40"/>
      <c r="D922" s="23"/>
      <c r="E922" s="23"/>
      <c r="F922" s="23"/>
      <c r="G922" s="23"/>
      <c r="H922" s="40"/>
      <c r="I922" s="40"/>
      <c r="J922" s="70"/>
      <c r="K922" s="23"/>
      <c r="L922" s="70"/>
      <c r="M922" s="70"/>
      <c r="N922" s="23"/>
      <c r="O922" s="23"/>
      <c r="P922" s="23"/>
      <c r="Q922" s="23"/>
      <c r="R922" s="72"/>
      <c r="S922" s="23"/>
      <c r="T922" s="23"/>
      <c r="U922" s="23"/>
      <c r="V922" s="23"/>
      <c r="W922" s="23"/>
      <c r="X922" s="23"/>
      <c r="Y922" s="23"/>
      <c r="Z922" s="23"/>
      <c r="AA922" s="23"/>
      <c r="AB922" s="23"/>
      <c r="AC922" s="23"/>
      <c r="AD922" s="23"/>
      <c r="AE922" s="23"/>
    </row>
    <row r="923" spans="1:31">
      <c r="A923" s="23"/>
      <c r="B923" s="40"/>
      <c r="C923" s="40"/>
      <c r="D923" s="23"/>
      <c r="E923" s="23"/>
      <c r="F923" s="23"/>
      <c r="G923" s="23"/>
      <c r="H923" s="40"/>
      <c r="I923" s="40"/>
      <c r="J923" s="70"/>
      <c r="K923" s="23"/>
      <c r="L923" s="70"/>
      <c r="M923" s="70"/>
      <c r="N923" s="23"/>
      <c r="O923" s="23"/>
      <c r="P923" s="23"/>
      <c r="Q923" s="23"/>
      <c r="R923" s="72"/>
      <c r="S923" s="23"/>
      <c r="T923" s="23"/>
      <c r="U923" s="23"/>
      <c r="V923" s="23"/>
      <c r="W923" s="23"/>
      <c r="X923" s="23"/>
      <c r="Y923" s="23"/>
      <c r="Z923" s="23"/>
      <c r="AA923" s="23"/>
      <c r="AB923" s="23"/>
      <c r="AC923" s="23"/>
      <c r="AD923" s="23"/>
      <c r="AE923" s="23"/>
    </row>
    <row r="924" spans="1:31">
      <c r="A924" s="23"/>
      <c r="B924" s="40"/>
      <c r="C924" s="40"/>
      <c r="D924" s="23"/>
      <c r="E924" s="23"/>
      <c r="F924" s="23"/>
      <c r="G924" s="23"/>
      <c r="H924" s="40"/>
      <c r="I924" s="40"/>
      <c r="J924" s="70"/>
      <c r="K924" s="23"/>
      <c r="L924" s="70"/>
      <c r="M924" s="70"/>
      <c r="N924" s="23"/>
      <c r="O924" s="23"/>
      <c r="P924" s="23"/>
      <c r="Q924" s="23"/>
      <c r="R924" s="72"/>
      <c r="S924" s="23"/>
      <c r="T924" s="23"/>
      <c r="U924" s="23"/>
      <c r="V924" s="23"/>
      <c r="W924" s="23"/>
      <c r="X924" s="23"/>
      <c r="Y924" s="23"/>
      <c r="Z924" s="23"/>
      <c r="AA924" s="23"/>
      <c r="AB924" s="23"/>
      <c r="AC924" s="23"/>
      <c r="AD924" s="23"/>
      <c r="AE924" s="23"/>
    </row>
    <row r="925" spans="1:31">
      <c r="A925" s="23"/>
      <c r="B925" s="40"/>
      <c r="C925" s="40"/>
      <c r="D925" s="23"/>
      <c r="E925" s="23"/>
      <c r="F925" s="23"/>
      <c r="G925" s="23"/>
      <c r="H925" s="40"/>
      <c r="I925" s="40"/>
      <c r="J925" s="70"/>
      <c r="K925" s="23"/>
      <c r="L925" s="70"/>
      <c r="M925" s="70"/>
      <c r="N925" s="23"/>
      <c r="O925" s="23"/>
      <c r="P925" s="23"/>
      <c r="Q925" s="23"/>
      <c r="R925" s="72"/>
      <c r="S925" s="23"/>
      <c r="T925" s="23"/>
      <c r="U925" s="23"/>
      <c r="V925" s="23"/>
      <c r="W925" s="23"/>
      <c r="X925" s="23"/>
      <c r="Y925" s="23"/>
      <c r="Z925" s="23"/>
      <c r="AA925" s="23"/>
      <c r="AB925" s="23"/>
      <c r="AC925" s="23"/>
      <c r="AD925" s="23"/>
      <c r="AE925" s="23"/>
    </row>
    <row r="926" spans="1:31">
      <c r="A926" s="23"/>
      <c r="B926" s="40"/>
      <c r="C926" s="40"/>
      <c r="D926" s="23"/>
      <c r="E926" s="23"/>
      <c r="F926" s="23"/>
      <c r="G926" s="23"/>
      <c r="H926" s="23"/>
      <c r="I926" s="40"/>
      <c r="J926" s="70"/>
      <c r="K926" s="23"/>
      <c r="L926" s="70"/>
      <c r="M926" s="70"/>
      <c r="N926" s="23"/>
      <c r="O926" s="23"/>
      <c r="P926" s="23"/>
      <c r="Q926" s="23"/>
      <c r="R926" s="72"/>
      <c r="S926" s="23"/>
      <c r="T926" s="23"/>
      <c r="U926" s="23"/>
      <c r="V926" s="23"/>
      <c r="W926" s="23"/>
      <c r="X926" s="23"/>
      <c r="Y926" s="23"/>
      <c r="Z926" s="23"/>
      <c r="AA926" s="23"/>
      <c r="AB926" s="23"/>
      <c r="AC926" s="23"/>
      <c r="AD926" s="23"/>
      <c r="AE926" s="23"/>
    </row>
    <row r="927" spans="1:31" ht="12" customHeight="1">
      <c r="A927" s="23"/>
      <c r="B927" s="40"/>
      <c r="C927" s="40"/>
      <c r="D927" s="23"/>
      <c r="E927" s="23"/>
      <c r="F927" s="23"/>
      <c r="G927" s="23"/>
      <c r="H927" s="40"/>
      <c r="I927" s="40"/>
      <c r="J927" s="70"/>
      <c r="K927" s="23"/>
      <c r="L927" s="70"/>
      <c r="M927" s="70"/>
      <c r="N927" s="23"/>
      <c r="O927" s="23"/>
      <c r="P927" s="23"/>
      <c r="Q927" s="23"/>
      <c r="R927" s="72"/>
      <c r="S927" s="23"/>
      <c r="T927" s="23"/>
      <c r="U927" s="23"/>
      <c r="V927" s="23"/>
      <c r="W927" s="23"/>
      <c r="X927" s="23"/>
      <c r="Y927" s="23"/>
      <c r="Z927" s="23"/>
      <c r="AA927" s="23"/>
      <c r="AB927" s="23"/>
      <c r="AC927" s="23"/>
      <c r="AD927" s="23"/>
      <c r="AE927" s="23"/>
    </row>
    <row r="928" spans="1:31">
      <c r="A928" s="23"/>
      <c r="B928" s="40"/>
      <c r="C928" s="40"/>
      <c r="D928" s="23"/>
      <c r="E928" s="23"/>
      <c r="F928" s="23"/>
      <c r="G928" s="23"/>
      <c r="H928" s="40"/>
      <c r="I928" s="40"/>
      <c r="J928" s="70"/>
      <c r="K928" s="23"/>
      <c r="L928" s="70"/>
      <c r="M928" s="70"/>
      <c r="N928" s="23"/>
      <c r="O928" s="23"/>
      <c r="P928" s="23"/>
      <c r="Q928" s="23"/>
      <c r="R928" s="72"/>
      <c r="S928" s="23"/>
      <c r="T928" s="23"/>
      <c r="U928" s="23"/>
      <c r="V928" s="23"/>
      <c r="W928" s="23"/>
      <c r="X928" s="23"/>
      <c r="Y928" s="23"/>
      <c r="Z928" s="23"/>
      <c r="AA928" s="23"/>
      <c r="AB928" s="23"/>
      <c r="AC928" s="23"/>
      <c r="AD928" s="23"/>
      <c r="AE928" s="23"/>
    </row>
    <row r="929" spans="1:31">
      <c r="A929" s="23"/>
      <c r="B929" s="40"/>
      <c r="C929" s="40"/>
      <c r="D929" s="23"/>
      <c r="E929" s="23"/>
      <c r="F929" s="23"/>
      <c r="G929" s="23"/>
      <c r="H929" s="40"/>
      <c r="I929" s="40"/>
      <c r="J929" s="70"/>
      <c r="K929" s="23"/>
      <c r="L929" s="70"/>
      <c r="M929" s="70"/>
      <c r="N929" s="23"/>
      <c r="O929" s="23"/>
      <c r="P929" s="23"/>
      <c r="Q929" s="23"/>
      <c r="R929" s="72"/>
      <c r="S929" s="23"/>
      <c r="T929" s="23"/>
      <c r="U929" s="23"/>
      <c r="V929" s="23"/>
      <c r="W929" s="23"/>
      <c r="X929" s="23"/>
      <c r="Y929" s="23"/>
      <c r="Z929" s="23"/>
      <c r="AA929" s="23"/>
      <c r="AB929" s="23"/>
      <c r="AC929" s="23"/>
      <c r="AD929" s="23"/>
      <c r="AE929" s="23"/>
    </row>
    <row r="930" spans="1:31">
      <c r="A930" s="23"/>
      <c r="B930" s="40"/>
      <c r="C930" s="40"/>
      <c r="D930" s="23"/>
      <c r="E930" s="23"/>
      <c r="F930" s="23"/>
      <c r="G930" s="23"/>
      <c r="H930" s="40"/>
      <c r="I930" s="40"/>
      <c r="J930" s="70"/>
      <c r="K930" s="23"/>
      <c r="L930" s="70"/>
      <c r="M930" s="70"/>
      <c r="N930" s="23"/>
      <c r="O930" s="23"/>
      <c r="P930" s="23"/>
      <c r="Q930" s="23"/>
      <c r="R930" s="72"/>
      <c r="S930" s="23"/>
      <c r="T930" s="23"/>
      <c r="U930" s="23"/>
      <c r="V930" s="23"/>
      <c r="W930" s="23"/>
      <c r="X930" s="23"/>
      <c r="Y930" s="23"/>
      <c r="Z930" s="23"/>
      <c r="AA930" s="23"/>
      <c r="AB930" s="23"/>
      <c r="AC930" s="23"/>
      <c r="AD930" s="23"/>
      <c r="AE930" s="23"/>
    </row>
    <row r="931" spans="1:31">
      <c r="A931" s="23"/>
      <c r="B931" s="40"/>
      <c r="C931" s="40"/>
      <c r="D931" s="23"/>
      <c r="E931" s="23"/>
      <c r="F931" s="23"/>
      <c r="G931" s="23"/>
      <c r="H931" s="40"/>
      <c r="I931" s="40"/>
      <c r="J931" s="70"/>
      <c r="K931" s="23"/>
      <c r="L931" s="70"/>
      <c r="M931" s="70"/>
      <c r="N931" s="23"/>
      <c r="O931" s="23"/>
      <c r="P931" s="23"/>
      <c r="Q931" s="23"/>
      <c r="R931" s="72"/>
      <c r="S931" s="23"/>
      <c r="T931" s="23"/>
      <c r="U931" s="23"/>
      <c r="V931" s="23"/>
      <c r="W931" s="23"/>
      <c r="X931" s="23"/>
      <c r="Y931" s="23"/>
      <c r="Z931" s="23"/>
      <c r="AA931" s="23"/>
      <c r="AB931" s="23"/>
      <c r="AC931" s="23"/>
      <c r="AD931" s="23"/>
      <c r="AE931" s="23"/>
    </row>
    <row r="932" spans="1:31">
      <c r="A932" s="23"/>
      <c r="B932" s="40"/>
      <c r="C932" s="40"/>
      <c r="D932" s="23"/>
      <c r="E932" s="23"/>
      <c r="F932" s="23"/>
      <c r="G932" s="23"/>
      <c r="H932" s="40"/>
      <c r="I932" s="40"/>
      <c r="J932" s="70"/>
      <c r="K932" s="23"/>
      <c r="L932" s="70"/>
      <c r="M932" s="70"/>
      <c r="N932" s="23"/>
      <c r="O932" s="23"/>
      <c r="P932" s="23"/>
      <c r="Q932" s="23"/>
      <c r="R932" s="72"/>
      <c r="S932" s="23"/>
      <c r="T932" s="23"/>
      <c r="U932" s="23"/>
      <c r="V932" s="23"/>
      <c r="W932" s="23"/>
      <c r="X932" s="23"/>
      <c r="Y932" s="23"/>
      <c r="Z932" s="23"/>
      <c r="AA932" s="23"/>
      <c r="AB932" s="23"/>
      <c r="AC932" s="23"/>
      <c r="AD932" s="23"/>
      <c r="AE932" s="23"/>
    </row>
    <row r="933" spans="1:31">
      <c r="A933" s="23"/>
      <c r="B933" s="40"/>
      <c r="C933" s="40"/>
      <c r="D933" s="23"/>
      <c r="E933" s="23"/>
      <c r="F933" s="23"/>
      <c r="G933" s="23"/>
      <c r="H933" s="23"/>
      <c r="I933" s="40"/>
      <c r="J933" s="70"/>
      <c r="K933" s="23"/>
      <c r="L933" s="70"/>
      <c r="M933" s="70"/>
      <c r="N933" s="23"/>
      <c r="O933" s="23"/>
      <c r="P933" s="23"/>
      <c r="Q933" s="23"/>
      <c r="R933" s="72"/>
      <c r="S933" s="23"/>
      <c r="T933" s="23"/>
      <c r="U933" s="23"/>
      <c r="V933" s="23"/>
      <c r="W933" s="23"/>
      <c r="X933" s="23"/>
      <c r="Y933" s="23"/>
      <c r="Z933" s="23"/>
      <c r="AA933" s="23"/>
      <c r="AB933" s="23"/>
      <c r="AC933" s="23"/>
      <c r="AD933" s="23"/>
      <c r="AE933" s="23"/>
    </row>
    <row r="934" spans="1:31">
      <c r="A934" s="23"/>
      <c r="B934" s="40"/>
      <c r="C934" s="40"/>
      <c r="D934" s="23"/>
      <c r="E934" s="23"/>
      <c r="F934" s="23"/>
      <c r="G934" s="23"/>
      <c r="H934" s="23"/>
      <c r="I934" s="40"/>
      <c r="J934" s="70"/>
      <c r="K934" s="23"/>
      <c r="L934" s="70"/>
      <c r="M934" s="70"/>
      <c r="N934" s="23"/>
      <c r="O934" s="23"/>
      <c r="P934" s="23"/>
      <c r="Q934" s="23"/>
      <c r="R934" s="72"/>
      <c r="S934" s="23"/>
      <c r="T934" s="23"/>
      <c r="U934" s="23"/>
      <c r="V934" s="23"/>
      <c r="W934" s="23"/>
      <c r="X934" s="23"/>
      <c r="Y934" s="23"/>
      <c r="Z934" s="23"/>
      <c r="AA934" s="23"/>
      <c r="AB934" s="23"/>
      <c r="AC934" s="23"/>
      <c r="AD934" s="23"/>
      <c r="AE934" s="23"/>
    </row>
    <row r="935" spans="1:31">
      <c r="A935" s="23"/>
      <c r="B935" s="40"/>
      <c r="C935" s="40"/>
      <c r="D935" s="23"/>
      <c r="E935" s="23"/>
      <c r="F935" s="23"/>
      <c r="G935" s="23"/>
      <c r="H935" s="23"/>
      <c r="I935" s="40"/>
      <c r="J935" s="70"/>
      <c r="K935" s="23"/>
      <c r="L935" s="70"/>
      <c r="M935" s="70"/>
      <c r="N935" s="23"/>
      <c r="O935" s="23"/>
      <c r="P935" s="23"/>
      <c r="Q935" s="23"/>
      <c r="R935" s="72"/>
      <c r="S935" s="23"/>
      <c r="T935" s="23"/>
      <c r="U935" s="23"/>
      <c r="V935" s="23"/>
      <c r="W935" s="23"/>
      <c r="X935" s="23"/>
      <c r="Y935" s="23"/>
      <c r="Z935" s="23"/>
      <c r="AA935" s="23"/>
      <c r="AB935" s="23"/>
      <c r="AC935" s="23"/>
      <c r="AD935" s="23"/>
      <c r="AE935" s="23"/>
    </row>
    <row r="936" spans="1:31">
      <c r="A936" s="23"/>
      <c r="B936" s="40"/>
      <c r="C936" s="40"/>
      <c r="D936" s="23"/>
      <c r="E936" s="23"/>
      <c r="F936" s="23"/>
      <c r="G936" s="23"/>
      <c r="H936" s="23"/>
      <c r="I936" s="40"/>
      <c r="J936" s="70"/>
      <c r="K936" s="23"/>
      <c r="L936" s="70"/>
      <c r="M936" s="70"/>
      <c r="N936" s="23"/>
      <c r="O936" s="23"/>
      <c r="P936" s="23"/>
      <c r="Q936" s="23"/>
      <c r="R936" s="72"/>
      <c r="S936" s="23"/>
      <c r="T936" s="23"/>
      <c r="U936" s="23"/>
      <c r="V936" s="23"/>
      <c r="W936" s="23"/>
      <c r="X936" s="23"/>
      <c r="Y936" s="23"/>
      <c r="Z936" s="23"/>
      <c r="AA936" s="23"/>
      <c r="AB936" s="23"/>
      <c r="AC936" s="23"/>
      <c r="AD936" s="23"/>
      <c r="AE936" s="23"/>
    </row>
    <row r="937" spans="1:31">
      <c r="A937" s="23"/>
      <c r="B937" s="40"/>
      <c r="C937" s="40"/>
      <c r="D937" s="23"/>
      <c r="E937" s="23"/>
      <c r="F937" s="23"/>
      <c r="G937" s="23"/>
      <c r="H937" s="23"/>
      <c r="I937" s="40"/>
      <c r="J937" s="70"/>
      <c r="K937" s="23"/>
      <c r="L937" s="70"/>
      <c r="M937" s="70"/>
      <c r="N937" s="23"/>
      <c r="O937" s="23"/>
      <c r="P937" s="23"/>
      <c r="Q937" s="23"/>
      <c r="R937" s="72"/>
      <c r="S937" s="23"/>
      <c r="T937" s="23"/>
      <c r="U937" s="23"/>
      <c r="V937" s="23"/>
      <c r="W937" s="23"/>
      <c r="X937" s="23"/>
      <c r="Y937" s="23"/>
      <c r="Z937" s="23"/>
      <c r="AA937" s="23"/>
      <c r="AB937" s="23"/>
      <c r="AC937" s="23"/>
      <c r="AD937" s="23"/>
      <c r="AE937" s="23"/>
    </row>
    <row r="938" spans="1:31" ht="12" customHeight="1">
      <c r="A938" s="23"/>
      <c r="B938" s="40"/>
      <c r="C938" s="40"/>
      <c r="D938" s="23"/>
      <c r="E938" s="23"/>
      <c r="F938" s="23"/>
      <c r="G938" s="23"/>
      <c r="H938" s="40"/>
      <c r="I938" s="40"/>
      <c r="J938" s="70"/>
      <c r="K938" s="23"/>
      <c r="L938" s="70"/>
      <c r="M938" s="70"/>
      <c r="N938" s="23"/>
      <c r="O938" s="23"/>
      <c r="P938" s="23"/>
      <c r="Q938" s="23"/>
      <c r="R938" s="72"/>
      <c r="S938" s="23"/>
      <c r="T938" s="23"/>
      <c r="U938" s="23"/>
      <c r="V938" s="23"/>
      <c r="W938" s="23"/>
      <c r="X938" s="23"/>
      <c r="Y938" s="23"/>
      <c r="Z938" s="23"/>
      <c r="AA938" s="23"/>
      <c r="AB938" s="23"/>
      <c r="AC938" s="23"/>
      <c r="AD938" s="23"/>
      <c r="AE938" s="23"/>
    </row>
    <row r="939" spans="1:31">
      <c r="A939" s="23"/>
      <c r="B939" s="40"/>
      <c r="C939" s="40"/>
      <c r="D939" s="23"/>
      <c r="E939" s="23"/>
      <c r="F939" s="23"/>
      <c r="G939" s="23"/>
      <c r="H939" s="40"/>
      <c r="I939" s="40"/>
      <c r="J939" s="70"/>
      <c r="K939" s="23"/>
      <c r="L939" s="70"/>
      <c r="M939" s="70"/>
      <c r="N939" s="23"/>
      <c r="O939" s="23"/>
      <c r="P939" s="23"/>
      <c r="Q939" s="23"/>
      <c r="R939" s="72"/>
      <c r="S939" s="23"/>
      <c r="T939" s="23"/>
      <c r="U939" s="23"/>
      <c r="V939" s="23"/>
      <c r="W939" s="23"/>
      <c r="X939" s="23"/>
      <c r="Y939" s="23"/>
      <c r="Z939" s="23"/>
      <c r="AA939" s="23"/>
      <c r="AB939" s="23"/>
      <c r="AC939" s="23"/>
      <c r="AD939" s="23"/>
      <c r="AE939" s="23"/>
    </row>
    <row r="940" spans="1:31">
      <c r="A940" s="23"/>
      <c r="B940" s="40"/>
      <c r="C940" s="40"/>
      <c r="D940" s="23"/>
      <c r="E940" s="23"/>
      <c r="F940" s="23"/>
      <c r="G940" s="23"/>
      <c r="H940" s="40"/>
      <c r="I940" s="40"/>
      <c r="J940" s="70"/>
      <c r="K940" s="23"/>
      <c r="L940" s="70"/>
      <c r="M940" s="70"/>
      <c r="N940" s="23"/>
      <c r="O940" s="23"/>
      <c r="P940" s="23"/>
      <c r="Q940" s="23"/>
      <c r="R940" s="72"/>
      <c r="S940" s="23"/>
      <c r="T940" s="23"/>
      <c r="U940" s="23"/>
      <c r="V940" s="23"/>
      <c r="W940" s="23"/>
      <c r="X940" s="23"/>
      <c r="Y940" s="23"/>
      <c r="Z940" s="23"/>
      <c r="AA940" s="23"/>
      <c r="AB940" s="23"/>
      <c r="AC940" s="23"/>
      <c r="AD940" s="23"/>
      <c r="AE940" s="23"/>
    </row>
    <row r="941" spans="1:31" ht="12" customHeight="1">
      <c r="A941" s="23"/>
      <c r="B941" s="40"/>
      <c r="C941" s="40"/>
      <c r="D941" s="23"/>
      <c r="E941" s="23"/>
      <c r="F941" s="23"/>
      <c r="G941" s="23"/>
      <c r="H941" s="40"/>
      <c r="I941" s="40"/>
      <c r="J941" s="70"/>
      <c r="K941" s="23"/>
      <c r="L941" s="70"/>
      <c r="M941" s="70"/>
      <c r="N941" s="23"/>
      <c r="O941" s="23"/>
      <c r="P941" s="23"/>
      <c r="Q941" s="23"/>
      <c r="R941" s="72"/>
      <c r="S941" s="23"/>
      <c r="T941" s="23"/>
      <c r="U941" s="23"/>
      <c r="V941" s="23"/>
      <c r="W941" s="23"/>
      <c r="X941" s="23"/>
      <c r="Y941" s="23"/>
      <c r="Z941" s="23"/>
      <c r="AA941" s="23"/>
      <c r="AB941" s="23"/>
      <c r="AC941" s="23"/>
      <c r="AD941" s="23"/>
      <c r="AE941" s="23"/>
    </row>
    <row r="942" spans="1:31">
      <c r="A942" s="23"/>
      <c r="B942" s="40"/>
      <c r="C942" s="40"/>
      <c r="D942" s="23"/>
      <c r="E942" s="23"/>
      <c r="F942" s="23"/>
      <c r="G942" s="23"/>
      <c r="H942" s="40"/>
      <c r="I942" s="40"/>
      <c r="J942" s="70"/>
      <c r="K942" s="23"/>
      <c r="L942" s="70"/>
      <c r="M942" s="70"/>
      <c r="N942" s="23"/>
      <c r="O942" s="23"/>
      <c r="P942" s="23"/>
      <c r="Q942" s="23"/>
      <c r="R942" s="72"/>
      <c r="S942" s="23"/>
      <c r="T942" s="23"/>
      <c r="U942" s="23"/>
      <c r="V942" s="23"/>
      <c r="W942" s="23"/>
      <c r="X942" s="23"/>
      <c r="Y942" s="23"/>
      <c r="Z942" s="23"/>
      <c r="AA942" s="23"/>
      <c r="AB942" s="23"/>
      <c r="AC942" s="23"/>
      <c r="AD942" s="23"/>
      <c r="AE942" s="23"/>
    </row>
    <row r="943" spans="1:31">
      <c r="A943" s="23"/>
      <c r="B943" s="40"/>
      <c r="C943" s="40"/>
      <c r="D943" s="23"/>
      <c r="E943" s="23"/>
      <c r="F943" s="23"/>
      <c r="G943" s="23"/>
      <c r="H943" s="40"/>
      <c r="I943" s="40"/>
      <c r="J943" s="70"/>
      <c r="K943" s="23"/>
      <c r="L943" s="70"/>
      <c r="M943" s="70"/>
      <c r="N943" s="23"/>
      <c r="O943" s="23"/>
      <c r="P943" s="23"/>
      <c r="Q943" s="23"/>
      <c r="R943" s="72"/>
      <c r="S943" s="23"/>
      <c r="T943" s="23"/>
      <c r="U943" s="23"/>
      <c r="V943" s="23"/>
      <c r="W943" s="23"/>
      <c r="X943" s="23"/>
      <c r="Y943" s="23"/>
      <c r="Z943" s="23"/>
      <c r="AA943" s="23"/>
      <c r="AB943" s="23"/>
      <c r="AC943" s="23"/>
      <c r="AD943" s="23"/>
      <c r="AE943" s="23"/>
    </row>
    <row r="944" spans="1:31">
      <c r="A944" s="23"/>
      <c r="B944" s="40"/>
      <c r="C944" s="40"/>
      <c r="D944" s="23"/>
      <c r="E944" s="23"/>
      <c r="F944" s="23"/>
      <c r="G944" s="23"/>
      <c r="H944" s="40"/>
      <c r="I944" s="40"/>
      <c r="J944" s="70"/>
      <c r="K944" s="23"/>
      <c r="L944" s="70"/>
      <c r="M944" s="70"/>
      <c r="N944" s="23"/>
      <c r="O944" s="23"/>
      <c r="P944" s="23"/>
      <c r="Q944" s="23"/>
      <c r="R944" s="72"/>
      <c r="S944" s="23"/>
      <c r="T944" s="23"/>
      <c r="U944" s="23"/>
      <c r="V944" s="23"/>
      <c r="W944" s="23"/>
      <c r="X944" s="23"/>
      <c r="Y944" s="23"/>
      <c r="Z944" s="23"/>
      <c r="AA944" s="23"/>
      <c r="AB944" s="23"/>
      <c r="AC944" s="23"/>
      <c r="AD944" s="23"/>
      <c r="AE944" s="23"/>
    </row>
    <row r="945" spans="1:31">
      <c r="A945" s="23"/>
      <c r="B945" s="40"/>
      <c r="C945" s="40"/>
      <c r="D945" s="23"/>
      <c r="E945" s="23"/>
      <c r="F945" s="23"/>
      <c r="G945" s="23"/>
      <c r="H945" s="23"/>
      <c r="I945" s="40"/>
      <c r="J945" s="70"/>
      <c r="K945" s="23"/>
      <c r="L945" s="70"/>
      <c r="M945" s="70"/>
      <c r="N945" s="23"/>
      <c r="O945" s="23"/>
      <c r="P945" s="23"/>
      <c r="Q945" s="23"/>
      <c r="R945" s="72"/>
      <c r="S945" s="23"/>
      <c r="T945" s="23"/>
      <c r="U945" s="23"/>
      <c r="V945" s="23"/>
      <c r="W945" s="23"/>
      <c r="X945" s="23"/>
      <c r="Y945" s="23"/>
      <c r="Z945" s="23"/>
      <c r="AA945" s="23"/>
      <c r="AB945" s="23"/>
      <c r="AC945" s="23"/>
      <c r="AD945" s="23"/>
      <c r="AE945" s="23"/>
    </row>
    <row r="946" spans="1:31" ht="12" customHeight="1">
      <c r="A946" s="23"/>
      <c r="B946" s="40"/>
      <c r="C946" s="40"/>
      <c r="D946" s="23"/>
      <c r="E946" s="23"/>
      <c r="F946" s="23"/>
      <c r="G946" s="23"/>
      <c r="H946" s="40"/>
      <c r="I946" s="40"/>
      <c r="J946" s="70"/>
      <c r="K946" s="23"/>
      <c r="L946" s="70"/>
      <c r="M946" s="70"/>
      <c r="N946" s="23"/>
      <c r="O946" s="23"/>
      <c r="P946" s="23"/>
      <c r="Q946" s="23"/>
      <c r="R946" s="72"/>
      <c r="S946" s="23"/>
      <c r="T946" s="23"/>
      <c r="U946" s="23"/>
      <c r="V946" s="23"/>
      <c r="W946" s="23"/>
      <c r="X946" s="23"/>
      <c r="Y946" s="23"/>
      <c r="Z946" s="23"/>
      <c r="AA946" s="23"/>
      <c r="AB946" s="23"/>
      <c r="AC946" s="23"/>
      <c r="AD946" s="23"/>
      <c r="AE946" s="23"/>
    </row>
    <row r="947" spans="1:31">
      <c r="A947" s="23"/>
      <c r="B947" s="40"/>
      <c r="C947" s="40"/>
      <c r="D947" s="23"/>
      <c r="E947" s="23"/>
      <c r="F947" s="23"/>
      <c r="G947" s="23"/>
      <c r="H947" s="40"/>
      <c r="I947" s="40"/>
      <c r="J947" s="70"/>
      <c r="K947" s="23"/>
      <c r="L947" s="70"/>
      <c r="M947" s="70"/>
      <c r="N947" s="23"/>
      <c r="O947" s="23"/>
      <c r="P947" s="23"/>
      <c r="Q947" s="23"/>
      <c r="R947" s="72"/>
      <c r="S947" s="23"/>
      <c r="T947" s="23"/>
      <c r="U947" s="23"/>
      <c r="V947" s="23"/>
      <c r="W947" s="23"/>
      <c r="X947" s="23"/>
      <c r="Y947" s="23"/>
      <c r="Z947" s="23"/>
      <c r="AA947" s="23"/>
      <c r="AB947" s="23"/>
      <c r="AC947" s="23"/>
      <c r="AD947" s="23"/>
      <c r="AE947" s="23"/>
    </row>
    <row r="948" spans="1:31">
      <c r="A948" s="23"/>
      <c r="B948" s="40"/>
      <c r="C948" s="40"/>
      <c r="D948" s="23"/>
      <c r="E948" s="23"/>
      <c r="F948" s="23"/>
      <c r="G948" s="23"/>
      <c r="H948" s="40"/>
      <c r="I948" s="40"/>
      <c r="J948" s="70"/>
      <c r="K948" s="23"/>
      <c r="L948" s="70"/>
      <c r="M948" s="70"/>
      <c r="N948" s="23"/>
      <c r="O948" s="23"/>
      <c r="P948" s="23"/>
      <c r="Q948" s="23"/>
      <c r="R948" s="72"/>
      <c r="S948" s="23"/>
      <c r="T948" s="23"/>
      <c r="U948" s="23"/>
      <c r="V948" s="23"/>
      <c r="W948" s="23"/>
      <c r="X948" s="23"/>
      <c r="Y948" s="23"/>
      <c r="Z948" s="23"/>
      <c r="AA948" s="23"/>
      <c r="AB948" s="23"/>
      <c r="AC948" s="23"/>
      <c r="AD948" s="23"/>
      <c r="AE948" s="23"/>
    </row>
    <row r="949" spans="1:31">
      <c r="A949" s="23"/>
      <c r="B949" s="40"/>
      <c r="C949" s="40"/>
      <c r="D949" s="23"/>
      <c r="E949" s="23"/>
      <c r="F949" s="23"/>
      <c r="G949" s="23"/>
      <c r="H949" s="40"/>
      <c r="I949" s="40"/>
      <c r="J949" s="70"/>
      <c r="K949" s="23"/>
      <c r="L949" s="70"/>
      <c r="M949" s="70"/>
      <c r="N949" s="23"/>
      <c r="O949" s="23"/>
      <c r="P949" s="23"/>
      <c r="Q949" s="23"/>
      <c r="R949" s="72"/>
      <c r="S949" s="23"/>
      <c r="T949" s="23"/>
      <c r="U949" s="23"/>
      <c r="V949" s="23"/>
      <c r="W949" s="23"/>
      <c r="X949" s="23"/>
      <c r="Y949" s="23"/>
      <c r="Z949" s="23"/>
      <c r="AA949" s="23"/>
      <c r="AB949" s="23"/>
      <c r="AC949" s="23"/>
      <c r="AD949" s="23"/>
      <c r="AE949" s="23"/>
    </row>
    <row r="950" spans="1:31">
      <c r="A950" s="23"/>
      <c r="B950" s="40"/>
      <c r="C950" s="40"/>
      <c r="D950" s="23"/>
      <c r="E950" s="23"/>
      <c r="F950" s="23"/>
      <c r="G950" s="23"/>
      <c r="H950" s="40"/>
      <c r="I950" s="40"/>
      <c r="J950" s="70"/>
      <c r="K950" s="23"/>
      <c r="L950" s="70"/>
      <c r="M950" s="70"/>
      <c r="N950" s="23"/>
      <c r="O950" s="23"/>
      <c r="P950" s="23"/>
      <c r="Q950" s="23"/>
      <c r="R950" s="72"/>
      <c r="S950" s="23"/>
      <c r="T950" s="23"/>
      <c r="U950" s="23"/>
      <c r="V950" s="23"/>
      <c r="W950" s="23"/>
      <c r="X950" s="23"/>
      <c r="Y950" s="23"/>
      <c r="Z950" s="23"/>
      <c r="AA950" s="23"/>
      <c r="AB950" s="23"/>
      <c r="AC950" s="23"/>
      <c r="AD950" s="23"/>
      <c r="AE950" s="23"/>
    </row>
    <row r="951" spans="1:31">
      <c r="A951" s="23"/>
      <c r="B951" s="40"/>
      <c r="C951" s="40"/>
      <c r="D951" s="23"/>
      <c r="E951" s="23"/>
      <c r="F951" s="23"/>
      <c r="G951" s="23"/>
      <c r="H951" s="40"/>
      <c r="I951" s="40"/>
      <c r="J951" s="70"/>
      <c r="K951" s="23"/>
      <c r="L951" s="70"/>
      <c r="M951" s="70"/>
      <c r="N951" s="23"/>
      <c r="O951" s="23"/>
      <c r="P951" s="23"/>
      <c r="Q951" s="23"/>
      <c r="R951" s="72"/>
      <c r="S951" s="23"/>
      <c r="T951" s="23"/>
      <c r="U951" s="23"/>
      <c r="V951" s="23"/>
      <c r="W951" s="23"/>
      <c r="X951" s="23"/>
      <c r="Y951" s="23"/>
      <c r="Z951" s="23"/>
      <c r="AA951" s="23"/>
      <c r="AB951" s="23"/>
      <c r="AC951" s="23"/>
      <c r="AD951" s="23"/>
      <c r="AE951" s="23"/>
    </row>
    <row r="952" spans="1:31">
      <c r="A952" s="23"/>
      <c r="B952" s="40"/>
      <c r="C952" s="40"/>
      <c r="D952" s="23"/>
      <c r="E952" s="23"/>
      <c r="F952" s="23"/>
      <c r="G952" s="23"/>
      <c r="H952" s="23"/>
      <c r="I952" s="40"/>
      <c r="J952" s="70"/>
      <c r="K952" s="23"/>
      <c r="L952" s="70"/>
      <c r="M952" s="70"/>
      <c r="N952" s="23"/>
      <c r="O952" s="23"/>
      <c r="P952" s="23"/>
      <c r="Q952" s="23"/>
      <c r="R952" s="72"/>
      <c r="S952" s="23"/>
      <c r="T952" s="23"/>
      <c r="U952" s="23"/>
      <c r="V952" s="23"/>
      <c r="W952" s="23"/>
      <c r="X952" s="23"/>
      <c r="Y952" s="23"/>
      <c r="Z952" s="23"/>
      <c r="AA952" s="23"/>
      <c r="AB952" s="23"/>
      <c r="AC952" s="23"/>
      <c r="AD952" s="23"/>
      <c r="AE952" s="23"/>
    </row>
    <row r="953" spans="1:31">
      <c r="A953" s="23"/>
      <c r="B953" s="40"/>
      <c r="C953" s="40"/>
      <c r="D953" s="23"/>
      <c r="E953" s="23"/>
      <c r="F953" s="23"/>
      <c r="G953" s="23"/>
      <c r="H953" s="23"/>
      <c r="I953" s="40"/>
      <c r="J953" s="70"/>
      <c r="K953" s="23"/>
      <c r="L953" s="70"/>
      <c r="M953" s="70"/>
      <c r="N953" s="23"/>
      <c r="O953" s="23"/>
      <c r="P953" s="23"/>
      <c r="Q953" s="23"/>
      <c r="R953" s="72"/>
      <c r="S953" s="23"/>
      <c r="T953" s="23"/>
      <c r="U953" s="23"/>
      <c r="V953" s="23"/>
      <c r="W953" s="23"/>
      <c r="X953" s="23"/>
      <c r="Y953" s="23"/>
      <c r="Z953" s="23"/>
      <c r="AA953" s="23"/>
      <c r="AB953" s="23"/>
      <c r="AC953" s="23"/>
      <c r="AD953" s="23"/>
      <c r="AE953" s="23"/>
    </row>
    <row r="954" spans="1:31">
      <c r="A954" s="23"/>
      <c r="B954" s="40"/>
      <c r="C954" s="40"/>
      <c r="D954" s="23"/>
      <c r="E954" s="23"/>
      <c r="F954" s="23"/>
      <c r="G954" s="23"/>
      <c r="H954" s="23"/>
      <c r="I954" s="40"/>
      <c r="J954" s="70"/>
      <c r="K954" s="23"/>
      <c r="L954" s="70"/>
      <c r="M954" s="70"/>
      <c r="N954" s="23"/>
      <c r="O954" s="23"/>
      <c r="P954" s="23"/>
      <c r="Q954" s="23"/>
      <c r="R954" s="72"/>
      <c r="S954" s="23"/>
      <c r="T954" s="23"/>
      <c r="U954" s="23"/>
      <c r="V954" s="23"/>
      <c r="W954" s="23"/>
      <c r="X954" s="23"/>
      <c r="Y954" s="23"/>
      <c r="Z954" s="23"/>
      <c r="AA954" s="23"/>
      <c r="AB954" s="23"/>
      <c r="AC954" s="23"/>
      <c r="AD954" s="23"/>
      <c r="AE954" s="23"/>
    </row>
    <row r="955" spans="1:31">
      <c r="A955" s="23"/>
      <c r="B955" s="40"/>
      <c r="C955" s="40"/>
      <c r="D955" s="23"/>
      <c r="E955" s="23"/>
      <c r="F955" s="23"/>
      <c r="G955" s="23"/>
      <c r="H955" s="23"/>
      <c r="I955" s="40"/>
      <c r="J955" s="70"/>
      <c r="K955" s="23"/>
      <c r="L955" s="70"/>
      <c r="M955" s="70"/>
      <c r="N955" s="23"/>
      <c r="O955" s="23"/>
      <c r="P955" s="23"/>
      <c r="Q955" s="23"/>
      <c r="R955" s="72"/>
      <c r="S955" s="23"/>
      <c r="T955" s="23"/>
      <c r="U955" s="23"/>
      <c r="V955" s="23"/>
      <c r="W955" s="23"/>
      <c r="X955" s="23"/>
      <c r="Y955" s="23"/>
      <c r="Z955" s="23"/>
      <c r="AA955" s="23"/>
      <c r="AB955" s="23"/>
      <c r="AC955" s="23"/>
      <c r="AD955" s="23"/>
      <c r="AE955" s="23"/>
    </row>
    <row r="956" spans="1:31">
      <c r="A956" s="23"/>
      <c r="B956" s="40"/>
      <c r="C956" s="40"/>
      <c r="D956" s="23"/>
      <c r="E956" s="23"/>
      <c r="F956" s="23"/>
      <c r="G956" s="23"/>
      <c r="H956" s="23"/>
      <c r="I956" s="40"/>
      <c r="J956" s="70"/>
      <c r="K956" s="23"/>
      <c r="L956" s="70"/>
      <c r="M956" s="70"/>
      <c r="N956" s="23"/>
      <c r="O956" s="23"/>
      <c r="P956" s="23"/>
      <c r="Q956" s="23"/>
      <c r="R956" s="72"/>
      <c r="S956" s="23"/>
      <c r="T956" s="23"/>
      <c r="U956" s="23"/>
      <c r="V956" s="23"/>
      <c r="W956" s="23"/>
      <c r="X956" s="23"/>
      <c r="Y956" s="23"/>
      <c r="Z956" s="23"/>
      <c r="AA956" s="23"/>
      <c r="AB956" s="23"/>
      <c r="AC956" s="23"/>
      <c r="AD956" s="23"/>
      <c r="AE956" s="23"/>
    </row>
    <row r="957" spans="1:31" ht="12" customHeight="1">
      <c r="A957" s="23"/>
      <c r="B957" s="40"/>
      <c r="C957" s="40"/>
      <c r="D957" s="23"/>
      <c r="E957" s="23"/>
      <c r="F957" s="23"/>
      <c r="G957" s="23"/>
      <c r="H957" s="23"/>
      <c r="I957" s="40"/>
      <c r="J957" s="70"/>
      <c r="K957" s="23"/>
      <c r="L957" s="70"/>
      <c r="M957" s="70"/>
      <c r="N957" s="23"/>
      <c r="O957" s="23"/>
      <c r="P957" s="23"/>
      <c r="Q957" s="23"/>
      <c r="R957" s="72"/>
      <c r="S957" s="23"/>
      <c r="T957" s="23"/>
      <c r="U957" s="23"/>
      <c r="V957" s="23"/>
      <c r="W957" s="23"/>
      <c r="X957" s="23"/>
      <c r="Y957" s="23"/>
      <c r="Z957" s="23"/>
      <c r="AA957" s="23"/>
      <c r="AB957" s="23"/>
      <c r="AC957" s="23"/>
      <c r="AD957" s="23"/>
      <c r="AE957" s="23"/>
    </row>
    <row r="958" spans="1:31">
      <c r="A958" s="23"/>
      <c r="B958" s="40"/>
      <c r="C958" s="40"/>
      <c r="D958" s="23"/>
      <c r="E958" s="23"/>
      <c r="F958" s="23"/>
      <c r="G958" s="23"/>
      <c r="H958" s="23"/>
      <c r="I958" s="40"/>
      <c r="J958" s="70"/>
      <c r="K958" s="23"/>
      <c r="L958" s="70"/>
      <c r="M958" s="70"/>
      <c r="N958" s="23"/>
      <c r="O958" s="23"/>
      <c r="P958" s="23"/>
      <c r="Q958" s="23"/>
      <c r="R958" s="72"/>
      <c r="S958" s="23"/>
      <c r="T958" s="23"/>
      <c r="U958" s="23"/>
      <c r="V958" s="23"/>
      <c r="W958" s="23"/>
      <c r="X958" s="23"/>
      <c r="Y958" s="23"/>
      <c r="Z958" s="23"/>
      <c r="AA958" s="23"/>
      <c r="AB958" s="23"/>
      <c r="AC958" s="23"/>
      <c r="AD958" s="23"/>
      <c r="AE958" s="23"/>
    </row>
    <row r="959" spans="1:31">
      <c r="A959" s="23"/>
      <c r="B959" s="40"/>
      <c r="C959" s="40"/>
      <c r="D959" s="23"/>
      <c r="E959" s="23"/>
      <c r="F959" s="23"/>
      <c r="G959" s="23"/>
      <c r="H959" s="23"/>
      <c r="I959" s="40"/>
      <c r="J959" s="70"/>
      <c r="K959" s="23"/>
      <c r="L959" s="70"/>
      <c r="M959" s="70"/>
      <c r="N959" s="23"/>
      <c r="O959" s="23"/>
      <c r="P959" s="23"/>
      <c r="Q959" s="23"/>
      <c r="R959" s="72"/>
      <c r="S959" s="23"/>
      <c r="T959" s="23"/>
      <c r="U959" s="23"/>
      <c r="V959" s="23"/>
      <c r="W959" s="23"/>
      <c r="X959" s="23"/>
      <c r="Y959" s="23"/>
      <c r="Z959" s="23"/>
      <c r="AA959" s="23"/>
      <c r="AB959" s="23"/>
      <c r="AC959" s="23"/>
      <c r="AD959" s="23"/>
      <c r="AE959" s="23"/>
    </row>
    <row r="960" spans="1:31" ht="12" customHeight="1">
      <c r="A960" s="23"/>
      <c r="B960" s="40"/>
      <c r="C960" s="40"/>
      <c r="D960" s="23"/>
      <c r="E960" s="23"/>
      <c r="F960" s="23"/>
      <c r="G960" s="23"/>
      <c r="H960" s="23"/>
      <c r="I960" s="40"/>
      <c r="J960" s="70"/>
      <c r="K960" s="23"/>
      <c r="L960" s="70"/>
      <c r="M960" s="70"/>
      <c r="N960" s="23"/>
      <c r="O960" s="23"/>
      <c r="P960" s="23"/>
      <c r="Q960" s="23"/>
      <c r="R960" s="72"/>
      <c r="S960" s="23"/>
      <c r="T960" s="23"/>
      <c r="U960" s="23"/>
      <c r="V960" s="23"/>
      <c r="W960" s="23"/>
      <c r="X960" s="23"/>
      <c r="Y960" s="23"/>
      <c r="Z960" s="23"/>
      <c r="AA960" s="23"/>
      <c r="AB960" s="23"/>
      <c r="AC960" s="23"/>
      <c r="AD960" s="23"/>
      <c r="AE960" s="23"/>
    </row>
    <row r="961" spans="1:31">
      <c r="A961" s="23"/>
      <c r="B961" s="40"/>
      <c r="C961" s="40"/>
      <c r="D961" s="23"/>
      <c r="E961" s="23"/>
      <c r="F961" s="23"/>
      <c r="G961" s="23"/>
      <c r="H961" s="23"/>
      <c r="I961" s="40"/>
      <c r="J961" s="70"/>
      <c r="K961" s="23"/>
      <c r="L961" s="70"/>
      <c r="M961" s="70"/>
      <c r="N961" s="23"/>
      <c r="O961" s="23"/>
      <c r="P961" s="23"/>
      <c r="Q961" s="23"/>
      <c r="R961" s="72"/>
      <c r="S961" s="23"/>
      <c r="T961" s="23"/>
      <c r="U961" s="23"/>
      <c r="V961" s="23"/>
      <c r="W961" s="23"/>
      <c r="X961" s="23"/>
      <c r="Y961" s="23"/>
      <c r="Z961" s="23"/>
      <c r="AA961" s="23"/>
      <c r="AB961" s="23"/>
      <c r="AC961" s="23"/>
      <c r="AD961" s="23"/>
      <c r="AE961" s="23"/>
    </row>
    <row r="962" spans="1:31">
      <c r="A962" s="23"/>
      <c r="B962" s="40"/>
      <c r="C962" s="40"/>
      <c r="D962" s="23"/>
      <c r="E962" s="23"/>
      <c r="F962" s="23"/>
      <c r="G962" s="23"/>
      <c r="H962" s="23"/>
      <c r="I962" s="40"/>
      <c r="J962" s="70"/>
      <c r="K962" s="23"/>
      <c r="L962" s="70"/>
      <c r="M962" s="70"/>
      <c r="N962" s="23"/>
      <c r="O962" s="23"/>
      <c r="P962" s="23"/>
      <c r="Q962" s="23"/>
      <c r="R962" s="72"/>
      <c r="S962" s="23"/>
      <c r="T962" s="23"/>
      <c r="U962" s="23"/>
      <c r="V962" s="23"/>
      <c r="W962" s="23"/>
      <c r="X962" s="23"/>
      <c r="Y962" s="23"/>
      <c r="Z962" s="23"/>
      <c r="AA962" s="23"/>
      <c r="AB962" s="23"/>
      <c r="AC962" s="23"/>
      <c r="AD962" s="23"/>
      <c r="AE962" s="23"/>
    </row>
    <row r="963" spans="1:31">
      <c r="A963" s="23"/>
      <c r="B963" s="40"/>
      <c r="C963" s="40"/>
      <c r="D963" s="23"/>
      <c r="E963" s="23"/>
      <c r="F963" s="23"/>
      <c r="G963" s="23"/>
      <c r="H963" s="23"/>
      <c r="I963" s="40"/>
      <c r="J963" s="70"/>
      <c r="K963" s="23"/>
      <c r="L963" s="70"/>
      <c r="M963" s="70"/>
      <c r="N963" s="23"/>
      <c r="O963" s="23"/>
      <c r="P963" s="23"/>
      <c r="Q963" s="23"/>
      <c r="R963" s="72"/>
      <c r="S963" s="23"/>
      <c r="T963" s="23"/>
      <c r="U963" s="23"/>
      <c r="V963" s="23"/>
      <c r="W963" s="23"/>
      <c r="X963" s="23"/>
      <c r="Y963" s="23"/>
      <c r="Z963" s="23"/>
      <c r="AA963" s="23"/>
      <c r="AB963" s="23"/>
      <c r="AC963" s="23"/>
      <c r="AD963" s="23"/>
      <c r="AE963" s="23"/>
    </row>
    <row r="964" spans="1:31">
      <c r="A964" s="23"/>
      <c r="B964" s="40"/>
      <c r="C964" s="40"/>
      <c r="D964" s="23"/>
      <c r="E964" s="23"/>
      <c r="F964" s="23"/>
      <c r="G964" s="23"/>
      <c r="H964" s="23"/>
      <c r="I964" s="40"/>
      <c r="J964" s="70"/>
      <c r="K964" s="23"/>
      <c r="L964" s="70"/>
      <c r="M964" s="70"/>
      <c r="N964" s="23"/>
      <c r="O964" s="23"/>
      <c r="P964" s="23"/>
      <c r="Q964" s="23"/>
      <c r="R964" s="72"/>
      <c r="S964" s="23"/>
      <c r="T964" s="23"/>
      <c r="U964" s="23"/>
      <c r="V964" s="23"/>
      <c r="W964" s="23"/>
      <c r="X964" s="23"/>
      <c r="Y964" s="23"/>
      <c r="Z964" s="23"/>
      <c r="AA964" s="23"/>
      <c r="AB964" s="23"/>
      <c r="AC964" s="23"/>
      <c r="AD964" s="23"/>
      <c r="AE964" s="23"/>
    </row>
    <row r="965" spans="1:31" ht="12" customHeight="1">
      <c r="A965" s="23"/>
      <c r="B965" s="40"/>
      <c r="C965" s="40"/>
      <c r="D965" s="23"/>
      <c r="E965" s="23"/>
      <c r="F965" s="23"/>
      <c r="G965" s="23"/>
      <c r="H965" s="23"/>
      <c r="I965" s="40"/>
      <c r="J965" s="70"/>
      <c r="K965" s="23"/>
      <c r="L965" s="70"/>
      <c r="M965" s="70"/>
      <c r="N965" s="23"/>
      <c r="O965" s="23"/>
      <c r="P965" s="23"/>
      <c r="Q965" s="23"/>
      <c r="R965" s="72"/>
      <c r="S965" s="23"/>
      <c r="T965" s="23"/>
      <c r="U965" s="23"/>
      <c r="V965" s="23"/>
      <c r="W965" s="23"/>
      <c r="X965" s="23"/>
      <c r="Y965" s="23"/>
      <c r="Z965" s="23"/>
      <c r="AA965" s="23"/>
      <c r="AB965" s="23"/>
      <c r="AC965" s="23"/>
      <c r="AD965" s="23"/>
      <c r="AE965" s="23"/>
    </row>
    <row r="966" spans="1:31">
      <c r="A966" s="23"/>
      <c r="B966" s="40"/>
      <c r="C966" s="40"/>
      <c r="D966" s="23"/>
      <c r="E966" s="23"/>
      <c r="F966" s="23"/>
      <c r="G966" s="23"/>
      <c r="H966" s="23"/>
      <c r="I966" s="40"/>
      <c r="J966" s="70"/>
      <c r="K966" s="23"/>
      <c r="L966" s="70"/>
      <c r="M966" s="70"/>
      <c r="N966" s="23"/>
      <c r="O966" s="23"/>
      <c r="P966" s="23"/>
      <c r="Q966" s="23"/>
      <c r="R966" s="72"/>
      <c r="S966" s="23"/>
      <c r="T966" s="23"/>
      <c r="U966" s="23"/>
      <c r="V966" s="23"/>
      <c r="W966" s="23"/>
      <c r="X966" s="23"/>
      <c r="Y966" s="23"/>
      <c r="Z966" s="23"/>
      <c r="AA966" s="23"/>
      <c r="AB966" s="23"/>
      <c r="AC966" s="23"/>
      <c r="AD966" s="23"/>
      <c r="AE966" s="23"/>
    </row>
    <row r="967" spans="1:31">
      <c r="A967" s="23"/>
      <c r="B967" s="40"/>
      <c r="C967" s="40"/>
      <c r="D967" s="23"/>
      <c r="E967" s="23"/>
      <c r="F967" s="23"/>
      <c r="G967" s="23"/>
      <c r="H967" s="23"/>
      <c r="I967" s="40"/>
      <c r="J967" s="70"/>
      <c r="K967" s="23"/>
      <c r="L967" s="70"/>
      <c r="M967" s="70"/>
      <c r="N967" s="23"/>
      <c r="O967" s="23"/>
      <c r="P967" s="23"/>
      <c r="Q967" s="23"/>
      <c r="R967" s="72"/>
      <c r="S967" s="23"/>
      <c r="T967" s="23"/>
      <c r="U967" s="23"/>
      <c r="V967" s="23"/>
      <c r="W967" s="23"/>
      <c r="X967" s="23"/>
      <c r="Y967" s="23"/>
      <c r="Z967" s="23"/>
      <c r="AA967" s="23"/>
      <c r="AB967" s="23"/>
      <c r="AC967" s="23"/>
      <c r="AD967" s="23"/>
      <c r="AE967" s="23"/>
    </row>
    <row r="968" spans="1:31">
      <c r="A968" s="23"/>
      <c r="B968" s="40"/>
      <c r="C968" s="40"/>
      <c r="D968" s="23"/>
      <c r="E968" s="23"/>
      <c r="F968" s="23"/>
      <c r="G968" s="23"/>
      <c r="H968" s="23"/>
      <c r="I968" s="40"/>
      <c r="J968" s="70"/>
      <c r="K968" s="23"/>
      <c r="L968" s="70"/>
      <c r="M968" s="70"/>
      <c r="N968" s="23"/>
      <c r="O968" s="23"/>
      <c r="P968" s="23"/>
      <c r="Q968" s="23"/>
      <c r="R968" s="72"/>
      <c r="S968" s="23"/>
      <c r="T968" s="23"/>
      <c r="U968" s="23"/>
      <c r="V968" s="23"/>
      <c r="W968" s="23"/>
      <c r="X968" s="23"/>
      <c r="Y968" s="23"/>
      <c r="Z968" s="23"/>
      <c r="AA968" s="23"/>
      <c r="AB968" s="23"/>
      <c r="AC968" s="23"/>
      <c r="AD968" s="23"/>
      <c r="AE968" s="23"/>
    </row>
    <row r="969" spans="1:31">
      <c r="A969" s="23"/>
      <c r="B969" s="40"/>
      <c r="C969" s="40"/>
      <c r="D969" s="23"/>
      <c r="E969" s="23"/>
      <c r="F969" s="23"/>
      <c r="G969" s="23"/>
      <c r="H969" s="23"/>
      <c r="I969" s="40"/>
      <c r="J969" s="70"/>
      <c r="K969" s="23"/>
      <c r="L969" s="70"/>
      <c r="M969" s="70"/>
      <c r="N969" s="23"/>
      <c r="O969" s="23"/>
      <c r="P969" s="23"/>
      <c r="Q969" s="23"/>
      <c r="R969" s="72"/>
      <c r="S969" s="23"/>
      <c r="T969" s="23"/>
      <c r="U969" s="23"/>
      <c r="V969" s="23"/>
      <c r="W969" s="23"/>
      <c r="X969" s="23"/>
      <c r="Y969" s="23"/>
      <c r="Z969" s="23"/>
      <c r="AA969" s="23"/>
      <c r="AB969" s="23"/>
      <c r="AC969" s="23"/>
      <c r="AD969" s="23"/>
      <c r="AE969" s="23"/>
    </row>
    <row r="970" spans="1:31">
      <c r="A970" s="23"/>
      <c r="B970" s="40"/>
      <c r="C970" s="40"/>
      <c r="D970" s="23"/>
      <c r="E970" s="23"/>
      <c r="F970" s="23"/>
      <c r="G970" s="23"/>
      <c r="H970" s="23"/>
      <c r="I970" s="40"/>
      <c r="J970" s="70"/>
      <c r="K970" s="23"/>
      <c r="L970" s="70"/>
      <c r="M970" s="70"/>
      <c r="N970" s="23"/>
      <c r="O970" s="23"/>
      <c r="P970" s="23"/>
      <c r="Q970" s="23"/>
      <c r="R970" s="72"/>
      <c r="S970" s="23"/>
      <c r="T970" s="23"/>
      <c r="U970" s="23"/>
      <c r="V970" s="23"/>
      <c r="W970" s="23"/>
      <c r="X970" s="23"/>
      <c r="Y970" s="23"/>
      <c r="Z970" s="23"/>
      <c r="AA970" s="23"/>
      <c r="AB970" s="23"/>
      <c r="AC970" s="23"/>
      <c r="AD970" s="23"/>
      <c r="AE970" s="23"/>
    </row>
    <row r="971" spans="1:31">
      <c r="A971" s="23"/>
      <c r="B971" s="40"/>
      <c r="C971" s="40"/>
      <c r="D971" s="23"/>
      <c r="E971" s="23"/>
      <c r="F971" s="23"/>
      <c r="G971" s="23"/>
      <c r="H971" s="23"/>
      <c r="I971" s="40"/>
      <c r="J971" s="70"/>
      <c r="K971" s="23"/>
      <c r="L971" s="70"/>
      <c r="M971" s="70"/>
      <c r="N971" s="23"/>
      <c r="O971" s="23"/>
      <c r="P971" s="23"/>
      <c r="Q971" s="23"/>
      <c r="R971" s="72"/>
      <c r="S971" s="23"/>
      <c r="T971" s="23"/>
      <c r="U971" s="23"/>
      <c r="V971" s="23"/>
      <c r="W971" s="23"/>
      <c r="X971" s="23"/>
      <c r="Y971" s="23"/>
      <c r="Z971" s="23"/>
      <c r="AA971" s="23"/>
      <c r="AB971" s="23"/>
      <c r="AC971" s="23"/>
      <c r="AD971" s="23"/>
      <c r="AE971" s="23"/>
    </row>
    <row r="972" spans="1:31">
      <c r="A972" s="23"/>
      <c r="B972" s="40"/>
      <c r="C972" s="40"/>
      <c r="D972" s="23"/>
      <c r="E972" s="23"/>
      <c r="F972" s="23"/>
      <c r="G972" s="23"/>
      <c r="H972" s="23"/>
      <c r="I972" s="40"/>
      <c r="J972" s="70"/>
      <c r="K972" s="23"/>
      <c r="L972" s="70"/>
      <c r="M972" s="70"/>
      <c r="N972" s="23"/>
      <c r="O972" s="23"/>
      <c r="P972" s="23"/>
      <c r="Q972" s="23"/>
      <c r="R972" s="72"/>
      <c r="S972" s="23"/>
      <c r="T972" s="23"/>
      <c r="U972" s="23"/>
      <c r="V972" s="23"/>
      <c r="W972" s="23"/>
      <c r="X972" s="23"/>
      <c r="Y972" s="23"/>
      <c r="Z972" s="23"/>
      <c r="AA972" s="23"/>
      <c r="AB972" s="23"/>
      <c r="AC972" s="23"/>
      <c r="AD972" s="23"/>
      <c r="AE972" s="23"/>
    </row>
    <row r="973" spans="1:31">
      <c r="A973" s="23"/>
      <c r="B973" s="40"/>
      <c r="C973" s="40"/>
      <c r="D973" s="23"/>
      <c r="E973" s="23"/>
      <c r="F973" s="23"/>
      <c r="G973" s="23"/>
      <c r="H973" s="23"/>
      <c r="I973" s="40"/>
      <c r="J973" s="70"/>
      <c r="K973" s="23"/>
      <c r="L973" s="70"/>
      <c r="M973" s="70"/>
      <c r="N973" s="23"/>
      <c r="O973" s="23"/>
      <c r="P973" s="23"/>
      <c r="Q973" s="23"/>
      <c r="R973" s="72"/>
      <c r="S973" s="23"/>
      <c r="T973" s="23"/>
      <c r="U973" s="23"/>
      <c r="V973" s="23"/>
      <c r="W973" s="23"/>
      <c r="X973" s="23"/>
      <c r="Y973" s="23"/>
      <c r="Z973" s="23"/>
      <c r="AA973" s="23"/>
      <c r="AB973" s="23"/>
      <c r="AC973" s="23"/>
      <c r="AD973" s="23"/>
      <c r="AE973" s="23"/>
    </row>
    <row r="974" spans="1:31">
      <c r="A974" s="23"/>
      <c r="B974" s="40"/>
      <c r="C974" s="40"/>
      <c r="D974" s="23"/>
      <c r="E974" s="23"/>
      <c r="F974" s="23"/>
      <c r="G974" s="23"/>
      <c r="H974" s="23"/>
      <c r="I974" s="40"/>
      <c r="J974" s="70"/>
      <c r="K974" s="23"/>
      <c r="L974" s="70"/>
      <c r="M974" s="70"/>
      <c r="N974" s="23"/>
      <c r="O974" s="23"/>
      <c r="P974" s="23"/>
      <c r="Q974" s="23"/>
      <c r="R974" s="72"/>
      <c r="S974" s="23"/>
      <c r="T974" s="23"/>
      <c r="U974" s="23"/>
      <c r="V974" s="23"/>
      <c r="W974" s="23"/>
      <c r="X974" s="23"/>
      <c r="Y974" s="23"/>
      <c r="Z974" s="23"/>
      <c r="AA974" s="23"/>
      <c r="AB974" s="23"/>
      <c r="AC974" s="23"/>
      <c r="AD974" s="23"/>
      <c r="AE974" s="23"/>
    </row>
    <row r="975" spans="1:31">
      <c r="A975" s="23"/>
      <c r="B975" s="40"/>
      <c r="C975" s="40"/>
      <c r="D975" s="23"/>
      <c r="E975" s="23"/>
      <c r="F975" s="23"/>
      <c r="G975" s="23"/>
      <c r="H975" s="23"/>
      <c r="I975" s="40"/>
      <c r="J975" s="70"/>
      <c r="K975" s="23"/>
      <c r="L975" s="70"/>
      <c r="M975" s="70"/>
      <c r="N975" s="23"/>
      <c r="O975" s="23"/>
      <c r="P975" s="23"/>
      <c r="Q975" s="23"/>
      <c r="R975" s="72"/>
      <c r="S975" s="23"/>
      <c r="T975" s="23"/>
      <c r="U975" s="23"/>
      <c r="V975" s="23"/>
      <c r="W975" s="23"/>
      <c r="X975" s="23"/>
      <c r="Y975" s="23"/>
      <c r="Z975" s="23"/>
      <c r="AA975" s="23"/>
      <c r="AB975" s="23"/>
      <c r="AC975" s="23"/>
      <c r="AD975" s="23"/>
      <c r="AE975" s="23"/>
    </row>
    <row r="976" spans="1:31">
      <c r="A976" s="23"/>
      <c r="B976" s="40"/>
      <c r="C976" s="40"/>
      <c r="D976" s="23"/>
      <c r="E976" s="23"/>
      <c r="F976" s="23"/>
      <c r="G976" s="23"/>
      <c r="H976" s="23"/>
      <c r="I976" s="40"/>
      <c r="J976" s="70"/>
      <c r="K976" s="23"/>
      <c r="L976" s="70"/>
      <c r="M976" s="70"/>
      <c r="N976" s="23"/>
      <c r="O976" s="23"/>
      <c r="P976" s="23"/>
      <c r="Q976" s="23"/>
      <c r="R976" s="72"/>
      <c r="S976" s="23"/>
      <c r="T976" s="23"/>
      <c r="U976" s="23"/>
      <c r="V976" s="23"/>
      <c r="W976" s="23"/>
      <c r="X976" s="23"/>
      <c r="Y976" s="23"/>
      <c r="Z976" s="23"/>
      <c r="AA976" s="23"/>
      <c r="AB976" s="23"/>
      <c r="AC976" s="23"/>
      <c r="AD976" s="23"/>
      <c r="AE976" s="23"/>
    </row>
    <row r="977" spans="1:31">
      <c r="A977" s="23"/>
      <c r="B977" s="40"/>
      <c r="C977" s="40"/>
      <c r="D977" s="23"/>
      <c r="E977" s="23"/>
      <c r="F977" s="23"/>
      <c r="G977" s="23"/>
      <c r="H977" s="23"/>
      <c r="I977" s="40"/>
      <c r="J977" s="70"/>
      <c r="K977" s="23"/>
      <c r="L977" s="70"/>
      <c r="M977" s="70"/>
      <c r="N977" s="23"/>
      <c r="O977" s="23"/>
      <c r="P977" s="23"/>
      <c r="Q977" s="23"/>
      <c r="R977" s="72"/>
      <c r="S977" s="23"/>
      <c r="T977" s="23"/>
      <c r="U977" s="23"/>
      <c r="V977" s="23"/>
      <c r="W977" s="23"/>
      <c r="X977" s="23"/>
      <c r="Y977" s="23"/>
      <c r="Z977" s="23"/>
      <c r="AA977" s="23"/>
      <c r="AB977" s="23"/>
      <c r="AC977" s="23"/>
      <c r="AD977" s="23"/>
      <c r="AE977" s="23"/>
    </row>
    <row r="978" spans="1:31">
      <c r="A978" s="23"/>
      <c r="B978" s="40"/>
      <c r="C978" s="40"/>
      <c r="D978" s="23"/>
      <c r="E978" s="23"/>
      <c r="F978" s="23"/>
      <c r="G978" s="23"/>
      <c r="H978" s="23"/>
      <c r="I978" s="40"/>
      <c r="J978" s="70"/>
      <c r="K978" s="23"/>
      <c r="L978" s="70"/>
      <c r="M978" s="70"/>
      <c r="N978" s="23"/>
      <c r="O978" s="23"/>
      <c r="P978" s="23"/>
      <c r="Q978" s="23"/>
      <c r="R978" s="72"/>
      <c r="S978" s="23"/>
      <c r="T978" s="23"/>
      <c r="U978" s="23"/>
      <c r="V978" s="23"/>
      <c r="W978" s="23"/>
      <c r="X978" s="23"/>
      <c r="Y978" s="23"/>
      <c r="Z978" s="23"/>
      <c r="AA978" s="23"/>
      <c r="AB978" s="23"/>
      <c r="AC978" s="23"/>
      <c r="AD978" s="23"/>
      <c r="AE978" s="23"/>
    </row>
    <row r="979" spans="1:31">
      <c r="A979" s="23"/>
      <c r="B979" s="40"/>
      <c r="C979" s="40"/>
      <c r="D979" s="23"/>
      <c r="E979" s="23"/>
      <c r="F979" s="23"/>
      <c r="G979" s="23"/>
      <c r="H979" s="23"/>
      <c r="I979" s="40"/>
      <c r="J979" s="70"/>
      <c r="K979" s="23"/>
      <c r="L979" s="70"/>
      <c r="M979" s="70"/>
      <c r="N979" s="23"/>
      <c r="O979" s="23"/>
      <c r="P979" s="23"/>
      <c r="Q979" s="23"/>
      <c r="R979" s="72"/>
      <c r="S979" s="23"/>
      <c r="T979" s="23"/>
      <c r="U979" s="23"/>
      <c r="V979" s="23"/>
      <c r="W979" s="23"/>
      <c r="X979" s="23"/>
      <c r="Y979" s="23"/>
      <c r="Z979" s="23"/>
      <c r="AA979" s="23"/>
      <c r="AB979" s="23"/>
      <c r="AC979" s="23"/>
      <c r="AD979" s="23"/>
      <c r="AE979" s="23"/>
    </row>
    <row r="980" spans="1:31">
      <c r="A980" s="23"/>
      <c r="B980" s="40"/>
      <c r="C980" s="40"/>
      <c r="D980" s="23"/>
      <c r="E980" s="23"/>
      <c r="F980" s="23"/>
      <c r="G980" s="23"/>
      <c r="H980" s="23"/>
      <c r="I980" s="40"/>
      <c r="J980" s="70"/>
      <c r="K980" s="23"/>
      <c r="L980" s="70"/>
      <c r="M980" s="70"/>
      <c r="N980" s="23"/>
      <c r="O980" s="23"/>
      <c r="P980" s="23"/>
      <c r="Q980" s="23"/>
      <c r="R980" s="72"/>
      <c r="S980" s="23"/>
      <c r="T980" s="23"/>
      <c r="U980" s="23"/>
      <c r="V980" s="23"/>
      <c r="W980" s="23"/>
      <c r="X980" s="23"/>
      <c r="Y980" s="23"/>
      <c r="Z980" s="23"/>
      <c r="AA980" s="23"/>
      <c r="AB980" s="23"/>
      <c r="AC980" s="23"/>
      <c r="AD980" s="23"/>
      <c r="AE980" s="23"/>
    </row>
    <row r="981" spans="1:31" ht="24" customHeight="1">
      <c r="A981" s="23"/>
      <c r="B981" s="40"/>
      <c r="C981" s="40"/>
      <c r="D981" s="23"/>
      <c r="E981" s="23"/>
      <c r="F981" s="23"/>
      <c r="G981" s="23"/>
      <c r="H981" s="40"/>
      <c r="I981" s="40"/>
      <c r="J981" s="70"/>
      <c r="K981" s="23"/>
      <c r="L981" s="70"/>
      <c r="M981" s="70"/>
      <c r="N981" s="23"/>
      <c r="O981" s="23"/>
      <c r="P981" s="23"/>
      <c r="Q981" s="23"/>
      <c r="R981" s="72"/>
      <c r="S981" s="23"/>
      <c r="T981" s="23"/>
      <c r="U981" s="23"/>
      <c r="V981" s="23"/>
      <c r="W981" s="23"/>
      <c r="X981" s="23"/>
      <c r="Y981" s="23"/>
      <c r="Z981" s="23"/>
      <c r="AA981" s="23"/>
      <c r="AB981" s="23"/>
      <c r="AC981" s="23"/>
      <c r="AD981" s="23"/>
      <c r="AE981" s="23"/>
    </row>
    <row r="982" spans="1:31">
      <c r="A982" s="23"/>
      <c r="B982" s="40"/>
      <c r="C982" s="40"/>
      <c r="D982" s="23"/>
      <c r="E982" s="23"/>
      <c r="F982" s="23"/>
      <c r="G982" s="23"/>
      <c r="H982" s="40"/>
      <c r="I982" s="40"/>
      <c r="J982" s="70"/>
      <c r="K982" s="23"/>
      <c r="L982" s="70"/>
      <c r="M982" s="70"/>
      <c r="N982" s="23"/>
      <c r="O982" s="23"/>
      <c r="P982" s="23"/>
      <c r="Q982" s="23"/>
      <c r="R982" s="72"/>
      <c r="S982" s="23"/>
      <c r="T982" s="23"/>
      <c r="U982" s="23"/>
      <c r="V982" s="23"/>
      <c r="W982" s="23"/>
      <c r="X982" s="23"/>
      <c r="Y982" s="23"/>
      <c r="Z982" s="23"/>
      <c r="AA982" s="23"/>
      <c r="AB982" s="23"/>
      <c r="AC982" s="23"/>
      <c r="AD982" s="23"/>
      <c r="AE982" s="23"/>
    </row>
    <row r="983" spans="1:31">
      <c r="A983" s="23"/>
      <c r="B983" s="40"/>
      <c r="C983" s="40"/>
      <c r="D983" s="23"/>
      <c r="E983" s="23"/>
      <c r="F983" s="23"/>
      <c r="G983" s="23"/>
      <c r="H983" s="40"/>
      <c r="I983" s="40"/>
      <c r="J983" s="70"/>
      <c r="K983" s="23"/>
      <c r="L983" s="70"/>
      <c r="M983" s="70"/>
      <c r="N983" s="23"/>
      <c r="O983" s="23"/>
      <c r="P983" s="23"/>
      <c r="Q983" s="23"/>
      <c r="R983" s="72"/>
      <c r="S983" s="23"/>
      <c r="T983" s="23"/>
      <c r="U983" s="23"/>
      <c r="V983" s="23"/>
      <c r="W983" s="23"/>
      <c r="X983" s="23"/>
      <c r="Y983" s="23"/>
      <c r="Z983" s="23"/>
      <c r="AA983" s="23"/>
      <c r="AB983" s="23"/>
      <c r="AC983" s="23"/>
      <c r="AD983" s="23"/>
      <c r="AE983" s="23"/>
    </row>
    <row r="984" spans="1:31">
      <c r="A984" s="23"/>
      <c r="B984" s="40"/>
      <c r="C984" s="40"/>
      <c r="D984" s="23"/>
      <c r="E984" s="23"/>
      <c r="F984" s="23"/>
      <c r="G984" s="23"/>
      <c r="H984" s="40"/>
      <c r="I984" s="40"/>
      <c r="J984" s="70"/>
      <c r="K984" s="23"/>
      <c r="L984" s="70"/>
      <c r="M984" s="70"/>
      <c r="N984" s="23"/>
      <c r="O984" s="23"/>
      <c r="P984" s="23"/>
      <c r="Q984" s="23"/>
      <c r="R984" s="72"/>
      <c r="S984" s="23"/>
      <c r="T984" s="23"/>
      <c r="U984" s="23"/>
      <c r="V984" s="23"/>
      <c r="W984" s="23"/>
      <c r="X984" s="23"/>
      <c r="Y984" s="23"/>
      <c r="Z984" s="23"/>
      <c r="AA984" s="23"/>
      <c r="AB984" s="23"/>
      <c r="AC984" s="23"/>
      <c r="AD984" s="23"/>
      <c r="AE984" s="23"/>
    </row>
    <row r="985" spans="1:31">
      <c r="A985" s="23"/>
      <c r="B985" s="40"/>
      <c r="C985" s="40"/>
      <c r="D985" s="23"/>
      <c r="E985" s="23"/>
      <c r="F985" s="23"/>
      <c r="G985" s="23"/>
      <c r="H985" s="23"/>
      <c r="I985" s="40"/>
      <c r="J985" s="70"/>
      <c r="K985" s="23"/>
      <c r="L985" s="70"/>
      <c r="M985" s="70"/>
      <c r="N985" s="23"/>
      <c r="O985" s="23"/>
      <c r="P985" s="23"/>
      <c r="Q985" s="23"/>
      <c r="R985" s="72"/>
      <c r="S985" s="23"/>
      <c r="T985" s="23"/>
      <c r="U985" s="23"/>
      <c r="V985" s="23"/>
      <c r="W985" s="23"/>
      <c r="X985" s="23"/>
      <c r="Y985" s="23"/>
      <c r="Z985" s="23"/>
      <c r="AA985" s="23"/>
      <c r="AB985" s="23"/>
      <c r="AC985" s="23"/>
      <c r="AD985" s="23"/>
      <c r="AE985" s="23"/>
    </row>
    <row r="986" spans="1:31">
      <c r="A986" s="23"/>
      <c r="B986" s="40"/>
      <c r="C986" s="40"/>
      <c r="D986" s="23"/>
      <c r="E986" s="23"/>
      <c r="F986" s="23"/>
      <c r="G986" s="23"/>
      <c r="H986" s="23"/>
      <c r="I986" s="40"/>
      <c r="J986" s="70"/>
      <c r="K986" s="23"/>
      <c r="L986" s="70"/>
      <c r="M986" s="70"/>
      <c r="N986" s="23"/>
      <c r="O986" s="23"/>
      <c r="P986" s="23"/>
      <c r="Q986" s="23"/>
      <c r="R986" s="72"/>
      <c r="S986" s="23"/>
      <c r="T986" s="23"/>
      <c r="U986" s="23"/>
      <c r="V986" s="23"/>
      <c r="W986" s="23"/>
      <c r="X986" s="23"/>
      <c r="Y986" s="23"/>
      <c r="Z986" s="23"/>
      <c r="AA986" s="23"/>
      <c r="AB986" s="23"/>
      <c r="AC986" s="23"/>
      <c r="AD986" s="23"/>
      <c r="AE986" s="23"/>
    </row>
    <row r="987" spans="1:31" ht="24" customHeight="1">
      <c r="A987" s="23"/>
      <c r="B987" s="40"/>
      <c r="C987" s="40"/>
      <c r="D987" s="23"/>
      <c r="E987" s="23"/>
      <c r="F987" s="23"/>
      <c r="G987" s="23"/>
      <c r="H987" s="40"/>
      <c r="I987" s="40"/>
      <c r="J987" s="70"/>
      <c r="K987" s="23"/>
      <c r="L987" s="70"/>
      <c r="M987" s="70"/>
      <c r="N987" s="23"/>
      <c r="O987" s="23"/>
      <c r="P987" s="23"/>
      <c r="Q987" s="23"/>
      <c r="R987" s="72"/>
      <c r="S987" s="23"/>
      <c r="T987" s="23"/>
      <c r="U987" s="23"/>
      <c r="V987" s="23"/>
      <c r="W987" s="23"/>
      <c r="X987" s="23"/>
      <c r="Y987" s="23"/>
      <c r="Z987" s="23"/>
      <c r="AA987" s="23"/>
      <c r="AB987" s="23"/>
      <c r="AC987" s="23"/>
      <c r="AD987" s="23"/>
      <c r="AE987" s="23"/>
    </row>
    <row r="988" spans="1:31">
      <c r="A988" s="23"/>
      <c r="B988" s="40"/>
      <c r="C988" s="40"/>
      <c r="D988" s="23"/>
      <c r="E988" s="23"/>
      <c r="F988" s="23"/>
      <c r="G988" s="23"/>
      <c r="H988" s="40"/>
      <c r="I988" s="40"/>
      <c r="J988" s="70"/>
      <c r="K988" s="23"/>
      <c r="L988" s="70"/>
      <c r="M988" s="70"/>
      <c r="N988" s="23"/>
      <c r="O988" s="23"/>
      <c r="P988" s="23"/>
      <c r="Q988" s="23"/>
      <c r="R988" s="72"/>
      <c r="S988" s="23"/>
      <c r="T988" s="23"/>
      <c r="U988" s="23"/>
      <c r="V988" s="23"/>
      <c r="W988" s="23"/>
      <c r="X988" s="23"/>
      <c r="Y988" s="23"/>
      <c r="Z988" s="23"/>
      <c r="AA988" s="23"/>
      <c r="AB988" s="23"/>
      <c r="AC988" s="23"/>
      <c r="AD988" s="23"/>
      <c r="AE988" s="23"/>
    </row>
    <row r="989" spans="1:31">
      <c r="A989" s="23"/>
      <c r="B989" s="40"/>
      <c r="C989" s="40"/>
      <c r="D989" s="23"/>
      <c r="E989" s="23"/>
      <c r="F989" s="23"/>
      <c r="G989" s="23"/>
      <c r="H989" s="40"/>
      <c r="I989" s="40"/>
      <c r="J989" s="70"/>
      <c r="K989" s="23"/>
      <c r="L989" s="70"/>
      <c r="M989" s="70"/>
      <c r="N989" s="23"/>
      <c r="O989" s="23"/>
      <c r="P989" s="23"/>
      <c r="Q989" s="23"/>
      <c r="R989" s="72"/>
      <c r="S989" s="23"/>
      <c r="T989" s="23"/>
      <c r="U989" s="23"/>
      <c r="V989" s="23"/>
      <c r="W989" s="23"/>
      <c r="X989" s="23"/>
      <c r="Y989" s="23"/>
      <c r="Z989" s="23"/>
      <c r="AA989" s="23"/>
      <c r="AB989" s="23"/>
      <c r="AC989" s="23"/>
      <c r="AD989" s="23"/>
      <c r="AE989" s="23"/>
    </row>
    <row r="990" spans="1:31">
      <c r="A990" s="23"/>
      <c r="B990" s="40"/>
      <c r="C990" s="40"/>
      <c r="D990" s="23"/>
      <c r="E990" s="23"/>
      <c r="F990" s="23"/>
      <c r="G990" s="23"/>
      <c r="H990" s="40"/>
      <c r="I990" s="40"/>
      <c r="J990" s="70"/>
      <c r="K990" s="23"/>
      <c r="L990" s="70"/>
      <c r="M990" s="70"/>
      <c r="N990" s="23"/>
      <c r="O990" s="23"/>
      <c r="P990" s="23"/>
      <c r="Q990" s="23"/>
      <c r="R990" s="72"/>
      <c r="S990" s="23"/>
      <c r="T990" s="23"/>
      <c r="U990" s="23"/>
      <c r="V990" s="23"/>
      <c r="W990" s="23"/>
      <c r="X990" s="23"/>
      <c r="Y990" s="23"/>
      <c r="Z990" s="23"/>
      <c r="AA990" s="23"/>
      <c r="AB990" s="23"/>
      <c r="AC990" s="23"/>
      <c r="AD990" s="23"/>
      <c r="AE990" s="23"/>
    </row>
    <row r="991" spans="1:31">
      <c r="A991" s="23"/>
      <c r="B991" s="40"/>
      <c r="C991" s="40"/>
      <c r="D991" s="23"/>
      <c r="E991" s="23"/>
      <c r="F991" s="23"/>
      <c r="G991" s="23"/>
      <c r="H991" s="40"/>
      <c r="I991" s="40"/>
      <c r="J991" s="70"/>
      <c r="K991" s="23"/>
      <c r="L991" s="70"/>
      <c r="M991" s="70"/>
      <c r="N991" s="23"/>
      <c r="O991" s="23"/>
      <c r="P991" s="23"/>
      <c r="Q991" s="23"/>
      <c r="R991" s="72"/>
      <c r="S991" s="23"/>
      <c r="T991" s="23"/>
      <c r="U991" s="23"/>
      <c r="V991" s="23"/>
      <c r="W991" s="23"/>
      <c r="X991" s="23"/>
      <c r="Y991" s="23"/>
      <c r="Z991" s="23"/>
      <c r="AA991" s="23"/>
      <c r="AB991" s="23"/>
      <c r="AC991" s="23"/>
      <c r="AD991" s="23"/>
      <c r="AE991" s="23"/>
    </row>
    <row r="992" spans="1:31" ht="24" customHeight="1">
      <c r="A992" s="23"/>
      <c r="B992" s="40"/>
      <c r="C992" s="40"/>
      <c r="D992" s="23"/>
      <c r="E992" s="23"/>
      <c r="F992" s="23"/>
      <c r="G992" s="23"/>
      <c r="H992" s="40"/>
      <c r="I992" s="40"/>
      <c r="J992" s="70"/>
      <c r="K992" s="23"/>
      <c r="L992" s="70"/>
      <c r="M992" s="70"/>
      <c r="N992" s="23"/>
      <c r="O992" s="23"/>
      <c r="P992" s="23"/>
      <c r="Q992" s="23"/>
      <c r="R992" s="72"/>
      <c r="S992" s="23"/>
      <c r="T992" s="23"/>
      <c r="U992" s="23"/>
      <c r="V992" s="23"/>
      <c r="W992" s="23"/>
      <c r="X992" s="23"/>
      <c r="Y992" s="23"/>
      <c r="Z992" s="23"/>
      <c r="AA992" s="23"/>
      <c r="AB992" s="23"/>
      <c r="AC992" s="23"/>
      <c r="AD992" s="23"/>
      <c r="AE992" s="23"/>
    </row>
    <row r="993" spans="1:31">
      <c r="A993" s="23"/>
      <c r="B993" s="40"/>
      <c r="C993" s="40"/>
      <c r="D993" s="23"/>
      <c r="E993" s="23"/>
      <c r="F993" s="23"/>
      <c r="G993" s="23"/>
      <c r="H993" s="40"/>
      <c r="I993" s="40"/>
      <c r="J993" s="70"/>
      <c r="K993" s="23"/>
      <c r="L993" s="70"/>
      <c r="M993" s="70"/>
      <c r="N993" s="23"/>
      <c r="O993" s="23"/>
      <c r="P993" s="23"/>
      <c r="Q993" s="23"/>
      <c r="R993" s="72"/>
      <c r="S993" s="23"/>
      <c r="T993" s="23"/>
      <c r="U993" s="23"/>
      <c r="V993" s="23"/>
      <c r="W993" s="23"/>
      <c r="X993" s="23"/>
      <c r="Y993" s="23"/>
      <c r="Z993" s="23"/>
      <c r="AA993" s="23"/>
      <c r="AB993" s="23"/>
      <c r="AC993" s="23"/>
      <c r="AD993" s="23"/>
      <c r="AE993" s="23"/>
    </row>
    <row r="994" spans="1:31">
      <c r="A994" s="23"/>
      <c r="B994" s="40"/>
      <c r="C994" s="40"/>
      <c r="D994" s="23"/>
      <c r="E994" s="23"/>
      <c r="F994" s="23"/>
      <c r="G994" s="23"/>
      <c r="H994" s="23"/>
      <c r="I994" s="40"/>
      <c r="J994" s="70"/>
      <c r="K994" s="23"/>
      <c r="L994" s="70"/>
      <c r="M994" s="70"/>
      <c r="N994" s="23"/>
      <c r="O994" s="23"/>
      <c r="P994" s="23"/>
      <c r="Q994" s="23"/>
      <c r="R994" s="72"/>
      <c r="S994" s="23"/>
      <c r="T994" s="23"/>
      <c r="U994" s="23"/>
      <c r="V994" s="23"/>
      <c r="W994" s="23"/>
      <c r="X994" s="23"/>
      <c r="Y994" s="23"/>
      <c r="Z994" s="23"/>
      <c r="AA994" s="23"/>
      <c r="AB994" s="23"/>
      <c r="AC994" s="23"/>
      <c r="AD994" s="23"/>
      <c r="AE994" s="23"/>
    </row>
    <row r="995" spans="1:31">
      <c r="A995" s="23"/>
      <c r="B995" s="40"/>
      <c r="C995" s="40"/>
      <c r="D995" s="23"/>
      <c r="E995" s="23"/>
      <c r="F995" s="23"/>
      <c r="G995" s="23"/>
      <c r="H995" s="23"/>
      <c r="I995" s="40"/>
      <c r="J995" s="70"/>
      <c r="K995" s="23"/>
      <c r="L995" s="70"/>
      <c r="M995" s="70"/>
      <c r="N995" s="23"/>
      <c r="O995" s="23"/>
      <c r="P995" s="23"/>
      <c r="Q995" s="23"/>
      <c r="R995" s="72"/>
      <c r="S995" s="23"/>
      <c r="T995" s="23"/>
      <c r="U995" s="23"/>
      <c r="V995" s="23"/>
      <c r="W995" s="23"/>
      <c r="X995" s="23"/>
      <c r="Y995" s="23"/>
      <c r="Z995" s="23"/>
      <c r="AA995" s="23"/>
      <c r="AB995" s="23"/>
      <c r="AC995" s="23"/>
      <c r="AD995" s="23"/>
      <c r="AE995" s="23"/>
    </row>
    <row r="996" spans="1:31">
      <c r="A996" s="23"/>
      <c r="B996" s="40"/>
      <c r="C996" s="40"/>
      <c r="D996" s="23"/>
      <c r="E996" s="23"/>
      <c r="F996" s="23"/>
      <c r="G996" s="23"/>
      <c r="H996" s="23"/>
      <c r="I996" s="40"/>
      <c r="J996" s="70"/>
      <c r="K996" s="23"/>
      <c r="L996" s="70"/>
      <c r="M996" s="70"/>
      <c r="N996" s="23"/>
      <c r="O996" s="23"/>
      <c r="P996" s="23"/>
      <c r="Q996" s="23"/>
      <c r="R996" s="72"/>
      <c r="S996" s="23"/>
      <c r="T996" s="23"/>
      <c r="U996" s="23"/>
      <c r="V996" s="23"/>
      <c r="W996" s="23"/>
      <c r="X996" s="23"/>
      <c r="Y996" s="23"/>
      <c r="Z996" s="23"/>
      <c r="AA996" s="23"/>
      <c r="AB996" s="23"/>
      <c r="AC996" s="23"/>
      <c r="AD996" s="23"/>
      <c r="AE996" s="23"/>
    </row>
    <row r="997" spans="1:31">
      <c r="A997" s="23"/>
      <c r="B997" s="40"/>
      <c r="C997" s="40"/>
      <c r="D997" s="23"/>
      <c r="E997" s="23"/>
      <c r="F997" s="23"/>
      <c r="G997" s="23"/>
      <c r="H997" s="23"/>
      <c r="I997" s="40"/>
      <c r="J997" s="70"/>
      <c r="K997" s="23"/>
      <c r="L997" s="70"/>
      <c r="M997" s="70"/>
      <c r="N997" s="23"/>
      <c r="O997" s="23"/>
      <c r="P997" s="23"/>
      <c r="Q997" s="23"/>
      <c r="R997" s="72"/>
      <c r="S997" s="23"/>
      <c r="T997" s="23"/>
      <c r="U997" s="23"/>
      <c r="V997" s="23"/>
      <c r="W997" s="23"/>
      <c r="X997" s="23"/>
      <c r="Y997" s="23"/>
      <c r="Z997" s="23"/>
      <c r="AA997" s="23"/>
      <c r="AB997" s="23"/>
      <c r="AC997" s="23"/>
      <c r="AD997" s="23"/>
      <c r="AE997" s="23"/>
    </row>
    <row r="998" spans="1:31">
      <c r="A998" s="23"/>
      <c r="B998" s="40"/>
      <c r="C998" s="40"/>
      <c r="D998" s="23"/>
      <c r="E998" s="23"/>
      <c r="F998" s="23"/>
      <c r="G998" s="23"/>
      <c r="H998" s="23"/>
      <c r="I998" s="40"/>
      <c r="J998" s="70"/>
      <c r="K998" s="23"/>
      <c r="L998" s="70"/>
      <c r="M998" s="70"/>
      <c r="N998" s="23"/>
      <c r="O998" s="23"/>
      <c r="P998" s="23"/>
      <c r="Q998" s="23"/>
      <c r="R998" s="72"/>
      <c r="S998" s="23"/>
      <c r="T998" s="23"/>
      <c r="U998" s="23"/>
      <c r="V998" s="23"/>
      <c r="W998" s="23"/>
      <c r="X998" s="23"/>
      <c r="Y998" s="23"/>
      <c r="Z998" s="23"/>
      <c r="AA998" s="23"/>
      <c r="AB998" s="23"/>
      <c r="AC998" s="23"/>
      <c r="AD998" s="23"/>
      <c r="AE998" s="23"/>
    </row>
    <row r="999" spans="1:31" ht="24" customHeight="1">
      <c r="A999" s="23"/>
      <c r="B999" s="40"/>
      <c r="C999" s="40"/>
      <c r="D999" s="23"/>
      <c r="E999" s="23"/>
      <c r="F999" s="23"/>
      <c r="G999" s="23"/>
      <c r="H999" s="40"/>
      <c r="I999" s="40"/>
      <c r="J999" s="70"/>
      <c r="K999" s="23"/>
      <c r="L999" s="70"/>
      <c r="M999" s="70"/>
      <c r="N999" s="23"/>
      <c r="O999" s="23"/>
      <c r="P999" s="23"/>
      <c r="Q999" s="23"/>
      <c r="R999" s="72"/>
      <c r="S999" s="23"/>
      <c r="T999" s="23"/>
      <c r="U999" s="23"/>
      <c r="V999" s="23"/>
      <c r="W999" s="23"/>
      <c r="X999" s="23"/>
      <c r="Y999" s="23"/>
      <c r="Z999" s="23"/>
      <c r="AA999" s="23"/>
      <c r="AB999" s="23"/>
      <c r="AC999" s="23"/>
      <c r="AD999" s="23"/>
      <c r="AE999" s="23"/>
    </row>
    <row r="1000" spans="1:31">
      <c r="A1000" s="23"/>
      <c r="B1000" s="40"/>
      <c r="C1000" s="40"/>
      <c r="D1000" s="23"/>
      <c r="E1000" s="23"/>
      <c r="F1000" s="23"/>
      <c r="G1000" s="23"/>
      <c r="H1000" s="40"/>
      <c r="I1000" s="40"/>
      <c r="J1000" s="70"/>
      <c r="K1000" s="23"/>
      <c r="L1000" s="70"/>
      <c r="M1000" s="70"/>
      <c r="N1000" s="23"/>
      <c r="O1000" s="23"/>
      <c r="P1000" s="23"/>
      <c r="Q1000" s="23"/>
      <c r="R1000" s="72"/>
      <c r="S1000" s="23"/>
      <c r="T1000" s="23"/>
      <c r="U1000" s="23"/>
      <c r="V1000" s="23"/>
      <c r="W1000" s="23"/>
      <c r="X1000" s="23"/>
      <c r="Y1000" s="23"/>
      <c r="Z1000" s="23"/>
      <c r="AA1000" s="23"/>
      <c r="AB1000" s="23"/>
      <c r="AC1000" s="23"/>
      <c r="AD1000" s="23"/>
      <c r="AE1000" s="23"/>
    </row>
    <row r="1001" spans="1:31">
      <c r="A1001" s="23"/>
      <c r="B1001" s="40"/>
      <c r="C1001" s="40"/>
      <c r="D1001" s="23"/>
      <c r="E1001" s="23"/>
      <c r="F1001" s="23"/>
      <c r="G1001" s="23"/>
      <c r="H1001" s="40"/>
      <c r="I1001" s="40"/>
      <c r="J1001" s="70"/>
      <c r="K1001" s="23"/>
      <c r="L1001" s="70"/>
      <c r="M1001" s="70"/>
      <c r="N1001" s="23"/>
      <c r="O1001" s="23"/>
      <c r="P1001" s="23"/>
      <c r="Q1001" s="23"/>
      <c r="R1001" s="72"/>
      <c r="S1001" s="23"/>
      <c r="T1001" s="23"/>
      <c r="U1001" s="23"/>
      <c r="V1001" s="23"/>
      <c r="W1001" s="23"/>
      <c r="X1001" s="23"/>
      <c r="Y1001" s="23"/>
      <c r="Z1001" s="23"/>
      <c r="AA1001" s="23"/>
      <c r="AB1001" s="23"/>
      <c r="AC1001" s="23"/>
      <c r="AD1001" s="23"/>
      <c r="AE1001" s="23"/>
    </row>
    <row r="1002" spans="1:31">
      <c r="A1002" s="23"/>
      <c r="B1002" s="40"/>
      <c r="C1002" s="40"/>
      <c r="D1002" s="23"/>
      <c r="E1002" s="23"/>
      <c r="F1002" s="23"/>
      <c r="G1002" s="23"/>
      <c r="H1002" s="40"/>
      <c r="I1002" s="40"/>
      <c r="J1002" s="70"/>
      <c r="K1002" s="23"/>
      <c r="L1002" s="70"/>
      <c r="M1002" s="70"/>
      <c r="N1002" s="23"/>
      <c r="O1002" s="23"/>
      <c r="P1002" s="23"/>
      <c r="Q1002" s="23"/>
      <c r="R1002" s="72"/>
      <c r="S1002" s="23"/>
      <c r="T1002" s="23"/>
      <c r="U1002" s="23"/>
      <c r="V1002" s="23"/>
      <c r="W1002" s="23"/>
      <c r="X1002" s="23"/>
      <c r="Y1002" s="23"/>
      <c r="Z1002" s="23"/>
      <c r="AA1002" s="23"/>
      <c r="AB1002" s="23"/>
      <c r="AC1002" s="23"/>
      <c r="AD1002" s="23"/>
      <c r="AE1002" s="23"/>
    </row>
    <row r="1003" spans="1:31">
      <c r="A1003" s="23"/>
      <c r="B1003" s="40"/>
      <c r="C1003" s="40"/>
      <c r="D1003" s="23"/>
      <c r="E1003" s="23"/>
      <c r="F1003" s="23"/>
      <c r="G1003" s="23"/>
      <c r="H1003" s="23"/>
      <c r="I1003" s="40"/>
      <c r="J1003" s="70"/>
      <c r="K1003" s="23"/>
      <c r="L1003" s="70"/>
      <c r="M1003" s="70"/>
      <c r="N1003" s="23"/>
      <c r="O1003" s="23"/>
      <c r="P1003" s="23"/>
      <c r="Q1003" s="23"/>
      <c r="R1003" s="72"/>
      <c r="S1003" s="23"/>
      <c r="T1003" s="23"/>
      <c r="U1003" s="23"/>
      <c r="V1003" s="23"/>
      <c r="W1003" s="23"/>
      <c r="X1003" s="23"/>
      <c r="Y1003" s="23"/>
      <c r="Z1003" s="23"/>
      <c r="AA1003" s="23"/>
      <c r="AB1003" s="23"/>
      <c r="AC1003" s="23"/>
      <c r="AD1003" s="23"/>
      <c r="AE1003" s="23"/>
    </row>
    <row r="1004" spans="1:31">
      <c r="A1004" s="23"/>
      <c r="B1004" s="40"/>
      <c r="C1004" s="40"/>
      <c r="D1004" s="23"/>
      <c r="E1004" s="23"/>
      <c r="F1004" s="23"/>
      <c r="G1004" s="23"/>
      <c r="H1004" s="23"/>
      <c r="I1004" s="40"/>
      <c r="J1004" s="70"/>
      <c r="K1004" s="23"/>
      <c r="L1004" s="70"/>
      <c r="M1004" s="70"/>
      <c r="N1004" s="23"/>
      <c r="O1004" s="23"/>
      <c r="P1004" s="23"/>
      <c r="Q1004" s="23"/>
      <c r="R1004" s="72"/>
      <c r="S1004" s="23"/>
      <c r="T1004" s="23"/>
      <c r="U1004" s="23"/>
      <c r="V1004" s="23"/>
      <c r="W1004" s="23"/>
      <c r="X1004" s="23"/>
      <c r="Y1004" s="23"/>
      <c r="Z1004" s="23"/>
      <c r="AA1004" s="23"/>
      <c r="AB1004" s="23"/>
      <c r="AC1004" s="23"/>
      <c r="AD1004" s="23"/>
      <c r="AE1004" s="23"/>
    </row>
    <row r="1005" spans="1:31" ht="24" customHeight="1">
      <c r="A1005" s="23"/>
      <c r="B1005" s="40"/>
      <c r="C1005" s="40"/>
      <c r="D1005" s="23"/>
      <c r="E1005" s="23"/>
      <c r="F1005" s="23"/>
      <c r="G1005" s="23"/>
      <c r="H1005" s="40"/>
      <c r="I1005" s="40"/>
      <c r="J1005" s="70"/>
      <c r="K1005" s="23"/>
      <c r="L1005" s="70"/>
      <c r="M1005" s="70"/>
      <c r="N1005" s="23"/>
      <c r="O1005" s="23"/>
      <c r="P1005" s="23"/>
      <c r="Q1005" s="23"/>
      <c r="R1005" s="72"/>
      <c r="S1005" s="23"/>
      <c r="T1005" s="23"/>
      <c r="U1005" s="23"/>
      <c r="V1005" s="23"/>
      <c r="W1005" s="23"/>
      <c r="X1005" s="23"/>
      <c r="Y1005" s="23"/>
      <c r="Z1005" s="23"/>
      <c r="AA1005" s="23"/>
      <c r="AB1005" s="23"/>
      <c r="AC1005" s="23"/>
      <c r="AD1005" s="23"/>
      <c r="AE1005" s="23"/>
    </row>
    <row r="1006" spans="1:31">
      <c r="A1006" s="23"/>
      <c r="B1006" s="40"/>
      <c r="C1006" s="40"/>
      <c r="D1006" s="23"/>
      <c r="E1006" s="23"/>
      <c r="F1006" s="23"/>
      <c r="G1006" s="23"/>
      <c r="H1006" s="40"/>
      <c r="I1006" s="40"/>
      <c r="J1006" s="70"/>
      <c r="K1006" s="23"/>
      <c r="L1006" s="70"/>
      <c r="M1006" s="70"/>
      <c r="N1006" s="23"/>
      <c r="O1006" s="23"/>
      <c r="P1006" s="23"/>
      <c r="Q1006" s="23"/>
      <c r="R1006" s="72"/>
      <c r="S1006" s="23"/>
      <c r="T1006" s="23"/>
      <c r="U1006" s="23"/>
      <c r="V1006" s="23"/>
      <c r="W1006" s="23"/>
      <c r="X1006" s="23"/>
      <c r="Y1006" s="23"/>
      <c r="Z1006" s="23"/>
      <c r="AA1006" s="23"/>
      <c r="AB1006" s="23"/>
      <c r="AC1006" s="23"/>
      <c r="AD1006" s="23"/>
      <c r="AE1006" s="23"/>
    </row>
    <row r="1007" spans="1:31">
      <c r="A1007" s="23"/>
      <c r="B1007" s="40"/>
      <c r="C1007" s="40"/>
      <c r="D1007" s="23"/>
      <c r="E1007" s="23"/>
      <c r="F1007" s="23"/>
      <c r="G1007" s="23"/>
      <c r="H1007" s="40"/>
      <c r="I1007" s="40"/>
      <c r="J1007" s="70"/>
      <c r="K1007" s="23"/>
      <c r="L1007" s="70"/>
      <c r="M1007" s="70"/>
      <c r="N1007" s="23"/>
      <c r="O1007" s="23"/>
      <c r="P1007" s="23"/>
      <c r="Q1007" s="23"/>
      <c r="R1007" s="72"/>
      <c r="S1007" s="23"/>
      <c r="T1007" s="23"/>
      <c r="U1007" s="23"/>
      <c r="V1007" s="23"/>
      <c r="W1007" s="23"/>
      <c r="X1007" s="23"/>
      <c r="Y1007" s="23"/>
      <c r="Z1007" s="23"/>
      <c r="AA1007" s="23"/>
      <c r="AB1007" s="23"/>
      <c r="AC1007" s="23"/>
      <c r="AD1007" s="23"/>
      <c r="AE1007" s="23"/>
    </row>
    <row r="1008" spans="1:31">
      <c r="A1008" s="23"/>
      <c r="B1008" s="40"/>
      <c r="C1008" s="40"/>
      <c r="D1008" s="23"/>
      <c r="E1008" s="23"/>
      <c r="F1008" s="23"/>
      <c r="G1008" s="23"/>
      <c r="H1008" s="40"/>
      <c r="I1008" s="40"/>
      <c r="J1008" s="70"/>
      <c r="K1008" s="23"/>
      <c r="L1008" s="70"/>
      <c r="M1008" s="70"/>
      <c r="N1008" s="23"/>
      <c r="O1008" s="23"/>
      <c r="P1008" s="23"/>
      <c r="Q1008" s="23"/>
      <c r="R1008" s="72"/>
      <c r="S1008" s="23"/>
      <c r="T1008" s="23"/>
      <c r="U1008" s="23"/>
      <c r="V1008" s="23"/>
      <c r="W1008" s="23"/>
      <c r="X1008" s="23"/>
      <c r="Y1008" s="23"/>
      <c r="Z1008" s="23"/>
      <c r="AA1008" s="23"/>
      <c r="AB1008" s="23"/>
      <c r="AC1008" s="23"/>
      <c r="AD1008" s="23"/>
      <c r="AE1008" s="23"/>
    </row>
    <row r="1009" spans="1:31">
      <c r="A1009" s="23"/>
      <c r="B1009" s="40"/>
      <c r="C1009" s="40"/>
      <c r="D1009" s="23"/>
      <c r="E1009" s="23"/>
      <c r="F1009" s="23"/>
      <c r="G1009" s="23"/>
      <c r="H1009" s="40"/>
      <c r="I1009" s="40"/>
      <c r="J1009" s="70"/>
      <c r="K1009" s="23"/>
      <c r="L1009" s="70"/>
      <c r="M1009" s="70"/>
      <c r="N1009" s="23"/>
      <c r="O1009" s="23"/>
      <c r="P1009" s="23"/>
      <c r="Q1009" s="23"/>
      <c r="R1009" s="72"/>
      <c r="S1009" s="23"/>
      <c r="T1009" s="23"/>
      <c r="U1009" s="23"/>
      <c r="V1009" s="23"/>
      <c r="W1009" s="23"/>
      <c r="X1009" s="23"/>
      <c r="Y1009" s="23"/>
      <c r="Z1009" s="23"/>
      <c r="AA1009" s="23"/>
      <c r="AB1009" s="23"/>
      <c r="AC1009" s="23"/>
      <c r="AD1009" s="23"/>
      <c r="AE1009" s="23"/>
    </row>
    <row r="1010" spans="1:31" ht="24" customHeight="1">
      <c r="A1010" s="23"/>
      <c r="B1010" s="40"/>
      <c r="C1010" s="40"/>
      <c r="D1010" s="23"/>
      <c r="E1010" s="23"/>
      <c r="F1010" s="23"/>
      <c r="G1010" s="23"/>
      <c r="H1010" s="40"/>
      <c r="I1010" s="40"/>
      <c r="J1010" s="70"/>
      <c r="K1010" s="23"/>
      <c r="L1010" s="70"/>
      <c r="M1010" s="70"/>
      <c r="N1010" s="23"/>
      <c r="O1010" s="23"/>
      <c r="P1010" s="23"/>
      <c r="Q1010" s="23"/>
      <c r="R1010" s="72"/>
      <c r="S1010" s="23"/>
      <c r="T1010" s="23"/>
      <c r="U1010" s="23"/>
      <c r="V1010" s="23"/>
      <c r="W1010" s="23"/>
      <c r="X1010" s="23"/>
      <c r="Y1010" s="23"/>
      <c r="Z1010" s="23"/>
      <c r="AA1010" s="23"/>
      <c r="AB1010" s="23"/>
      <c r="AC1010" s="23"/>
      <c r="AD1010" s="23"/>
      <c r="AE1010" s="23"/>
    </row>
    <row r="1011" spans="1:31">
      <c r="A1011" s="23"/>
      <c r="B1011" s="40"/>
      <c r="C1011" s="40"/>
      <c r="D1011" s="23"/>
      <c r="E1011" s="23"/>
      <c r="F1011" s="23"/>
      <c r="G1011" s="23"/>
      <c r="H1011" s="40"/>
      <c r="I1011" s="40"/>
      <c r="J1011" s="70"/>
      <c r="K1011" s="23"/>
      <c r="L1011" s="70"/>
      <c r="M1011" s="70"/>
      <c r="N1011" s="23"/>
      <c r="O1011" s="23"/>
      <c r="P1011" s="23"/>
      <c r="Q1011" s="23"/>
      <c r="R1011" s="72"/>
      <c r="S1011" s="23"/>
      <c r="T1011" s="23"/>
      <c r="U1011" s="23"/>
      <c r="V1011" s="23"/>
      <c r="W1011" s="23"/>
      <c r="X1011" s="23"/>
      <c r="Y1011" s="23"/>
      <c r="Z1011" s="23"/>
      <c r="AA1011" s="23"/>
      <c r="AB1011" s="23"/>
      <c r="AC1011" s="23"/>
      <c r="AD1011" s="23"/>
      <c r="AE1011" s="23"/>
    </row>
    <row r="1012" spans="1:31">
      <c r="A1012" s="23"/>
      <c r="B1012" s="40"/>
      <c r="C1012" s="40"/>
      <c r="D1012" s="23"/>
      <c r="E1012" s="23"/>
      <c r="F1012" s="23"/>
      <c r="G1012" s="23"/>
      <c r="H1012" s="23"/>
      <c r="I1012" s="40"/>
      <c r="J1012" s="70"/>
      <c r="K1012" s="23"/>
      <c r="L1012" s="70"/>
      <c r="M1012" s="70"/>
      <c r="N1012" s="23"/>
      <c r="O1012" s="23"/>
      <c r="P1012" s="23"/>
      <c r="Q1012" s="23"/>
      <c r="R1012" s="72"/>
      <c r="S1012" s="23"/>
      <c r="T1012" s="23"/>
      <c r="U1012" s="23"/>
      <c r="V1012" s="23"/>
      <c r="W1012" s="23"/>
      <c r="X1012" s="23"/>
      <c r="Y1012" s="23"/>
      <c r="Z1012" s="23"/>
      <c r="AA1012" s="23"/>
      <c r="AB1012" s="23"/>
      <c r="AC1012" s="23"/>
      <c r="AD1012" s="23"/>
      <c r="AE1012" s="23"/>
    </row>
    <row r="1013" spans="1:31">
      <c r="A1013" s="23"/>
      <c r="B1013" s="40"/>
      <c r="C1013" s="40"/>
      <c r="D1013" s="23"/>
      <c r="E1013" s="23"/>
      <c r="F1013" s="23"/>
      <c r="G1013" s="23"/>
      <c r="H1013" s="23"/>
      <c r="I1013" s="40"/>
      <c r="J1013" s="70"/>
      <c r="K1013" s="23"/>
      <c r="L1013" s="70"/>
      <c r="M1013" s="70"/>
      <c r="N1013" s="23"/>
      <c r="O1013" s="23"/>
      <c r="P1013" s="23"/>
      <c r="Q1013" s="23"/>
      <c r="R1013" s="72"/>
      <c r="S1013" s="23"/>
      <c r="T1013" s="23"/>
      <c r="U1013" s="23"/>
      <c r="V1013" s="23"/>
      <c r="W1013" s="23"/>
      <c r="X1013" s="23"/>
      <c r="Y1013" s="23"/>
      <c r="Z1013" s="23"/>
      <c r="AA1013" s="23"/>
      <c r="AB1013" s="23"/>
      <c r="AC1013" s="23"/>
      <c r="AD1013" s="23"/>
      <c r="AE1013" s="23"/>
    </row>
    <row r="1014" spans="1:31">
      <c r="A1014" s="23"/>
      <c r="B1014" s="40"/>
      <c r="C1014" s="40"/>
      <c r="D1014" s="23"/>
      <c r="E1014" s="23"/>
      <c r="F1014" s="23"/>
      <c r="G1014" s="23"/>
      <c r="H1014" s="23"/>
      <c r="I1014" s="40"/>
      <c r="J1014" s="70"/>
      <c r="K1014" s="23"/>
      <c r="L1014" s="70"/>
      <c r="M1014" s="70"/>
      <c r="N1014" s="23"/>
      <c r="O1014" s="23"/>
      <c r="P1014" s="23"/>
      <c r="Q1014" s="23"/>
      <c r="R1014" s="72"/>
      <c r="S1014" s="23"/>
      <c r="T1014" s="23"/>
      <c r="U1014" s="23"/>
      <c r="V1014" s="23"/>
      <c r="W1014" s="23"/>
      <c r="X1014" s="23"/>
      <c r="Y1014" s="23"/>
      <c r="Z1014" s="23"/>
      <c r="AA1014" s="23"/>
      <c r="AB1014" s="23"/>
      <c r="AC1014" s="23"/>
      <c r="AD1014" s="23"/>
      <c r="AE1014" s="23"/>
    </row>
    <row r="1015" spans="1:31">
      <c r="A1015" s="23"/>
      <c r="B1015" s="40"/>
      <c r="C1015" s="40"/>
      <c r="D1015" s="23"/>
      <c r="E1015" s="23"/>
      <c r="F1015" s="23"/>
      <c r="G1015" s="23"/>
      <c r="H1015" s="23"/>
      <c r="I1015" s="40"/>
      <c r="J1015" s="70"/>
      <c r="K1015" s="23"/>
      <c r="L1015" s="70"/>
      <c r="M1015" s="70"/>
      <c r="N1015" s="23"/>
      <c r="O1015" s="23"/>
      <c r="P1015" s="23"/>
      <c r="Q1015" s="23"/>
      <c r="R1015" s="72"/>
      <c r="S1015" s="23"/>
      <c r="T1015" s="23"/>
      <c r="U1015" s="23"/>
      <c r="V1015" s="23"/>
      <c r="W1015" s="23"/>
      <c r="X1015" s="23"/>
      <c r="Y1015" s="23"/>
      <c r="Z1015" s="23"/>
      <c r="AA1015" s="23"/>
      <c r="AB1015" s="23"/>
      <c r="AC1015" s="23"/>
      <c r="AD1015" s="23"/>
      <c r="AE1015" s="23"/>
    </row>
    <row r="1016" spans="1:31">
      <c r="A1016" s="23"/>
      <c r="B1016" s="40"/>
      <c r="C1016" s="40"/>
      <c r="D1016" s="23"/>
      <c r="E1016" s="23"/>
      <c r="F1016" s="23"/>
      <c r="G1016" s="23"/>
      <c r="H1016" s="23"/>
      <c r="I1016" s="40"/>
      <c r="J1016" s="70"/>
      <c r="K1016" s="23"/>
      <c r="L1016" s="70"/>
      <c r="M1016" s="70"/>
      <c r="N1016" s="23"/>
      <c r="O1016" s="23"/>
      <c r="P1016" s="23"/>
      <c r="Q1016" s="23"/>
      <c r="R1016" s="72"/>
      <c r="S1016" s="23"/>
      <c r="T1016" s="23"/>
      <c r="U1016" s="23"/>
      <c r="V1016" s="23"/>
      <c r="W1016" s="23"/>
      <c r="X1016" s="23"/>
      <c r="Y1016" s="23"/>
      <c r="Z1016" s="23"/>
      <c r="AA1016" s="23"/>
      <c r="AB1016" s="23"/>
      <c r="AC1016" s="23"/>
      <c r="AD1016" s="23"/>
      <c r="AE1016" s="23"/>
    </row>
    <row r="1017" spans="1:31" ht="24" customHeight="1">
      <c r="A1017" s="23"/>
      <c r="B1017" s="40"/>
      <c r="C1017" s="40"/>
      <c r="D1017" s="23"/>
      <c r="E1017" s="23"/>
      <c r="F1017" s="23"/>
      <c r="G1017" s="23"/>
      <c r="H1017" s="40"/>
      <c r="I1017" s="40"/>
      <c r="J1017" s="70"/>
      <c r="K1017" s="23"/>
      <c r="L1017" s="70"/>
      <c r="M1017" s="70"/>
      <c r="N1017" s="23"/>
      <c r="O1017" s="23"/>
      <c r="P1017" s="23"/>
      <c r="Q1017" s="23"/>
      <c r="R1017" s="72"/>
      <c r="S1017" s="23"/>
      <c r="T1017" s="23"/>
      <c r="U1017" s="23"/>
      <c r="V1017" s="23"/>
      <c r="W1017" s="23"/>
      <c r="X1017" s="23"/>
      <c r="Y1017" s="23"/>
      <c r="Z1017" s="23"/>
      <c r="AA1017" s="23"/>
      <c r="AB1017" s="23"/>
      <c r="AC1017" s="23"/>
      <c r="AD1017" s="23"/>
      <c r="AE1017" s="23"/>
    </row>
    <row r="1018" spans="1:31">
      <c r="A1018" s="23"/>
      <c r="B1018" s="40"/>
      <c r="C1018" s="40"/>
      <c r="D1018" s="23"/>
      <c r="E1018" s="23"/>
      <c r="F1018" s="23"/>
      <c r="G1018" s="23"/>
      <c r="H1018" s="40"/>
      <c r="I1018" s="40"/>
      <c r="J1018" s="70"/>
      <c r="K1018" s="23"/>
      <c r="L1018" s="70"/>
      <c r="M1018" s="70"/>
      <c r="N1018" s="23"/>
      <c r="O1018" s="23"/>
      <c r="P1018" s="23"/>
      <c r="Q1018" s="23"/>
      <c r="R1018" s="72"/>
      <c r="S1018" s="23"/>
      <c r="T1018" s="23"/>
      <c r="U1018" s="23"/>
      <c r="V1018" s="23"/>
      <c r="W1018" s="23"/>
      <c r="X1018" s="23"/>
      <c r="Y1018" s="23"/>
      <c r="Z1018" s="23"/>
      <c r="AA1018" s="23"/>
      <c r="AB1018" s="23"/>
      <c r="AC1018" s="23"/>
      <c r="AD1018" s="23"/>
      <c r="AE1018" s="23"/>
    </row>
    <row r="1019" spans="1:31">
      <c r="A1019" s="23"/>
      <c r="B1019" s="40"/>
      <c r="C1019" s="40"/>
      <c r="D1019" s="23"/>
      <c r="E1019" s="23"/>
      <c r="F1019" s="23"/>
      <c r="G1019" s="23"/>
      <c r="H1019" s="40"/>
      <c r="I1019" s="40"/>
      <c r="J1019" s="70"/>
      <c r="K1019" s="23"/>
      <c r="L1019" s="70"/>
      <c r="M1019" s="70"/>
      <c r="N1019" s="23"/>
      <c r="O1019" s="23"/>
      <c r="P1019" s="23"/>
      <c r="Q1019" s="23"/>
      <c r="R1019" s="72"/>
      <c r="S1019" s="23"/>
      <c r="T1019" s="23"/>
      <c r="U1019" s="23"/>
      <c r="V1019" s="23"/>
      <c r="W1019" s="23"/>
      <c r="X1019" s="23"/>
      <c r="Y1019" s="23"/>
      <c r="Z1019" s="23"/>
      <c r="AA1019" s="23"/>
      <c r="AB1019" s="23"/>
      <c r="AC1019" s="23"/>
      <c r="AD1019" s="23"/>
      <c r="AE1019" s="23"/>
    </row>
    <row r="1020" spans="1:31">
      <c r="A1020" s="23"/>
      <c r="B1020" s="40"/>
      <c r="C1020" s="40"/>
      <c r="D1020" s="23"/>
      <c r="E1020" s="23"/>
      <c r="F1020" s="23"/>
      <c r="G1020" s="23"/>
      <c r="H1020" s="40"/>
      <c r="I1020" s="40"/>
      <c r="J1020" s="70"/>
      <c r="K1020" s="23"/>
      <c r="L1020" s="70"/>
      <c r="M1020" s="70"/>
      <c r="N1020" s="23"/>
      <c r="O1020" s="23"/>
      <c r="P1020" s="23"/>
      <c r="Q1020" s="23"/>
      <c r="R1020" s="72"/>
      <c r="S1020" s="23"/>
      <c r="T1020" s="23"/>
      <c r="U1020" s="23"/>
      <c r="V1020" s="23"/>
      <c r="W1020" s="23"/>
      <c r="X1020" s="23"/>
      <c r="Y1020" s="23"/>
      <c r="Z1020" s="23"/>
      <c r="AA1020" s="23"/>
      <c r="AB1020" s="23"/>
      <c r="AC1020" s="23"/>
      <c r="AD1020" s="23"/>
      <c r="AE1020" s="23"/>
    </row>
    <row r="1021" spans="1:31">
      <c r="A1021" s="23"/>
      <c r="B1021" s="40"/>
      <c r="C1021" s="40"/>
      <c r="D1021" s="23"/>
      <c r="E1021" s="23"/>
      <c r="F1021" s="23"/>
      <c r="G1021" s="23"/>
      <c r="H1021" s="23"/>
      <c r="I1021" s="40"/>
      <c r="J1021" s="70"/>
      <c r="K1021" s="23"/>
      <c r="L1021" s="70"/>
      <c r="M1021" s="70"/>
      <c r="N1021" s="23"/>
      <c r="O1021" s="23"/>
      <c r="P1021" s="23"/>
      <c r="Q1021" s="23"/>
      <c r="R1021" s="72"/>
      <c r="S1021" s="23"/>
      <c r="T1021" s="23"/>
      <c r="U1021" s="23"/>
      <c r="V1021" s="23"/>
      <c r="W1021" s="23"/>
      <c r="X1021" s="23"/>
      <c r="Y1021" s="23"/>
      <c r="Z1021" s="23"/>
      <c r="AA1021" s="23"/>
      <c r="AB1021" s="23"/>
      <c r="AC1021" s="23"/>
      <c r="AD1021" s="23"/>
      <c r="AE1021" s="23"/>
    </row>
    <row r="1022" spans="1:31">
      <c r="A1022" s="23"/>
      <c r="B1022" s="40"/>
      <c r="C1022" s="40"/>
      <c r="D1022" s="23"/>
      <c r="E1022" s="23"/>
      <c r="F1022" s="23"/>
      <c r="G1022" s="23"/>
      <c r="H1022" s="23"/>
      <c r="I1022" s="40"/>
      <c r="J1022" s="70"/>
      <c r="K1022" s="23"/>
      <c r="L1022" s="70"/>
      <c r="M1022" s="70"/>
      <c r="N1022" s="23"/>
      <c r="O1022" s="23"/>
      <c r="P1022" s="23"/>
      <c r="Q1022" s="23"/>
      <c r="R1022" s="72"/>
      <c r="S1022" s="23"/>
      <c r="T1022" s="23"/>
      <c r="U1022" s="23"/>
      <c r="V1022" s="23"/>
      <c r="W1022" s="23"/>
      <c r="X1022" s="23"/>
      <c r="Y1022" s="23"/>
      <c r="Z1022" s="23"/>
      <c r="AA1022" s="23"/>
      <c r="AB1022" s="23"/>
      <c r="AC1022" s="23"/>
      <c r="AD1022" s="23"/>
      <c r="AE1022" s="23"/>
    </row>
    <row r="1023" spans="1:31" ht="24" customHeight="1">
      <c r="A1023" s="23"/>
      <c r="B1023" s="40"/>
      <c r="C1023" s="40"/>
      <c r="D1023" s="23"/>
      <c r="E1023" s="23"/>
      <c r="F1023" s="23"/>
      <c r="G1023" s="23"/>
      <c r="H1023" s="40"/>
      <c r="I1023" s="40"/>
      <c r="J1023" s="70"/>
      <c r="K1023" s="23"/>
      <c r="L1023" s="70"/>
      <c r="M1023" s="70"/>
      <c r="N1023" s="23"/>
      <c r="O1023" s="23"/>
      <c r="P1023" s="23"/>
      <c r="Q1023" s="23"/>
      <c r="R1023" s="72"/>
      <c r="S1023" s="23"/>
      <c r="T1023" s="23"/>
      <c r="U1023" s="23"/>
      <c r="V1023" s="23"/>
      <c r="W1023" s="23"/>
      <c r="X1023" s="23"/>
      <c r="Y1023" s="23"/>
      <c r="Z1023" s="23"/>
      <c r="AA1023" s="23"/>
      <c r="AB1023" s="23"/>
      <c r="AC1023" s="23"/>
      <c r="AD1023" s="23"/>
      <c r="AE1023" s="23"/>
    </row>
    <row r="1024" spans="1:31">
      <c r="A1024" s="23"/>
      <c r="B1024" s="40"/>
      <c r="C1024" s="40"/>
      <c r="D1024" s="23"/>
      <c r="E1024" s="23"/>
      <c r="F1024" s="23"/>
      <c r="G1024" s="23"/>
      <c r="H1024" s="40"/>
      <c r="I1024" s="40"/>
      <c r="J1024" s="70"/>
      <c r="K1024" s="23"/>
      <c r="L1024" s="70"/>
      <c r="M1024" s="70"/>
      <c r="N1024" s="23"/>
      <c r="O1024" s="23"/>
      <c r="P1024" s="23"/>
      <c r="Q1024" s="23"/>
      <c r="R1024" s="72"/>
      <c r="S1024" s="23"/>
      <c r="T1024" s="23"/>
      <c r="U1024" s="23"/>
      <c r="V1024" s="23"/>
      <c r="W1024" s="23"/>
      <c r="X1024" s="23"/>
      <c r="Y1024" s="23"/>
      <c r="Z1024" s="23"/>
      <c r="AA1024" s="23"/>
      <c r="AB1024" s="23"/>
      <c r="AC1024" s="23"/>
      <c r="AD1024" s="23"/>
      <c r="AE1024" s="23"/>
    </row>
    <row r="1025" spans="1:31">
      <c r="A1025" s="23"/>
      <c r="B1025" s="40"/>
      <c r="C1025" s="40"/>
      <c r="D1025" s="23"/>
      <c r="E1025" s="23"/>
      <c r="F1025" s="23"/>
      <c r="G1025" s="23"/>
      <c r="H1025" s="40"/>
      <c r="I1025" s="40"/>
      <c r="J1025" s="70"/>
      <c r="K1025" s="23"/>
      <c r="L1025" s="70"/>
      <c r="M1025" s="70"/>
      <c r="N1025" s="23"/>
      <c r="O1025" s="23"/>
      <c r="P1025" s="23"/>
      <c r="Q1025" s="23"/>
      <c r="R1025" s="72"/>
      <c r="S1025" s="23"/>
      <c r="T1025" s="23"/>
      <c r="U1025" s="23"/>
      <c r="V1025" s="23"/>
      <c r="W1025" s="23"/>
      <c r="X1025" s="23"/>
      <c r="Y1025" s="23"/>
      <c r="Z1025" s="23"/>
      <c r="AA1025" s="23"/>
      <c r="AB1025" s="23"/>
      <c r="AC1025" s="23"/>
      <c r="AD1025" s="23"/>
      <c r="AE1025" s="23"/>
    </row>
    <row r="1026" spans="1:31">
      <c r="A1026" s="23"/>
      <c r="B1026" s="40"/>
      <c r="C1026" s="40"/>
      <c r="D1026" s="23"/>
      <c r="E1026" s="23"/>
      <c r="F1026" s="23"/>
      <c r="G1026" s="23"/>
      <c r="H1026" s="40"/>
      <c r="I1026" s="40"/>
      <c r="J1026" s="70"/>
      <c r="K1026" s="23"/>
      <c r="L1026" s="70"/>
      <c r="M1026" s="70"/>
      <c r="N1026" s="23"/>
      <c r="O1026" s="23"/>
      <c r="P1026" s="23"/>
      <c r="Q1026" s="23"/>
      <c r="R1026" s="72"/>
      <c r="S1026" s="23"/>
      <c r="T1026" s="23"/>
      <c r="U1026" s="23"/>
      <c r="V1026" s="23"/>
      <c r="W1026" s="23"/>
      <c r="X1026" s="23"/>
      <c r="Y1026" s="23"/>
      <c r="Z1026" s="23"/>
      <c r="AA1026" s="23"/>
      <c r="AB1026" s="23"/>
      <c r="AC1026" s="23"/>
      <c r="AD1026" s="23"/>
      <c r="AE1026" s="23"/>
    </row>
    <row r="1027" spans="1:31">
      <c r="A1027" s="23"/>
      <c r="B1027" s="40"/>
      <c r="C1027" s="40"/>
      <c r="D1027" s="23"/>
      <c r="E1027" s="23"/>
      <c r="F1027" s="23"/>
      <c r="G1027" s="23"/>
      <c r="H1027" s="40"/>
      <c r="I1027" s="40"/>
      <c r="J1027" s="70"/>
      <c r="K1027" s="23"/>
      <c r="L1027" s="70"/>
      <c r="M1027" s="70"/>
      <c r="N1027" s="23"/>
      <c r="O1027" s="23"/>
      <c r="P1027" s="23"/>
      <c r="Q1027" s="23"/>
      <c r="R1027" s="72"/>
      <c r="S1027" s="23"/>
      <c r="T1027" s="23"/>
      <c r="U1027" s="23"/>
      <c r="V1027" s="23"/>
      <c r="W1027" s="23"/>
      <c r="X1027" s="23"/>
      <c r="Y1027" s="23"/>
      <c r="Z1027" s="23"/>
      <c r="AA1027" s="23"/>
      <c r="AB1027" s="23"/>
      <c r="AC1027" s="23"/>
      <c r="AD1027" s="23"/>
      <c r="AE1027" s="23"/>
    </row>
    <row r="1028" spans="1:31" ht="24" customHeight="1">
      <c r="A1028" s="23"/>
      <c r="B1028" s="40"/>
      <c r="C1028" s="40"/>
      <c r="D1028" s="23"/>
      <c r="E1028" s="23"/>
      <c r="F1028" s="23"/>
      <c r="G1028" s="23"/>
      <c r="H1028" s="40"/>
      <c r="I1028" s="40"/>
      <c r="J1028" s="70"/>
      <c r="K1028" s="23"/>
      <c r="L1028" s="70"/>
      <c r="M1028" s="70"/>
      <c r="N1028" s="23"/>
      <c r="O1028" s="23"/>
      <c r="P1028" s="23"/>
      <c r="Q1028" s="23"/>
      <c r="R1028" s="72"/>
      <c r="S1028" s="23"/>
      <c r="T1028" s="23"/>
      <c r="U1028" s="23"/>
      <c r="V1028" s="23"/>
      <c r="W1028" s="23"/>
      <c r="X1028" s="23"/>
      <c r="Y1028" s="23"/>
      <c r="Z1028" s="23"/>
      <c r="AA1028" s="23"/>
      <c r="AB1028" s="23"/>
      <c r="AC1028" s="23"/>
      <c r="AD1028" s="23"/>
      <c r="AE1028" s="23"/>
    </row>
    <row r="1029" spans="1:31">
      <c r="A1029" s="23"/>
      <c r="B1029" s="40"/>
      <c r="C1029" s="40"/>
      <c r="D1029" s="23"/>
      <c r="E1029" s="23"/>
      <c r="F1029" s="23"/>
      <c r="G1029" s="23"/>
      <c r="H1029" s="40"/>
      <c r="I1029" s="40"/>
      <c r="J1029" s="70"/>
      <c r="K1029" s="23"/>
      <c r="L1029" s="70"/>
      <c r="M1029" s="70"/>
      <c r="N1029" s="23"/>
      <c r="O1029" s="23"/>
      <c r="P1029" s="23"/>
      <c r="Q1029" s="23"/>
      <c r="R1029" s="72"/>
      <c r="S1029" s="23"/>
      <c r="T1029" s="23"/>
      <c r="U1029" s="23"/>
      <c r="V1029" s="23"/>
      <c r="W1029" s="23"/>
      <c r="X1029" s="23"/>
      <c r="Y1029" s="23"/>
      <c r="Z1029" s="23"/>
      <c r="AA1029" s="23"/>
      <c r="AB1029" s="23"/>
      <c r="AC1029" s="23"/>
      <c r="AD1029" s="23"/>
      <c r="AE1029" s="23"/>
    </row>
    <row r="1030" spans="1:31">
      <c r="A1030" s="23"/>
      <c r="B1030" s="40"/>
      <c r="C1030" s="40"/>
      <c r="D1030" s="23"/>
      <c r="E1030" s="23"/>
      <c r="F1030" s="23"/>
      <c r="G1030" s="23"/>
      <c r="H1030" s="23"/>
      <c r="I1030" s="40"/>
      <c r="J1030" s="70"/>
      <c r="K1030" s="23"/>
      <c r="L1030" s="70"/>
      <c r="M1030" s="70"/>
      <c r="N1030" s="23"/>
      <c r="O1030" s="23"/>
      <c r="P1030" s="23"/>
      <c r="Q1030" s="23"/>
      <c r="R1030" s="72"/>
      <c r="S1030" s="23"/>
      <c r="T1030" s="23"/>
      <c r="U1030" s="23"/>
      <c r="V1030" s="23"/>
      <c r="W1030" s="23"/>
      <c r="X1030" s="23"/>
      <c r="Y1030" s="23"/>
      <c r="Z1030" s="23"/>
      <c r="AA1030" s="23"/>
      <c r="AB1030" s="23"/>
      <c r="AC1030" s="23"/>
      <c r="AD1030" s="23"/>
      <c r="AE1030" s="23"/>
    </row>
    <row r="1031" spans="1:31">
      <c r="A1031" s="23"/>
      <c r="B1031" s="40"/>
      <c r="C1031" s="40"/>
      <c r="D1031" s="23"/>
      <c r="E1031" s="23"/>
      <c r="F1031" s="23"/>
      <c r="G1031" s="23"/>
      <c r="H1031" s="23"/>
      <c r="I1031" s="40"/>
      <c r="J1031" s="70"/>
      <c r="K1031" s="23"/>
      <c r="L1031" s="70"/>
      <c r="M1031" s="70"/>
      <c r="N1031" s="23"/>
      <c r="O1031" s="23"/>
      <c r="P1031" s="23"/>
      <c r="Q1031" s="23"/>
      <c r="R1031" s="72"/>
      <c r="S1031" s="23"/>
      <c r="T1031" s="23"/>
      <c r="U1031" s="23"/>
      <c r="V1031" s="23"/>
      <c r="W1031" s="23"/>
      <c r="X1031" s="23"/>
      <c r="Y1031" s="23"/>
      <c r="Z1031" s="23"/>
      <c r="AA1031" s="23"/>
      <c r="AB1031" s="23"/>
      <c r="AC1031" s="23"/>
      <c r="AD1031" s="23"/>
      <c r="AE1031" s="23"/>
    </row>
    <row r="1032" spans="1:31">
      <c r="A1032" s="23"/>
      <c r="B1032" s="40"/>
      <c r="C1032" s="40"/>
      <c r="D1032" s="23"/>
      <c r="E1032" s="23"/>
      <c r="F1032" s="23"/>
      <c r="G1032" s="23"/>
      <c r="H1032" s="23"/>
      <c r="I1032" s="40"/>
      <c r="J1032" s="70"/>
      <c r="K1032" s="23"/>
      <c r="L1032" s="70"/>
      <c r="M1032" s="70"/>
      <c r="N1032" s="23"/>
      <c r="O1032" s="23"/>
      <c r="P1032" s="23"/>
      <c r="Q1032" s="23"/>
      <c r="R1032" s="72"/>
      <c r="S1032" s="23"/>
      <c r="T1032" s="23"/>
      <c r="U1032" s="23"/>
      <c r="V1032" s="23"/>
      <c r="W1032" s="23"/>
      <c r="X1032" s="23"/>
      <c r="Y1032" s="23"/>
      <c r="Z1032" s="23"/>
      <c r="AA1032" s="23"/>
      <c r="AB1032" s="23"/>
      <c r="AC1032" s="23"/>
      <c r="AD1032" s="23"/>
      <c r="AE1032" s="23"/>
    </row>
    <row r="1033" spans="1:31">
      <c r="A1033" s="23"/>
      <c r="B1033" s="40"/>
      <c r="C1033" s="40"/>
      <c r="D1033" s="23"/>
      <c r="E1033" s="23"/>
      <c r="F1033" s="23"/>
      <c r="G1033" s="23"/>
      <c r="H1033" s="23"/>
      <c r="I1033" s="40"/>
      <c r="J1033" s="70"/>
      <c r="K1033" s="23"/>
      <c r="L1033" s="70"/>
      <c r="M1033" s="70"/>
      <c r="N1033" s="23"/>
      <c r="O1033" s="23"/>
      <c r="P1033" s="23"/>
      <c r="Q1033" s="23"/>
      <c r="R1033" s="72"/>
      <c r="S1033" s="23"/>
      <c r="T1033" s="23"/>
      <c r="U1033" s="23"/>
      <c r="V1033" s="23"/>
      <c r="W1033" s="23"/>
      <c r="X1033" s="23"/>
      <c r="Y1033" s="23"/>
      <c r="Z1033" s="23"/>
      <c r="AA1033" s="23"/>
      <c r="AB1033" s="23"/>
      <c r="AC1033" s="23"/>
      <c r="AD1033" s="23"/>
      <c r="AE1033" s="23"/>
    </row>
    <row r="1034" spans="1:31">
      <c r="A1034" s="23"/>
      <c r="B1034" s="40"/>
      <c r="C1034" s="40"/>
      <c r="D1034" s="23"/>
      <c r="E1034" s="23"/>
      <c r="F1034" s="23"/>
      <c r="G1034" s="23"/>
      <c r="H1034" s="23"/>
      <c r="I1034" s="40"/>
      <c r="J1034" s="70"/>
      <c r="K1034" s="23"/>
      <c r="L1034" s="70"/>
      <c r="M1034" s="70"/>
      <c r="N1034" s="23"/>
      <c r="O1034" s="23"/>
      <c r="P1034" s="23"/>
      <c r="Q1034" s="23"/>
      <c r="R1034" s="72"/>
      <c r="S1034" s="23"/>
      <c r="T1034" s="23"/>
      <c r="U1034" s="23"/>
      <c r="V1034" s="23"/>
      <c r="W1034" s="23"/>
      <c r="X1034" s="23"/>
      <c r="Y1034" s="23"/>
      <c r="Z1034" s="23"/>
      <c r="AA1034" s="23"/>
      <c r="AB1034" s="23"/>
      <c r="AC1034" s="23"/>
      <c r="AD1034" s="23"/>
      <c r="AE1034" s="23"/>
    </row>
    <row r="1035" spans="1:31">
      <c r="A1035" s="23"/>
      <c r="B1035" s="40"/>
      <c r="C1035" s="40"/>
      <c r="D1035" s="23"/>
      <c r="E1035" s="23"/>
      <c r="F1035" s="23"/>
      <c r="G1035" s="23"/>
      <c r="H1035" s="23"/>
      <c r="I1035" s="40"/>
      <c r="J1035" s="70"/>
      <c r="K1035" s="23"/>
      <c r="L1035" s="70"/>
      <c r="M1035" s="70"/>
      <c r="N1035" s="23"/>
      <c r="O1035" s="23"/>
      <c r="P1035" s="23"/>
      <c r="Q1035" s="23"/>
      <c r="R1035" s="72"/>
      <c r="S1035" s="23"/>
      <c r="T1035" s="23"/>
      <c r="U1035" s="23"/>
      <c r="V1035" s="23"/>
      <c r="W1035" s="23"/>
      <c r="X1035" s="23"/>
      <c r="Y1035" s="23"/>
      <c r="Z1035" s="23"/>
      <c r="AA1035" s="23"/>
      <c r="AB1035" s="23"/>
      <c r="AC1035" s="23"/>
      <c r="AD1035" s="23"/>
      <c r="AE1035" s="23"/>
    </row>
    <row r="1036" spans="1:31">
      <c r="A1036" s="23"/>
      <c r="B1036" s="40"/>
      <c r="C1036" s="40"/>
      <c r="D1036" s="23"/>
      <c r="E1036" s="23"/>
      <c r="F1036" s="23"/>
      <c r="G1036" s="23"/>
      <c r="H1036" s="23"/>
      <c r="I1036" s="40"/>
      <c r="J1036" s="70"/>
      <c r="K1036" s="23"/>
      <c r="L1036" s="70"/>
      <c r="M1036" s="70"/>
      <c r="N1036" s="23"/>
      <c r="O1036" s="23"/>
      <c r="P1036" s="23"/>
      <c r="Q1036" s="23"/>
      <c r="R1036" s="72"/>
      <c r="S1036" s="23"/>
      <c r="T1036" s="23"/>
      <c r="U1036" s="23"/>
      <c r="V1036" s="23"/>
      <c r="W1036" s="23"/>
      <c r="X1036" s="23"/>
      <c r="Y1036" s="23"/>
      <c r="Z1036" s="23"/>
      <c r="AA1036" s="23"/>
      <c r="AB1036" s="23"/>
      <c r="AC1036" s="23"/>
      <c r="AD1036" s="23"/>
      <c r="AE1036" s="23"/>
    </row>
    <row r="1037" spans="1:31" ht="24" customHeight="1">
      <c r="A1037" s="23"/>
      <c r="B1037" s="40"/>
      <c r="C1037" s="40"/>
      <c r="D1037" s="23"/>
      <c r="E1037" s="23"/>
      <c r="F1037" s="23"/>
      <c r="G1037" s="23"/>
      <c r="H1037" s="40"/>
      <c r="I1037" s="40"/>
      <c r="J1037" s="70"/>
      <c r="K1037" s="23"/>
      <c r="L1037" s="70"/>
      <c r="M1037" s="70"/>
      <c r="N1037" s="23"/>
      <c r="O1037" s="23"/>
      <c r="P1037" s="23"/>
      <c r="Q1037" s="23"/>
      <c r="R1037" s="72"/>
      <c r="S1037" s="23"/>
      <c r="T1037" s="23"/>
      <c r="U1037" s="23"/>
      <c r="V1037" s="23"/>
      <c r="W1037" s="23"/>
      <c r="X1037" s="23"/>
      <c r="Y1037" s="23"/>
      <c r="Z1037" s="23"/>
      <c r="AA1037" s="23"/>
      <c r="AB1037" s="23"/>
      <c r="AC1037" s="23"/>
      <c r="AD1037" s="23"/>
      <c r="AE1037" s="23"/>
    </row>
    <row r="1038" spans="1:31">
      <c r="A1038" s="23"/>
      <c r="B1038" s="40"/>
      <c r="C1038" s="40"/>
      <c r="D1038" s="23"/>
      <c r="E1038" s="23"/>
      <c r="F1038" s="23"/>
      <c r="G1038" s="23"/>
      <c r="H1038" s="40"/>
      <c r="I1038" s="40"/>
      <c r="J1038" s="70"/>
      <c r="K1038" s="23"/>
      <c r="L1038" s="70"/>
      <c r="M1038" s="70"/>
      <c r="N1038" s="23"/>
      <c r="O1038" s="23"/>
      <c r="P1038" s="23"/>
      <c r="Q1038" s="23"/>
      <c r="R1038" s="72"/>
      <c r="S1038" s="23"/>
      <c r="T1038" s="23"/>
      <c r="U1038" s="23"/>
      <c r="V1038" s="23"/>
      <c r="W1038" s="23"/>
      <c r="X1038" s="23"/>
      <c r="Y1038" s="23"/>
      <c r="Z1038" s="23"/>
      <c r="AA1038" s="23"/>
      <c r="AB1038" s="23"/>
      <c r="AC1038" s="23"/>
      <c r="AD1038" s="23"/>
      <c r="AE1038" s="23"/>
    </row>
    <row r="1039" spans="1:31">
      <c r="A1039" s="23"/>
      <c r="B1039" s="40"/>
      <c r="C1039" s="40"/>
      <c r="D1039" s="23"/>
      <c r="E1039" s="23"/>
      <c r="F1039" s="23"/>
      <c r="G1039" s="23"/>
      <c r="H1039" s="40"/>
      <c r="I1039" s="40"/>
      <c r="J1039" s="70"/>
      <c r="K1039" s="23"/>
      <c r="L1039" s="70"/>
      <c r="M1039" s="70"/>
      <c r="N1039" s="23"/>
      <c r="O1039" s="23"/>
      <c r="P1039" s="23"/>
      <c r="Q1039" s="23"/>
      <c r="R1039" s="72"/>
      <c r="S1039" s="23"/>
      <c r="T1039" s="23"/>
      <c r="U1039" s="23"/>
      <c r="V1039" s="23"/>
      <c r="W1039" s="23"/>
      <c r="X1039" s="23"/>
      <c r="Y1039" s="23"/>
      <c r="Z1039" s="23"/>
      <c r="AA1039" s="23"/>
      <c r="AB1039" s="23"/>
      <c r="AC1039" s="23"/>
      <c r="AD1039" s="23"/>
      <c r="AE1039" s="23"/>
    </row>
    <row r="1040" spans="1:31">
      <c r="A1040" s="23"/>
      <c r="B1040" s="40"/>
      <c r="C1040" s="40"/>
      <c r="D1040" s="23"/>
      <c r="E1040" s="23"/>
      <c r="F1040" s="23"/>
      <c r="G1040" s="23"/>
      <c r="H1040" s="40"/>
      <c r="I1040" s="40"/>
      <c r="J1040" s="70"/>
      <c r="K1040" s="23"/>
      <c r="L1040" s="70"/>
      <c r="M1040" s="70"/>
      <c r="N1040" s="23"/>
      <c r="O1040" s="23"/>
      <c r="P1040" s="23"/>
      <c r="Q1040" s="23"/>
      <c r="R1040" s="72"/>
      <c r="S1040" s="23"/>
      <c r="T1040" s="23"/>
      <c r="U1040" s="23"/>
      <c r="V1040" s="23"/>
      <c r="W1040" s="23"/>
      <c r="X1040" s="23"/>
      <c r="Y1040" s="23"/>
      <c r="Z1040" s="23"/>
      <c r="AA1040" s="23"/>
      <c r="AB1040" s="23"/>
      <c r="AC1040" s="23"/>
      <c r="AD1040" s="23"/>
      <c r="AE1040" s="23"/>
    </row>
    <row r="1041" spans="1:31">
      <c r="A1041" s="23"/>
      <c r="B1041" s="40"/>
      <c r="C1041" s="40"/>
      <c r="D1041" s="23"/>
      <c r="E1041" s="23"/>
      <c r="F1041" s="23"/>
      <c r="G1041" s="23"/>
      <c r="H1041" s="40"/>
      <c r="I1041" s="40"/>
      <c r="J1041" s="70"/>
      <c r="K1041" s="23"/>
      <c r="L1041" s="70"/>
      <c r="M1041" s="70"/>
      <c r="N1041" s="23"/>
      <c r="O1041" s="23"/>
      <c r="P1041" s="23"/>
      <c r="Q1041" s="23"/>
      <c r="R1041" s="72"/>
      <c r="S1041" s="23"/>
      <c r="T1041" s="23"/>
      <c r="U1041" s="23"/>
      <c r="V1041" s="23"/>
      <c r="W1041" s="23"/>
      <c r="X1041" s="23"/>
      <c r="Y1041" s="23"/>
      <c r="Z1041" s="23"/>
      <c r="AA1041" s="23"/>
      <c r="AB1041" s="23"/>
      <c r="AC1041" s="23"/>
      <c r="AD1041" s="23"/>
      <c r="AE1041" s="23"/>
    </row>
    <row r="1042" spans="1:31">
      <c r="A1042" s="23"/>
      <c r="B1042" s="40"/>
      <c r="C1042" s="40"/>
      <c r="D1042" s="23"/>
      <c r="E1042" s="23"/>
      <c r="F1042" s="23"/>
      <c r="G1042" s="23"/>
      <c r="H1042" s="40"/>
      <c r="I1042" s="40"/>
      <c r="J1042" s="70"/>
      <c r="K1042" s="23"/>
      <c r="L1042" s="70"/>
      <c r="M1042" s="70"/>
      <c r="N1042" s="23"/>
      <c r="O1042" s="23"/>
      <c r="P1042" s="23"/>
      <c r="Q1042" s="23"/>
      <c r="R1042" s="72"/>
      <c r="S1042" s="23"/>
      <c r="T1042" s="23"/>
      <c r="U1042" s="23"/>
      <c r="V1042" s="23"/>
      <c r="W1042" s="23"/>
      <c r="X1042" s="23"/>
      <c r="Y1042" s="23"/>
      <c r="Z1042" s="23"/>
      <c r="AA1042" s="23"/>
      <c r="AB1042" s="23"/>
      <c r="AC1042" s="23"/>
      <c r="AD1042" s="23"/>
      <c r="AE1042" s="23"/>
    </row>
    <row r="1043" spans="1:31">
      <c r="A1043" s="23"/>
      <c r="B1043" s="40"/>
      <c r="C1043" s="40"/>
      <c r="D1043" s="23"/>
      <c r="E1043" s="23"/>
      <c r="F1043" s="23"/>
      <c r="G1043" s="23"/>
      <c r="H1043" s="23"/>
      <c r="I1043" s="40"/>
      <c r="J1043" s="70"/>
      <c r="K1043" s="23"/>
      <c r="L1043" s="70"/>
      <c r="M1043" s="70"/>
      <c r="N1043" s="23"/>
      <c r="O1043" s="23"/>
      <c r="P1043" s="23"/>
      <c r="Q1043" s="23"/>
      <c r="R1043" s="72"/>
      <c r="S1043" s="23"/>
      <c r="T1043" s="23"/>
      <c r="U1043" s="23"/>
      <c r="V1043" s="23"/>
      <c r="W1043" s="23"/>
      <c r="X1043" s="23"/>
      <c r="Y1043" s="23"/>
      <c r="Z1043" s="23"/>
      <c r="AA1043" s="23"/>
      <c r="AB1043" s="23"/>
      <c r="AC1043" s="23"/>
      <c r="AD1043" s="23"/>
      <c r="AE1043" s="23"/>
    </row>
    <row r="1044" spans="1:31">
      <c r="A1044" s="23"/>
      <c r="B1044" s="40"/>
      <c r="C1044" s="40"/>
      <c r="D1044" s="23"/>
      <c r="E1044" s="23"/>
      <c r="F1044" s="23"/>
      <c r="G1044" s="23"/>
      <c r="H1044" s="23"/>
      <c r="I1044" s="40"/>
      <c r="J1044" s="70"/>
      <c r="K1044" s="23"/>
      <c r="L1044" s="70"/>
      <c r="M1044" s="70"/>
      <c r="N1044" s="23"/>
      <c r="O1044" s="23"/>
      <c r="P1044" s="23"/>
      <c r="Q1044" s="23"/>
      <c r="R1044" s="72"/>
      <c r="S1044" s="23"/>
      <c r="T1044" s="23"/>
      <c r="U1044" s="23"/>
      <c r="V1044" s="23"/>
      <c r="W1044" s="23"/>
      <c r="X1044" s="23"/>
      <c r="Y1044" s="23"/>
      <c r="Z1044" s="23"/>
      <c r="AA1044" s="23"/>
      <c r="AB1044" s="23"/>
      <c r="AC1044" s="23"/>
      <c r="AD1044" s="23"/>
      <c r="AE1044" s="23"/>
    </row>
    <row r="1045" spans="1:31">
      <c r="A1045" s="23"/>
      <c r="B1045" s="40"/>
      <c r="C1045" s="40"/>
      <c r="D1045" s="23"/>
      <c r="E1045" s="23"/>
      <c r="F1045" s="23"/>
      <c r="G1045" s="23"/>
      <c r="H1045" s="23"/>
      <c r="I1045" s="40"/>
      <c r="J1045" s="70"/>
      <c r="K1045" s="23"/>
      <c r="L1045" s="70"/>
      <c r="M1045" s="70"/>
      <c r="N1045" s="23"/>
      <c r="O1045" s="23"/>
      <c r="P1045" s="23"/>
      <c r="Q1045" s="23"/>
      <c r="R1045" s="72"/>
      <c r="S1045" s="23"/>
      <c r="T1045" s="23"/>
      <c r="U1045" s="23"/>
      <c r="V1045" s="23"/>
      <c r="W1045" s="23"/>
      <c r="X1045" s="23"/>
      <c r="Y1045" s="23"/>
      <c r="Z1045" s="23"/>
      <c r="AA1045" s="23"/>
      <c r="AB1045" s="23"/>
      <c r="AC1045" s="23"/>
      <c r="AD1045" s="23"/>
      <c r="AE1045" s="23"/>
    </row>
    <row r="1046" spans="1:31">
      <c r="A1046" s="23"/>
      <c r="B1046" s="40"/>
      <c r="C1046" s="40"/>
      <c r="D1046" s="23"/>
      <c r="E1046" s="23"/>
      <c r="F1046" s="23"/>
      <c r="G1046" s="23"/>
      <c r="H1046" s="23"/>
      <c r="I1046" s="40"/>
      <c r="J1046" s="70"/>
      <c r="K1046" s="23"/>
      <c r="L1046" s="70"/>
      <c r="M1046" s="70"/>
      <c r="N1046" s="23"/>
      <c r="O1046" s="23"/>
      <c r="P1046" s="23"/>
      <c r="Q1046" s="23"/>
      <c r="R1046" s="72"/>
      <c r="S1046" s="23"/>
      <c r="T1046" s="23"/>
      <c r="U1046" s="23"/>
      <c r="V1046" s="23"/>
      <c r="W1046" s="23"/>
      <c r="X1046" s="23"/>
      <c r="Y1046" s="23"/>
      <c r="Z1046" s="23"/>
      <c r="AA1046" s="23"/>
      <c r="AB1046" s="23"/>
      <c r="AC1046" s="23"/>
      <c r="AD1046" s="23"/>
      <c r="AE1046" s="23"/>
    </row>
    <row r="1047" spans="1:31">
      <c r="A1047" s="23"/>
      <c r="B1047" s="40"/>
      <c r="C1047" s="40"/>
      <c r="D1047" s="23"/>
      <c r="E1047" s="23"/>
      <c r="F1047" s="23"/>
      <c r="G1047" s="23"/>
      <c r="H1047" s="23"/>
      <c r="I1047" s="40"/>
      <c r="J1047" s="70"/>
      <c r="K1047" s="23"/>
      <c r="L1047" s="70"/>
      <c r="M1047" s="70"/>
      <c r="N1047" s="23"/>
      <c r="O1047" s="23"/>
      <c r="P1047" s="23"/>
      <c r="Q1047" s="23"/>
      <c r="R1047" s="72"/>
      <c r="S1047" s="23"/>
      <c r="T1047" s="23"/>
      <c r="U1047" s="23"/>
      <c r="V1047" s="23"/>
      <c r="W1047" s="23"/>
      <c r="X1047" s="23"/>
      <c r="Y1047" s="23"/>
      <c r="Z1047" s="23"/>
      <c r="AA1047" s="23"/>
      <c r="AB1047" s="23"/>
      <c r="AC1047" s="23"/>
      <c r="AD1047" s="23"/>
      <c r="AE1047" s="23"/>
    </row>
    <row r="1048" spans="1:31">
      <c r="A1048" s="23"/>
      <c r="B1048" s="40"/>
      <c r="C1048" s="40"/>
      <c r="D1048" s="23"/>
      <c r="E1048" s="23"/>
      <c r="F1048" s="23"/>
      <c r="G1048" s="23"/>
      <c r="H1048" s="23"/>
      <c r="I1048" s="40"/>
      <c r="J1048" s="70"/>
      <c r="K1048" s="23"/>
      <c r="L1048" s="70"/>
      <c r="M1048" s="70"/>
      <c r="N1048" s="23"/>
      <c r="O1048" s="23"/>
      <c r="P1048" s="23"/>
      <c r="Q1048" s="23"/>
      <c r="R1048" s="72"/>
      <c r="S1048" s="23"/>
      <c r="T1048" s="23"/>
      <c r="U1048" s="23"/>
      <c r="V1048" s="23"/>
      <c r="W1048" s="23"/>
      <c r="X1048" s="23"/>
      <c r="Y1048" s="23"/>
      <c r="Z1048" s="23"/>
      <c r="AA1048" s="23"/>
      <c r="AB1048" s="23"/>
      <c r="AC1048" s="23"/>
      <c r="AD1048" s="23"/>
      <c r="AE1048" s="23"/>
    </row>
    <row r="1049" spans="1:31">
      <c r="A1049" s="23"/>
      <c r="B1049" s="40"/>
      <c r="C1049" s="40"/>
      <c r="D1049" s="23"/>
      <c r="E1049" s="23"/>
      <c r="F1049" s="23"/>
      <c r="G1049" s="23"/>
      <c r="H1049" s="23"/>
      <c r="I1049" s="40"/>
      <c r="J1049" s="70"/>
      <c r="K1049" s="23"/>
      <c r="L1049" s="70"/>
      <c r="M1049" s="70"/>
      <c r="N1049" s="23"/>
      <c r="O1049" s="23"/>
      <c r="P1049" s="23"/>
      <c r="Q1049" s="23"/>
      <c r="R1049" s="72"/>
      <c r="S1049" s="23"/>
      <c r="T1049" s="23"/>
      <c r="U1049" s="23"/>
      <c r="V1049" s="23"/>
      <c r="W1049" s="23"/>
      <c r="X1049" s="23"/>
      <c r="Y1049" s="23"/>
      <c r="Z1049" s="23"/>
      <c r="AA1049" s="23"/>
      <c r="AB1049" s="23"/>
      <c r="AC1049" s="23"/>
      <c r="AD1049" s="23"/>
      <c r="AE1049" s="23"/>
    </row>
    <row r="1050" spans="1:31">
      <c r="A1050" s="23"/>
      <c r="B1050" s="40"/>
      <c r="C1050" s="40"/>
      <c r="D1050" s="23"/>
      <c r="E1050" s="23"/>
      <c r="F1050" s="23"/>
      <c r="G1050" s="23"/>
      <c r="H1050" s="23"/>
      <c r="I1050" s="40"/>
      <c r="J1050" s="70"/>
      <c r="K1050" s="23"/>
      <c r="L1050" s="70"/>
      <c r="M1050" s="70"/>
      <c r="N1050" s="23"/>
      <c r="O1050" s="23"/>
      <c r="P1050" s="23"/>
      <c r="Q1050" s="23"/>
      <c r="R1050" s="72"/>
      <c r="S1050" s="23"/>
      <c r="T1050" s="23"/>
      <c r="U1050" s="23"/>
      <c r="V1050" s="23"/>
      <c r="W1050" s="23"/>
      <c r="X1050" s="23"/>
      <c r="Y1050" s="23"/>
      <c r="Z1050" s="23"/>
      <c r="AA1050" s="23"/>
      <c r="AB1050" s="23"/>
      <c r="AC1050" s="23"/>
      <c r="AD1050" s="23"/>
      <c r="AE1050" s="23"/>
    </row>
    <row r="1051" spans="1:31" ht="24" customHeight="1">
      <c r="A1051" s="23"/>
      <c r="B1051" s="40"/>
      <c r="C1051" s="40"/>
      <c r="D1051" s="23"/>
      <c r="E1051" s="23"/>
      <c r="F1051" s="23"/>
      <c r="G1051" s="23"/>
      <c r="H1051" s="40"/>
      <c r="I1051" s="40"/>
      <c r="J1051" s="70"/>
      <c r="K1051" s="23"/>
      <c r="L1051" s="70"/>
      <c r="M1051" s="70"/>
      <c r="N1051" s="23"/>
      <c r="O1051" s="23"/>
      <c r="P1051" s="23"/>
      <c r="Q1051" s="23"/>
      <c r="R1051" s="72"/>
      <c r="S1051" s="23"/>
      <c r="T1051" s="23"/>
      <c r="U1051" s="23"/>
      <c r="V1051" s="23"/>
      <c r="W1051" s="23"/>
      <c r="X1051" s="23"/>
      <c r="Y1051" s="23"/>
      <c r="Z1051" s="23"/>
      <c r="AA1051" s="23"/>
      <c r="AB1051" s="23"/>
      <c r="AC1051" s="23"/>
      <c r="AD1051" s="23"/>
      <c r="AE1051" s="23"/>
    </row>
    <row r="1052" spans="1:31">
      <c r="A1052" s="23"/>
      <c r="B1052" s="40"/>
      <c r="C1052" s="40"/>
      <c r="D1052" s="23"/>
      <c r="E1052" s="23"/>
      <c r="F1052" s="23"/>
      <c r="G1052" s="23"/>
      <c r="H1052" s="40"/>
      <c r="I1052" s="40"/>
      <c r="J1052" s="70"/>
      <c r="K1052" s="23"/>
      <c r="L1052" s="70"/>
      <c r="M1052" s="70"/>
      <c r="N1052" s="23"/>
      <c r="O1052" s="23"/>
      <c r="P1052" s="23"/>
      <c r="Q1052" s="23"/>
      <c r="R1052" s="72"/>
      <c r="S1052" s="23"/>
      <c r="T1052" s="23"/>
      <c r="U1052" s="23"/>
      <c r="V1052" s="23"/>
      <c r="W1052" s="23"/>
      <c r="X1052" s="23"/>
      <c r="Y1052" s="23"/>
      <c r="Z1052" s="23"/>
      <c r="AA1052" s="23"/>
      <c r="AB1052" s="23"/>
      <c r="AC1052" s="23"/>
      <c r="AD1052" s="23"/>
      <c r="AE1052" s="23"/>
    </row>
    <row r="1053" spans="1:31">
      <c r="A1053" s="23"/>
      <c r="B1053" s="40"/>
      <c r="C1053" s="40"/>
      <c r="D1053" s="23"/>
      <c r="E1053" s="23"/>
      <c r="F1053" s="23"/>
      <c r="G1053" s="23"/>
      <c r="H1053" s="40"/>
      <c r="I1053" s="40"/>
      <c r="J1053" s="70"/>
      <c r="K1053" s="23"/>
      <c r="L1053" s="70"/>
      <c r="M1053" s="70"/>
      <c r="N1053" s="23"/>
      <c r="O1053" s="23"/>
      <c r="P1053" s="23"/>
      <c r="Q1053" s="23"/>
      <c r="R1053" s="72"/>
      <c r="S1053" s="23"/>
      <c r="T1053" s="23"/>
      <c r="U1053" s="23"/>
      <c r="V1053" s="23"/>
      <c r="W1053" s="23"/>
      <c r="X1053" s="23"/>
      <c r="Y1053" s="23"/>
      <c r="Z1053" s="23"/>
      <c r="AA1053" s="23"/>
      <c r="AB1053" s="23"/>
      <c r="AC1053" s="23"/>
      <c r="AD1053" s="23"/>
      <c r="AE1053" s="23"/>
    </row>
    <row r="1054" spans="1:31">
      <c r="A1054" s="23"/>
      <c r="B1054" s="40"/>
      <c r="C1054" s="40"/>
      <c r="D1054" s="23"/>
      <c r="E1054" s="23"/>
      <c r="F1054" s="23"/>
      <c r="G1054" s="23"/>
      <c r="H1054" s="40"/>
      <c r="I1054" s="40"/>
      <c r="J1054" s="70"/>
      <c r="K1054" s="23"/>
      <c r="L1054" s="70"/>
      <c r="M1054" s="70"/>
      <c r="N1054" s="23"/>
      <c r="O1054" s="23"/>
      <c r="P1054" s="23"/>
      <c r="Q1054" s="23"/>
      <c r="R1054" s="72"/>
      <c r="S1054" s="23"/>
      <c r="T1054" s="23"/>
      <c r="U1054" s="23"/>
      <c r="V1054" s="23"/>
      <c r="W1054" s="23"/>
      <c r="X1054" s="23"/>
      <c r="Y1054" s="23"/>
      <c r="Z1054" s="23"/>
      <c r="AA1054" s="23"/>
      <c r="AB1054" s="23"/>
      <c r="AC1054" s="23"/>
      <c r="AD1054" s="23"/>
      <c r="AE1054" s="23"/>
    </row>
    <row r="1055" spans="1:31">
      <c r="A1055" s="23"/>
      <c r="B1055" s="40"/>
      <c r="C1055" s="40"/>
      <c r="D1055" s="23"/>
      <c r="E1055" s="23"/>
      <c r="F1055" s="23"/>
      <c r="G1055" s="23"/>
      <c r="H1055" s="40"/>
      <c r="I1055" s="40"/>
      <c r="J1055" s="70"/>
      <c r="K1055" s="23"/>
      <c r="L1055" s="70"/>
      <c r="M1055" s="70"/>
      <c r="N1055" s="23"/>
      <c r="O1055" s="23"/>
      <c r="P1055" s="23"/>
      <c r="Q1055" s="23"/>
      <c r="R1055" s="72"/>
      <c r="S1055" s="23"/>
      <c r="T1055" s="23"/>
      <c r="U1055" s="23"/>
      <c r="V1055" s="23"/>
      <c r="W1055" s="23"/>
      <c r="X1055" s="23"/>
      <c r="Y1055" s="23"/>
      <c r="Z1055" s="23"/>
      <c r="AA1055" s="23"/>
      <c r="AB1055" s="23"/>
      <c r="AC1055" s="23"/>
      <c r="AD1055" s="23"/>
      <c r="AE1055" s="23"/>
    </row>
    <row r="1056" spans="1:31">
      <c r="A1056" s="23"/>
      <c r="B1056" s="40"/>
      <c r="C1056" s="40"/>
      <c r="D1056" s="23"/>
      <c r="E1056" s="23"/>
      <c r="F1056" s="23"/>
      <c r="G1056" s="23"/>
      <c r="H1056" s="40"/>
      <c r="I1056" s="40"/>
      <c r="J1056" s="70"/>
      <c r="K1056" s="23"/>
      <c r="L1056" s="70"/>
      <c r="M1056" s="70"/>
      <c r="N1056" s="23"/>
      <c r="O1056" s="23"/>
      <c r="P1056" s="23"/>
      <c r="Q1056" s="23"/>
      <c r="R1056" s="72"/>
      <c r="S1056" s="23"/>
      <c r="T1056" s="23"/>
      <c r="U1056" s="23"/>
      <c r="V1056" s="23"/>
      <c r="W1056" s="23"/>
      <c r="X1056" s="23"/>
      <c r="Y1056" s="23"/>
      <c r="Z1056" s="23"/>
      <c r="AA1056" s="23"/>
      <c r="AB1056" s="23"/>
      <c r="AC1056" s="23"/>
      <c r="AD1056" s="23"/>
      <c r="AE1056" s="23"/>
    </row>
    <row r="1057" spans="1:31">
      <c r="A1057" s="23"/>
      <c r="B1057" s="40"/>
      <c r="C1057" s="40"/>
      <c r="D1057" s="23"/>
      <c r="E1057" s="23"/>
      <c r="F1057" s="23"/>
      <c r="G1057" s="23"/>
      <c r="H1057" s="23"/>
      <c r="I1057" s="40"/>
      <c r="J1057" s="70"/>
      <c r="K1057" s="23"/>
      <c r="L1057" s="70"/>
      <c r="M1057" s="70"/>
      <c r="N1057" s="23"/>
      <c r="O1057" s="23"/>
      <c r="P1057" s="23"/>
      <c r="Q1057" s="23"/>
      <c r="R1057" s="72"/>
      <c r="S1057" s="23"/>
      <c r="T1057" s="23"/>
      <c r="U1057" s="23"/>
      <c r="V1057" s="23"/>
      <c r="W1057" s="23"/>
      <c r="X1057" s="23"/>
      <c r="Y1057" s="23"/>
      <c r="Z1057" s="23"/>
      <c r="AA1057" s="23"/>
      <c r="AB1057" s="23"/>
      <c r="AC1057" s="23"/>
      <c r="AD1057" s="23"/>
      <c r="AE1057" s="23"/>
    </row>
    <row r="1058" spans="1:31">
      <c r="A1058" s="23"/>
      <c r="B1058" s="40"/>
      <c r="C1058" s="40"/>
      <c r="D1058" s="23"/>
      <c r="E1058" s="23"/>
      <c r="F1058" s="23"/>
      <c r="G1058" s="23"/>
      <c r="H1058" s="23"/>
      <c r="I1058" s="40"/>
      <c r="J1058" s="70"/>
      <c r="K1058" s="23"/>
      <c r="L1058" s="70"/>
      <c r="M1058" s="70"/>
      <c r="N1058" s="23"/>
      <c r="O1058" s="23"/>
      <c r="P1058" s="23"/>
      <c r="Q1058" s="23"/>
      <c r="R1058" s="72"/>
      <c r="S1058" s="23"/>
      <c r="T1058" s="23"/>
      <c r="U1058" s="23"/>
      <c r="V1058" s="23"/>
      <c r="W1058" s="23"/>
      <c r="X1058" s="23"/>
      <c r="Y1058" s="23"/>
      <c r="Z1058" s="23"/>
      <c r="AA1058" s="23"/>
      <c r="AB1058" s="23"/>
      <c r="AC1058" s="23"/>
      <c r="AD1058" s="23"/>
      <c r="AE1058" s="23"/>
    </row>
    <row r="1059" spans="1:31">
      <c r="A1059" s="23"/>
      <c r="B1059" s="40"/>
      <c r="C1059" s="40"/>
      <c r="D1059" s="23"/>
      <c r="E1059" s="23"/>
      <c r="F1059" s="23"/>
      <c r="G1059" s="23"/>
      <c r="H1059" s="23"/>
      <c r="I1059" s="40"/>
      <c r="J1059" s="70"/>
      <c r="K1059" s="23"/>
      <c r="L1059" s="70"/>
      <c r="M1059" s="70"/>
      <c r="N1059" s="23"/>
      <c r="O1059" s="23"/>
      <c r="P1059" s="23"/>
      <c r="Q1059" s="23"/>
      <c r="R1059" s="72"/>
      <c r="S1059" s="23"/>
      <c r="T1059" s="23"/>
      <c r="U1059" s="23"/>
      <c r="V1059" s="23"/>
      <c r="W1059" s="23"/>
      <c r="X1059" s="23"/>
      <c r="Y1059" s="23"/>
      <c r="Z1059" s="23"/>
      <c r="AA1059" s="23"/>
      <c r="AB1059" s="23"/>
      <c r="AC1059" s="23"/>
      <c r="AD1059" s="23"/>
      <c r="AE1059" s="23"/>
    </row>
    <row r="1060" spans="1:31">
      <c r="A1060" s="23"/>
      <c r="B1060" s="40"/>
      <c r="C1060" s="40"/>
      <c r="D1060" s="23"/>
      <c r="E1060" s="23"/>
      <c r="F1060" s="23"/>
      <c r="G1060" s="23"/>
      <c r="H1060" s="23"/>
      <c r="I1060" s="40"/>
      <c r="J1060" s="70"/>
      <c r="K1060" s="23"/>
      <c r="L1060" s="70"/>
      <c r="M1060" s="70"/>
      <c r="N1060" s="23"/>
      <c r="O1060" s="23"/>
      <c r="P1060" s="23"/>
      <c r="Q1060" s="23"/>
      <c r="R1060" s="72"/>
      <c r="S1060" s="23"/>
      <c r="T1060" s="23"/>
      <c r="U1060" s="23"/>
      <c r="V1060" s="23"/>
      <c r="W1060" s="23"/>
      <c r="X1060" s="23"/>
      <c r="Y1060" s="23"/>
      <c r="Z1060" s="23"/>
      <c r="AA1060" s="23"/>
      <c r="AB1060" s="23"/>
      <c r="AC1060" s="23"/>
      <c r="AD1060" s="23"/>
      <c r="AE1060" s="23"/>
    </row>
    <row r="1061" spans="1:31">
      <c r="A1061" s="23"/>
      <c r="B1061" s="40"/>
      <c r="C1061" s="40"/>
      <c r="D1061" s="23"/>
      <c r="E1061" s="23"/>
      <c r="F1061" s="23"/>
      <c r="G1061" s="23"/>
      <c r="H1061" s="23"/>
      <c r="I1061" s="40"/>
      <c r="J1061" s="70"/>
      <c r="K1061" s="23"/>
      <c r="L1061" s="70"/>
      <c r="M1061" s="70"/>
      <c r="N1061" s="23"/>
      <c r="O1061" s="23"/>
      <c r="P1061" s="23"/>
      <c r="Q1061" s="23"/>
      <c r="R1061" s="72"/>
      <c r="S1061" s="23"/>
      <c r="T1061" s="23"/>
      <c r="U1061" s="23"/>
      <c r="V1061" s="23"/>
      <c r="W1061" s="23"/>
      <c r="X1061" s="23"/>
      <c r="Y1061" s="23"/>
      <c r="Z1061" s="23"/>
      <c r="AA1061" s="23"/>
      <c r="AB1061" s="23"/>
      <c r="AC1061" s="23"/>
      <c r="AD1061" s="23"/>
      <c r="AE1061" s="23"/>
    </row>
    <row r="1062" spans="1:31">
      <c r="A1062" s="23"/>
      <c r="B1062" s="40"/>
      <c r="C1062" s="40"/>
      <c r="D1062" s="23"/>
      <c r="E1062" s="23"/>
      <c r="F1062" s="23"/>
      <c r="G1062" s="23"/>
      <c r="H1062" s="23"/>
      <c r="I1062" s="40"/>
      <c r="J1062" s="70"/>
      <c r="K1062" s="23"/>
      <c r="L1062" s="70"/>
      <c r="M1062" s="70"/>
      <c r="N1062" s="23"/>
      <c r="O1062" s="23"/>
      <c r="P1062" s="23"/>
      <c r="Q1062" s="23"/>
      <c r="R1062" s="72"/>
      <c r="S1062" s="23"/>
      <c r="T1062" s="23"/>
      <c r="U1062" s="23"/>
      <c r="V1062" s="23"/>
      <c r="W1062" s="23"/>
      <c r="X1062" s="23"/>
      <c r="Y1062" s="23"/>
      <c r="Z1062" s="23"/>
      <c r="AA1062" s="23"/>
      <c r="AB1062" s="23"/>
      <c r="AC1062" s="23"/>
      <c r="AD1062" s="23"/>
      <c r="AE1062" s="23"/>
    </row>
    <row r="1063" spans="1:31">
      <c r="A1063" s="23"/>
      <c r="B1063" s="40"/>
      <c r="C1063" s="40"/>
      <c r="D1063" s="23"/>
      <c r="E1063" s="23"/>
      <c r="F1063" s="23"/>
      <c r="G1063" s="23"/>
      <c r="H1063" s="23"/>
      <c r="I1063" s="40"/>
      <c r="J1063" s="70"/>
      <c r="K1063" s="23"/>
      <c r="L1063" s="70"/>
      <c r="M1063" s="70"/>
      <c r="N1063" s="23"/>
      <c r="O1063" s="23"/>
      <c r="P1063" s="23"/>
      <c r="Q1063" s="23"/>
      <c r="R1063" s="72"/>
      <c r="S1063" s="23"/>
      <c r="T1063" s="23"/>
      <c r="U1063" s="23"/>
      <c r="V1063" s="23"/>
      <c r="W1063" s="23"/>
      <c r="X1063" s="23"/>
      <c r="Y1063" s="23"/>
      <c r="Z1063" s="23"/>
      <c r="AA1063" s="23"/>
      <c r="AB1063" s="23"/>
      <c r="AC1063" s="23"/>
      <c r="AD1063" s="23"/>
      <c r="AE1063" s="23"/>
    </row>
    <row r="1064" spans="1:31">
      <c r="A1064" s="23"/>
      <c r="B1064" s="40"/>
      <c r="C1064" s="40"/>
      <c r="D1064" s="23"/>
      <c r="E1064" s="23"/>
      <c r="F1064" s="23"/>
      <c r="G1064" s="23"/>
      <c r="H1064" s="23"/>
      <c r="I1064" s="40"/>
      <c r="J1064" s="70"/>
      <c r="K1064" s="23"/>
      <c r="L1064" s="70"/>
      <c r="M1064" s="70"/>
      <c r="N1064" s="23"/>
      <c r="O1064" s="23"/>
      <c r="P1064" s="23"/>
      <c r="Q1064" s="23"/>
      <c r="R1064" s="72"/>
      <c r="S1064" s="23"/>
      <c r="T1064" s="23"/>
      <c r="U1064" s="23"/>
      <c r="V1064" s="23"/>
      <c r="W1064" s="23"/>
      <c r="X1064" s="23"/>
      <c r="Y1064" s="23"/>
      <c r="Z1064" s="23"/>
      <c r="AA1064" s="23"/>
      <c r="AB1064" s="23"/>
      <c r="AC1064" s="23"/>
      <c r="AD1064" s="23"/>
      <c r="AE1064" s="23"/>
    </row>
    <row r="1065" spans="1:31" ht="24" customHeight="1">
      <c r="A1065" s="23"/>
      <c r="B1065" s="40"/>
      <c r="C1065" s="40"/>
      <c r="D1065" s="23"/>
      <c r="E1065" s="23"/>
      <c r="F1065" s="23"/>
      <c r="G1065" s="23"/>
      <c r="H1065" s="40"/>
      <c r="I1065" s="40"/>
      <c r="J1065" s="70"/>
      <c r="K1065" s="23"/>
      <c r="L1065" s="70"/>
      <c r="M1065" s="70"/>
      <c r="N1065" s="23"/>
      <c r="O1065" s="23"/>
      <c r="P1065" s="23"/>
      <c r="Q1065" s="23"/>
      <c r="R1065" s="72"/>
      <c r="S1065" s="23"/>
      <c r="T1065" s="23"/>
      <c r="U1065" s="23"/>
      <c r="V1065" s="23"/>
      <c r="W1065" s="23"/>
      <c r="X1065" s="23"/>
      <c r="Y1065" s="23"/>
      <c r="Z1065" s="23"/>
      <c r="AA1065" s="23"/>
      <c r="AB1065" s="23"/>
      <c r="AC1065" s="23"/>
      <c r="AD1065" s="23"/>
      <c r="AE1065" s="23"/>
    </row>
    <row r="1066" spans="1:31">
      <c r="A1066" s="23"/>
      <c r="B1066" s="40"/>
      <c r="C1066" s="40"/>
      <c r="D1066" s="23"/>
      <c r="E1066" s="23"/>
      <c r="F1066" s="23"/>
      <c r="G1066" s="23"/>
      <c r="H1066" s="40"/>
      <c r="I1066" s="40"/>
      <c r="J1066" s="70"/>
      <c r="K1066" s="23"/>
      <c r="L1066" s="70"/>
      <c r="M1066" s="70"/>
      <c r="N1066" s="23"/>
      <c r="O1066" s="23"/>
      <c r="P1066" s="23"/>
      <c r="Q1066" s="23"/>
      <c r="R1066" s="72"/>
      <c r="S1066" s="23"/>
      <c r="T1066" s="23"/>
      <c r="U1066" s="23"/>
      <c r="V1066" s="23"/>
      <c r="W1066" s="23"/>
      <c r="X1066" s="23"/>
      <c r="Y1066" s="23"/>
      <c r="Z1066" s="23"/>
      <c r="AA1066" s="23"/>
      <c r="AB1066" s="23"/>
      <c r="AC1066" s="23"/>
      <c r="AD1066" s="23"/>
      <c r="AE1066" s="23"/>
    </row>
    <row r="1067" spans="1:31">
      <c r="A1067" s="23"/>
      <c r="B1067" s="40"/>
      <c r="C1067" s="40"/>
      <c r="D1067" s="23"/>
      <c r="E1067" s="23"/>
      <c r="F1067" s="23"/>
      <c r="G1067" s="23"/>
      <c r="H1067" s="40"/>
      <c r="I1067" s="40"/>
      <c r="J1067" s="70"/>
      <c r="K1067" s="23"/>
      <c r="L1067" s="70"/>
      <c r="M1067" s="70"/>
      <c r="N1067" s="23"/>
      <c r="O1067" s="23"/>
      <c r="P1067" s="23"/>
      <c r="Q1067" s="23"/>
      <c r="R1067" s="72"/>
      <c r="S1067" s="23"/>
      <c r="T1067" s="23"/>
      <c r="U1067" s="23"/>
      <c r="V1067" s="23"/>
      <c r="W1067" s="23"/>
      <c r="X1067" s="23"/>
      <c r="Y1067" s="23"/>
      <c r="Z1067" s="23"/>
      <c r="AA1067" s="23"/>
      <c r="AB1067" s="23"/>
      <c r="AC1067" s="23"/>
      <c r="AD1067" s="23"/>
      <c r="AE1067" s="23"/>
    </row>
    <row r="1068" spans="1:31">
      <c r="A1068" s="23"/>
      <c r="B1068" s="40"/>
      <c r="C1068" s="40"/>
      <c r="D1068" s="23"/>
      <c r="E1068" s="23"/>
      <c r="F1068" s="23"/>
      <c r="G1068" s="23"/>
      <c r="H1068" s="40"/>
      <c r="I1068" s="40"/>
      <c r="J1068" s="70"/>
      <c r="K1068" s="23"/>
      <c r="L1068" s="70"/>
      <c r="M1068" s="70"/>
      <c r="N1068" s="23"/>
      <c r="O1068" s="23"/>
      <c r="P1068" s="23"/>
      <c r="Q1068" s="23"/>
      <c r="R1068" s="72"/>
      <c r="S1068" s="23"/>
      <c r="T1068" s="23"/>
      <c r="U1068" s="23"/>
      <c r="V1068" s="23"/>
      <c r="W1068" s="23"/>
      <c r="X1068" s="23"/>
      <c r="Y1068" s="23"/>
      <c r="Z1068" s="23"/>
      <c r="AA1068" s="23"/>
      <c r="AB1068" s="23"/>
      <c r="AC1068" s="23"/>
      <c r="AD1068" s="23"/>
      <c r="AE1068" s="23"/>
    </row>
    <row r="1069" spans="1:31">
      <c r="A1069" s="23"/>
      <c r="B1069" s="40"/>
      <c r="C1069" s="40"/>
      <c r="D1069" s="23"/>
      <c r="E1069" s="23"/>
      <c r="F1069" s="23"/>
      <c r="G1069" s="23"/>
      <c r="H1069" s="40"/>
      <c r="I1069" s="40"/>
      <c r="J1069" s="70"/>
      <c r="K1069" s="23"/>
      <c r="L1069" s="70"/>
      <c r="M1069" s="70"/>
      <c r="N1069" s="23"/>
      <c r="O1069" s="23"/>
      <c r="P1069" s="23"/>
      <c r="Q1069" s="23"/>
      <c r="R1069" s="72"/>
      <c r="S1069" s="23"/>
      <c r="T1069" s="23"/>
      <c r="U1069" s="23"/>
      <c r="V1069" s="23"/>
      <c r="W1069" s="23"/>
      <c r="X1069" s="23"/>
      <c r="Y1069" s="23"/>
      <c r="Z1069" s="23"/>
      <c r="AA1069" s="23"/>
      <c r="AB1069" s="23"/>
      <c r="AC1069" s="23"/>
      <c r="AD1069" s="23"/>
      <c r="AE1069" s="23"/>
    </row>
    <row r="1070" spans="1:31">
      <c r="A1070" s="23"/>
      <c r="B1070" s="40"/>
      <c r="C1070" s="40"/>
      <c r="D1070" s="23"/>
      <c r="E1070" s="23"/>
      <c r="F1070" s="23"/>
      <c r="G1070" s="23"/>
      <c r="H1070" s="40"/>
      <c r="I1070" s="40"/>
      <c r="J1070" s="70"/>
      <c r="K1070" s="23"/>
      <c r="L1070" s="70"/>
      <c r="M1070" s="70"/>
      <c r="N1070" s="23"/>
      <c r="O1070" s="23"/>
      <c r="P1070" s="23"/>
      <c r="Q1070" s="23"/>
      <c r="R1070" s="72"/>
      <c r="S1070" s="23"/>
      <c r="T1070" s="23"/>
      <c r="U1070" s="23"/>
      <c r="V1070" s="23"/>
      <c r="W1070" s="23"/>
      <c r="X1070" s="23"/>
      <c r="Y1070" s="23"/>
      <c r="Z1070" s="23"/>
      <c r="AA1070" s="23"/>
      <c r="AB1070" s="23"/>
      <c r="AC1070" s="23"/>
      <c r="AD1070" s="23"/>
      <c r="AE1070" s="23"/>
    </row>
    <row r="1071" spans="1:31">
      <c r="A1071" s="23"/>
      <c r="B1071" s="40"/>
      <c r="C1071" s="40"/>
      <c r="D1071" s="23"/>
      <c r="E1071" s="23"/>
      <c r="F1071" s="23"/>
      <c r="G1071" s="23"/>
      <c r="H1071" s="23"/>
      <c r="I1071" s="40"/>
      <c r="J1071" s="70"/>
      <c r="K1071" s="23"/>
      <c r="L1071" s="70"/>
      <c r="M1071" s="70"/>
      <c r="N1071" s="23"/>
      <c r="O1071" s="23"/>
      <c r="P1071" s="23"/>
      <c r="Q1071" s="23"/>
      <c r="R1071" s="72"/>
      <c r="S1071" s="23"/>
      <c r="T1071" s="23"/>
      <c r="U1071" s="23"/>
      <c r="V1071" s="23"/>
      <c r="W1071" s="23"/>
      <c r="X1071" s="23"/>
      <c r="Y1071" s="23"/>
      <c r="Z1071" s="23"/>
      <c r="AA1071" s="23"/>
      <c r="AB1071" s="23"/>
      <c r="AC1071" s="23"/>
      <c r="AD1071" s="23"/>
      <c r="AE1071" s="23"/>
    </row>
    <row r="1072" spans="1:31">
      <c r="A1072" s="23"/>
      <c r="B1072" s="40"/>
      <c r="C1072" s="40"/>
      <c r="D1072" s="23"/>
      <c r="E1072" s="23"/>
      <c r="F1072" s="23"/>
      <c r="G1072" s="23"/>
      <c r="H1072" s="23"/>
      <c r="I1072" s="40"/>
      <c r="J1072" s="70"/>
      <c r="K1072" s="23"/>
      <c r="L1072" s="70"/>
      <c r="M1072" s="70"/>
      <c r="N1072" s="23"/>
      <c r="O1072" s="23"/>
      <c r="P1072" s="23"/>
      <c r="Q1072" s="23"/>
      <c r="R1072" s="72"/>
      <c r="S1072" s="23"/>
      <c r="T1072" s="23"/>
      <c r="U1072" s="23"/>
      <c r="V1072" s="23"/>
      <c r="W1072" s="23"/>
      <c r="X1072" s="23"/>
      <c r="Y1072" s="23"/>
      <c r="Z1072" s="23"/>
      <c r="AA1072" s="23"/>
      <c r="AB1072" s="23"/>
      <c r="AC1072" s="23"/>
      <c r="AD1072" s="23"/>
      <c r="AE1072" s="23"/>
    </row>
    <row r="1073" spans="1:31">
      <c r="A1073" s="23"/>
      <c r="B1073" s="40"/>
      <c r="C1073" s="40"/>
      <c r="D1073" s="23"/>
      <c r="E1073" s="23"/>
      <c r="F1073" s="23"/>
      <c r="G1073" s="23"/>
      <c r="H1073" s="23"/>
      <c r="I1073" s="40"/>
      <c r="J1073" s="70"/>
      <c r="K1073" s="23"/>
      <c r="L1073" s="70"/>
      <c r="M1073" s="70"/>
      <c r="N1073" s="23"/>
      <c r="O1073" s="23"/>
      <c r="P1073" s="23"/>
      <c r="Q1073" s="23"/>
      <c r="R1073" s="72"/>
      <c r="S1073" s="23"/>
      <c r="T1073" s="23"/>
      <c r="U1073" s="23"/>
      <c r="V1073" s="23"/>
      <c r="W1073" s="23"/>
      <c r="X1073" s="23"/>
      <c r="Y1073" s="23"/>
      <c r="Z1073" s="23"/>
      <c r="AA1073" s="23"/>
      <c r="AB1073" s="23"/>
      <c r="AC1073" s="23"/>
      <c r="AD1073" s="23"/>
      <c r="AE1073" s="23"/>
    </row>
    <row r="1074" spans="1:31">
      <c r="A1074" s="23"/>
      <c r="B1074" s="40"/>
      <c r="C1074" s="40"/>
      <c r="D1074" s="23"/>
      <c r="E1074" s="23"/>
      <c r="F1074" s="23"/>
      <c r="G1074" s="23"/>
      <c r="H1074" s="23"/>
      <c r="I1074" s="40"/>
      <c r="J1074" s="70"/>
      <c r="K1074" s="23"/>
      <c r="L1074" s="70"/>
      <c r="M1074" s="70"/>
      <c r="N1074" s="23"/>
      <c r="O1074" s="23"/>
      <c r="P1074" s="23"/>
      <c r="Q1074" s="23"/>
      <c r="R1074" s="72"/>
      <c r="S1074" s="23"/>
      <c r="T1074" s="23"/>
      <c r="U1074" s="23"/>
      <c r="V1074" s="23"/>
      <c r="W1074" s="23"/>
      <c r="X1074" s="23"/>
      <c r="Y1074" s="23"/>
      <c r="Z1074" s="23"/>
      <c r="AA1074" s="23"/>
      <c r="AB1074" s="23"/>
      <c r="AC1074" s="23"/>
      <c r="AD1074" s="23"/>
      <c r="AE1074" s="23"/>
    </row>
    <row r="1075" spans="1:31">
      <c r="A1075" s="23"/>
      <c r="B1075" s="40"/>
      <c r="C1075" s="40"/>
      <c r="D1075" s="23"/>
      <c r="E1075" s="23"/>
      <c r="F1075" s="23"/>
      <c r="G1075" s="23"/>
      <c r="H1075" s="23"/>
      <c r="I1075" s="40"/>
      <c r="J1075" s="70"/>
      <c r="K1075" s="23"/>
      <c r="L1075" s="70"/>
      <c r="M1075" s="70"/>
      <c r="N1075" s="23"/>
      <c r="O1075" s="23"/>
      <c r="P1075" s="23"/>
      <c r="Q1075" s="23"/>
      <c r="R1075" s="72"/>
      <c r="S1075" s="23"/>
      <c r="T1075" s="23"/>
      <c r="U1075" s="23"/>
      <c r="V1075" s="23"/>
      <c r="W1075" s="23"/>
      <c r="X1075" s="23"/>
      <c r="Y1075" s="23"/>
      <c r="Z1075" s="23"/>
      <c r="AA1075" s="23"/>
      <c r="AB1075" s="23"/>
      <c r="AC1075" s="23"/>
      <c r="AD1075" s="23"/>
      <c r="AE1075" s="23"/>
    </row>
    <row r="1076" spans="1:31">
      <c r="A1076" s="23"/>
      <c r="B1076" s="40"/>
      <c r="C1076" s="40"/>
      <c r="D1076" s="23"/>
      <c r="E1076" s="23"/>
      <c r="F1076" s="23"/>
      <c r="G1076" s="23"/>
      <c r="H1076" s="23"/>
      <c r="I1076" s="40"/>
      <c r="J1076" s="70"/>
      <c r="K1076" s="23"/>
      <c r="L1076" s="70"/>
      <c r="M1076" s="70"/>
      <c r="N1076" s="23"/>
      <c r="O1076" s="23"/>
      <c r="P1076" s="23"/>
      <c r="Q1076" s="23"/>
      <c r="R1076" s="72"/>
      <c r="S1076" s="23"/>
      <c r="T1076" s="23"/>
      <c r="U1076" s="23"/>
      <c r="V1076" s="23"/>
      <c r="W1076" s="23"/>
      <c r="X1076" s="23"/>
      <c r="Y1076" s="23"/>
      <c r="Z1076" s="23"/>
      <c r="AA1076" s="23"/>
      <c r="AB1076" s="23"/>
      <c r="AC1076" s="23"/>
      <c r="AD1076" s="23"/>
      <c r="AE1076" s="23"/>
    </row>
    <row r="1077" spans="1:31">
      <c r="A1077" s="23"/>
      <c r="B1077" s="40"/>
      <c r="C1077" s="40"/>
      <c r="D1077" s="23"/>
      <c r="E1077" s="23"/>
      <c r="F1077" s="23"/>
      <c r="G1077" s="23"/>
      <c r="H1077" s="23"/>
      <c r="I1077" s="40"/>
      <c r="J1077" s="70"/>
      <c r="K1077" s="23"/>
      <c r="L1077" s="70"/>
      <c r="M1077" s="70"/>
      <c r="N1077" s="23"/>
      <c r="O1077" s="23"/>
      <c r="P1077" s="23"/>
      <c r="Q1077" s="23"/>
      <c r="R1077" s="72"/>
      <c r="S1077" s="23"/>
      <c r="T1077" s="23"/>
      <c r="U1077" s="23"/>
      <c r="V1077" s="23"/>
      <c r="W1077" s="23"/>
      <c r="X1077" s="23"/>
      <c r="Y1077" s="23"/>
      <c r="Z1077" s="23"/>
      <c r="AA1077" s="23"/>
      <c r="AB1077" s="23"/>
      <c r="AC1077" s="23"/>
      <c r="AD1077" s="23"/>
      <c r="AE1077" s="23"/>
    </row>
    <row r="1078" spans="1:31">
      <c r="A1078" s="23"/>
      <c r="B1078" s="40"/>
      <c r="C1078" s="40"/>
      <c r="D1078" s="23"/>
      <c r="E1078" s="23"/>
      <c r="F1078" s="23"/>
      <c r="G1078" s="23"/>
      <c r="H1078" s="23"/>
      <c r="I1078" s="40"/>
      <c r="J1078" s="70"/>
      <c r="K1078" s="23"/>
      <c r="L1078" s="70"/>
      <c r="M1078" s="70"/>
      <c r="N1078" s="23"/>
      <c r="O1078" s="23"/>
      <c r="P1078" s="23"/>
      <c r="Q1078" s="23"/>
      <c r="R1078" s="72"/>
      <c r="S1078" s="23"/>
      <c r="T1078" s="23"/>
      <c r="U1078" s="23"/>
      <c r="V1078" s="23"/>
      <c r="W1078" s="23"/>
      <c r="X1078" s="23"/>
      <c r="Y1078" s="23"/>
      <c r="Z1078" s="23"/>
      <c r="AA1078" s="23"/>
      <c r="AB1078" s="23"/>
      <c r="AC1078" s="23"/>
      <c r="AD1078" s="23"/>
      <c r="AE1078" s="23"/>
    </row>
    <row r="1079" spans="1:31">
      <c r="A1079" s="23"/>
      <c r="B1079" s="40"/>
      <c r="C1079" s="40"/>
      <c r="D1079" s="23"/>
      <c r="E1079" s="23"/>
      <c r="F1079" s="23"/>
      <c r="G1079" s="23"/>
      <c r="H1079" s="23"/>
      <c r="I1079" s="40"/>
      <c r="J1079" s="70"/>
      <c r="K1079" s="23"/>
      <c r="L1079" s="70"/>
      <c r="M1079" s="70"/>
      <c r="N1079" s="23"/>
      <c r="O1079" s="23"/>
      <c r="P1079" s="23"/>
      <c r="Q1079" s="23"/>
      <c r="R1079" s="72"/>
      <c r="S1079" s="23"/>
      <c r="T1079" s="23"/>
      <c r="U1079" s="23"/>
      <c r="V1079" s="23"/>
      <c r="W1079" s="23"/>
      <c r="X1079" s="23"/>
      <c r="Y1079" s="23"/>
      <c r="Z1079" s="23"/>
      <c r="AA1079" s="23"/>
      <c r="AB1079" s="23"/>
      <c r="AC1079" s="23"/>
      <c r="AD1079" s="23"/>
      <c r="AE1079" s="23"/>
    </row>
    <row r="1080" spans="1:31">
      <c r="A1080" s="23"/>
      <c r="B1080" s="40"/>
      <c r="C1080" s="40"/>
      <c r="D1080" s="23"/>
      <c r="E1080" s="23"/>
      <c r="F1080" s="23"/>
      <c r="G1080" s="23"/>
      <c r="H1080" s="23"/>
      <c r="I1080" s="40"/>
      <c r="J1080" s="70"/>
      <c r="K1080" s="23"/>
      <c r="L1080" s="70"/>
      <c r="M1080" s="70"/>
      <c r="N1080" s="23"/>
      <c r="O1080" s="23"/>
      <c r="P1080" s="23"/>
      <c r="Q1080" s="23"/>
      <c r="R1080" s="72"/>
      <c r="S1080" s="23"/>
      <c r="T1080" s="23"/>
      <c r="U1080" s="23"/>
      <c r="V1080" s="23"/>
      <c r="W1080" s="23"/>
      <c r="X1080" s="23"/>
      <c r="Y1080" s="23"/>
      <c r="Z1080" s="23"/>
      <c r="AA1080" s="23"/>
      <c r="AB1080" s="23"/>
      <c r="AC1080" s="23"/>
      <c r="AD1080" s="23"/>
      <c r="AE1080" s="23"/>
    </row>
    <row r="1081" spans="1:31" ht="24" customHeight="1">
      <c r="A1081" s="23"/>
      <c r="B1081" s="40"/>
      <c r="C1081" s="40"/>
      <c r="D1081" s="23"/>
      <c r="E1081" s="23"/>
      <c r="F1081" s="23"/>
      <c r="G1081" s="23"/>
      <c r="H1081" s="40"/>
      <c r="I1081" s="40"/>
      <c r="J1081" s="70"/>
      <c r="K1081" s="23"/>
      <c r="L1081" s="70"/>
      <c r="M1081" s="70"/>
      <c r="N1081" s="23"/>
      <c r="O1081" s="23"/>
      <c r="P1081" s="23"/>
      <c r="Q1081" s="23"/>
      <c r="R1081" s="72"/>
      <c r="S1081" s="23"/>
      <c r="T1081" s="23"/>
      <c r="U1081" s="23"/>
      <c r="V1081" s="23"/>
      <c r="W1081" s="23"/>
      <c r="X1081" s="23"/>
      <c r="Y1081" s="23"/>
      <c r="Z1081" s="23"/>
      <c r="AA1081" s="23"/>
      <c r="AB1081" s="23"/>
      <c r="AC1081" s="23"/>
      <c r="AD1081" s="23"/>
      <c r="AE1081" s="23"/>
    </row>
    <row r="1082" spans="1:31">
      <c r="A1082" s="23"/>
      <c r="B1082" s="40"/>
      <c r="C1082" s="40"/>
      <c r="D1082" s="23"/>
      <c r="E1082" s="23"/>
      <c r="F1082" s="23"/>
      <c r="G1082" s="23"/>
      <c r="H1082" s="40"/>
      <c r="I1082" s="40"/>
      <c r="J1082" s="70"/>
      <c r="K1082" s="23"/>
      <c r="L1082" s="70"/>
      <c r="M1082" s="70"/>
      <c r="N1082" s="23"/>
      <c r="O1082" s="23"/>
      <c r="P1082" s="23"/>
      <c r="Q1082" s="23"/>
      <c r="R1082" s="72"/>
      <c r="S1082" s="23"/>
      <c r="T1082" s="23"/>
      <c r="U1082" s="23"/>
      <c r="V1082" s="23"/>
      <c r="W1082" s="23"/>
      <c r="X1082" s="23"/>
      <c r="Y1082" s="23"/>
      <c r="Z1082" s="23"/>
      <c r="AA1082" s="23"/>
      <c r="AB1082" s="23"/>
      <c r="AC1082" s="23"/>
      <c r="AD1082" s="23"/>
      <c r="AE1082" s="23"/>
    </row>
    <row r="1083" spans="1:31">
      <c r="A1083" s="23"/>
      <c r="B1083" s="40"/>
      <c r="C1083" s="40"/>
      <c r="D1083" s="23"/>
      <c r="E1083" s="23"/>
      <c r="F1083" s="23"/>
      <c r="G1083" s="23"/>
      <c r="H1083" s="40"/>
      <c r="I1083" s="40"/>
      <c r="J1083" s="70"/>
      <c r="K1083" s="23"/>
      <c r="L1083" s="70"/>
      <c r="M1083" s="70"/>
      <c r="N1083" s="23"/>
      <c r="O1083" s="23"/>
      <c r="P1083" s="23"/>
      <c r="Q1083" s="23"/>
      <c r="R1083" s="72"/>
      <c r="S1083" s="23"/>
      <c r="T1083" s="23"/>
      <c r="U1083" s="23"/>
      <c r="V1083" s="23"/>
      <c r="W1083" s="23"/>
      <c r="X1083" s="23"/>
      <c r="Y1083" s="23"/>
      <c r="Z1083" s="23"/>
      <c r="AA1083" s="23"/>
      <c r="AB1083" s="23"/>
      <c r="AC1083" s="23"/>
      <c r="AD1083" s="23"/>
      <c r="AE1083" s="23"/>
    </row>
    <row r="1084" spans="1:31">
      <c r="A1084" s="23"/>
      <c r="B1084" s="40"/>
      <c r="C1084" s="40"/>
      <c r="D1084" s="23"/>
      <c r="E1084" s="23"/>
      <c r="F1084" s="23"/>
      <c r="G1084" s="23"/>
      <c r="H1084" s="40"/>
      <c r="I1084" s="40"/>
      <c r="J1084" s="70"/>
      <c r="K1084" s="23"/>
      <c r="L1084" s="70"/>
      <c r="M1084" s="70"/>
      <c r="N1084" s="23"/>
      <c r="O1084" s="23"/>
      <c r="P1084" s="23"/>
      <c r="Q1084" s="23"/>
      <c r="R1084" s="72"/>
      <c r="S1084" s="23"/>
      <c r="T1084" s="23"/>
      <c r="U1084" s="23"/>
      <c r="V1084" s="23"/>
      <c r="W1084" s="23"/>
      <c r="X1084" s="23"/>
      <c r="Y1084" s="23"/>
      <c r="Z1084" s="23"/>
      <c r="AA1084" s="23"/>
      <c r="AB1084" s="23"/>
      <c r="AC1084" s="23"/>
      <c r="AD1084" s="23"/>
      <c r="AE1084" s="23"/>
    </row>
    <row r="1085" spans="1:31">
      <c r="A1085" s="23"/>
      <c r="B1085" s="40"/>
      <c r="C1085" s="40"/>
      <c r="D1085" s="23"/>
      <c r="E1085" s="23"/>
      <c r="F1085" s="23"/>
      <c r="G1085" s="23"/>
      <c r="H1085" s="40"/>
      <c r="I1085" s="40"/>
      <c r="J1085" s="70"/>
      <c r="K1085" s="23"/>
      <c r="L1085" s="70"/>
      <c r="M1085" s="70"/>
      <c r="N1085" s="23"/>
      <c r="O1085" s="23"/>
      <c r="P1085" s="23"/>
      <c r="Q1085" s="23"/>
      <c r="R1085" s="72"/>
      <c r="S1085" s="23"/>
      <c r="T1085" s="23"/>
      <c r="U1085" s="23"/>
      <c r="V1085" s="23"/>
      <c r="W1085" s="23"/>
      <c r="X1085" s="23"/>
      <c r="Y1085" s="23"/>
      <c r="Z1085" s="23"/>
      <c r="AA1085" s="23"/>
      <c r="AB1085" s="23"/>
      <c r="AC1085" s="23"/>
      <c r="AD1085" s="23"/>
      <c r="AE1085" s="23"/>
    </row>
    <row r="1086" spans="1:31">
      <c r="A1086" s="23"/>
      <c r="B1086" s="40"/>
      <c r="C1086" s="40"/>
      <c r="D1086" s="23"/>
      <c r="E1086" s="23"/>
      <c r="F1086" s="23"/>
      <c r="G1086" s="23"/>
      <c r="H1086" s="40"/>
      <c r="I1086" s="40"/>
      <c r="J1086" s="70"/>
      <c r="K1086" s="23"/>
      <c r="L1086" s="70"/>
      <c r="M1086" s="70"/>
      <c r="N1086" s="23"/>
      <c r="O1086" s="23"/>
      <c r="P1086" s="23"/>
      <c r="Q1086" s="23"/>
      <c r="R1086" s="72"/>
      <c r="S1086" s="23"/>
      <c r="T1086" s="23"/>
      <c r="U1086" s="23"/>
      <c r="V1086" s="23"/>
      <c r="W1086" s="23"/>
      <c r="X1086" s="23"/>
      <c r="Y1086" s="23"/>
      <c r="Z1086" s="23"/>
      <c r="AA1086" s="23"/>
      <c r="AB1086" s="23"/>
      <c r="AC1086" s="23"/>
      <c r="AD1086" s="23"/>
      <c r="AE1086" s="23"/>
    </row>
    <row r="1087" spans="1:31">
      <c r="A1087" s="23"/>
      <c r="B1087" s="40"/>
      <c r="C1087" s="40"/>
      <c r="D1087" s="23"/>
      <c r="E1087" s="23"/>
      <c r="F1087" s="23"/>
      <c r="G1087" s="23"/>
      <c r="H1087" s="40"/>
      <c r="I1087" s="40"/>
      <c r="J1087" s="70"/>
      <c r="K1087" s="23"/>
      <c r="L1087" s="70"/>
      <c r="M1087" s="70"/>
      <c r="N1087" s="23"/>
      <c r="O1087" s="23"/>
      <c r="P1087" s="23"/>
      <c r="Q1087" s="23"/>
      <c r="R1087" s="72"/>
      <c r="S1087" s="23"/>
      <c r="T1087" s="23"/>
      <c r="U1087" s="23"/>
      <c r="V1087" s="23"/>
      <c r="W1087" s="23"/>
      <c r="X1087" s="23"/>
      <c r="Y1087" s="23"/>
      <c r="Z1087" s="23"/>
      <c r="AA1087" s="23"/>
      <c r="AB1087" s="23"/>
      <c r="AC1087" s="23"/>
      <c r="AD1087" s="23"/>
      <c r="AE1087" s="23"/>
    </row>
    <row r="1088" spans="1:31">
      <c r="A1088" s="23"/>
      <c r="B1088" s="40"/>
      <c r="C1088" s="40"/>
      <c r="D1088" s="23"/>
      <c r="E1088" s="23"/>
      <c r="F1088" s="23"/>
      <c r="G1088" s="23"/>
      <c r="H1088" s="40"/>
      <c r="I1088" s="40"/>
      <c r="J1088" s="70"/>
      <c r="K1088" s="23"/>
      <c r="L1088" s="70"/>
      <c r="M1088" s="70"/>
      <c r="N1088" s="23"/>
      <c r="O1088" s="23"/>
      <c r="P1088" s="23"/>
      <c r="Q1088" s="23"/>
      <c r="R1088" s="72"/>
      <c r="S1088" s="23"/>
      <c r="T1088" s="23"/>
      <c r="U1088" s="23"/>
      <c r="V1088" s="23"/>
      <c r="W1088" s="23"/>
      <c r="X1088" s="23"/>
      <c r="Y1088" s="23"/>
      <c r="Z1088" s="23"/>
      <c r="AA1088" s="23"/>
      <c r="AB1088" s="23"/>
      <c r="AC1088" s="23"/>
      <c r="AD1088" s="23"/>
      <c r="AE1088" s="23"/>
    </row>
    <row r="1089" spans="1:31">
      <c r="A1089" s="23"/>
      <c r="B1089" s="40"/>
      <c r="C1089" s="40"/>
      <c r="D1089" s="23"/>
      <c r="E1089" s="23"/>
      <c r="F1089" s="23"/>
      <c r="G1089" s="23"/>
      <c r="H1089" s="23"/>
      <c r="I1089" s="40"/>
      <c r="J1089" s="70"/>
      <c r="K1089" s="23"/>
      <c r="L1089" s="70"/>
      <c r="M1089" s="70"/>
      <c r="N1089" s="23"/>
      <c r="O1089" s="23"/>
      <c r="P1089" s="23"/>
      <c r="Q1089" s="23"/>
      <c r="R1089" s="72"/>
      <c r="S1089" s="23"/>
      <c r="T1089" s="23"/>
      <c r="U1089" s="23"/>
      <c r="V1089" s="23"/>
      <c r="W1089" s="23"/>
      <c r="X1089" s="23"/>
      <c r="Y1089" s="23"/>
      <c r="Z1089" s="23"/>
      <c r="AA1089" s="23"/>
      <c r="AB1089" s="23"/>
      <c r="AC1089" s="23"/>
      <c r="AD1089" s="23"/>
      <c r="AE1089" s="23"/>
    </row>
    <row r="1090" spans="1:31">
      <c r="A1090" s="23"/>
      <c r="B1090" s="40"/>
      <c r="C1090" s="40"/>
      <c r="D1090" s="23"/>
      <c r="E1090" s="23"/>
      <c r="F1090" s="23"/>
      <c r="G1090" s="23"/>
      <c r="H1090" s="23"/>
      <c r="I1090" s="40"/>
      <c r="J1090" s="70"/>
      <c r="K1090" s="23"/>
      <c r="L1090" s="70"/>
      <c r="M1090" s="70"/>
      <c r="N1090" s="23"/>
      <c r="O1090" s="23"/>
      <c r="P1090" s="23"/>
      <c r="Q1090" s="23"/>
      <c r="R1090" s="72"/>
      <c r="S1090" s="23"/>
      <c r="T1090" s="23"/>
      <c r="U1090" s="23"/>
      <c r="V1090" s="23"/>
      <c r="W1090" s="23"/>
      <c r="X1090" s="23"/>
      <c r="Y1090" s="23"/>
      <c r="Z1090" s="23"/>
      <c r="AA1090" s="23"/>
      <c r="AB1090" s="23"/>
      <c r="AC1090" s="23"/>
      <c r="AD1090" s="23"/>
      <c r="AE1090" s="23"/>
    </row>
    <row r="1091" spans="1:31">
      <c r="A1091" s="23"/>
      <c r="B1091" s="40"/>
      <c r="C1091" s="40"/>
      <c r="D1091" s="23"/>
      <c r="E1091" s="23"/>
      <c r="F1091" s="23"/>
      <c r="G1091" s="23"/>
      <c r="H1091" s="23"/>
      <c r="I1091" s="40"/>
      <c r="J1091" s="70"/>
      <c r="K1091" s="23"/>
      <c r="L1091" s="70"/>
      <c r="M1091" s="70"/>
      <c r="N1091" s="23"/>
      <c r="O1091" s="23"/>
      <c r="P1091" s="23"/>
      <c r="Q1091" s="23"/>
      <c r="R1091" s="72"/>
      <c r="S1091" s="23"/>
      <c r="T1091" s="23"/>
      <c r="U1091" s="23"/>
      <c r="V1091" s="23"/>
      <c r="W1091" s="23"/>
      <c r="X1091" s="23"/>
      <c r="Y1091" s="23"/>
      <c r="Z1091" s="23"/>
      <c r="AA1091" s="23"/>
      <c r="AB1091" s="23"/>
      <c r="AC1091" s="23"/>
      <c r="AD1091" s="23"/>
      <c r="AE1091" s="23"/>
    </row>
    <row r="1092" spans="1:31">
      <c r="A1092" s="23"/>
      <c r="B1092" s="40"/>
      <c r="C1092" s="40"/>
      <c r="D1092" s="23"/>
      <c r="E1092" s="23"/>
      <c r="F1092" s="23"/>
      <c r="G1092" s="23"/>
      <c r="H1092" s="23"/>
      <c r="I1092" s="40"/>
      <c r="J1092" s="70"/>
      <c r="K1092" s="23"/>
      <c r="L1092" s="70"/>
      <c r="M1092" s="70"/>
      <c r="N1092" s="23"/>
      <c r="O1092" s="23"/>
      <c r="P1092" s="23"/>
      <c r="Q1092" s="23"/>
      <c r="R1092" s="72"/>
      <c r="S1092" s="23"/>
      <c r="T1092" s="23"/>
      <c r="U1092" s="23"/>
      <c r="V1092" s="23"/>
      <c r="W1092" s="23"/>
      <c r="X1092" s="23"/>
      <c r="Y1092" s="23"/>
      <c r="Z1092" s="23"/>
      <c r="AA1092" s="23"/>
      <c r="AB1092" s="23"/>
      <c r="AC1092" s="23"/>
      <c r="AD1092" s="23"/>
      <c r="AE1092" s="23"/>
    </row>
    <row r="1093" spans="1:31" ht="24" customHeight="1">
      <c r="A1093" s="23"/>
      <c r="B1093" s="40"/>
      <c r="C1093" s="40"/>
      <c r="D1093" s="23"/>
      <c r="E1093" s="23"/>
      <c r="F1093" s="23"/>
      <c r="G1093" s="23"/>
      <c r="H1093" s="40"/>
      <c r="I1093" s="40"/>
      <c r="J1093" s="70"/>
      <c r="K1093" s="23"/>
      <c r="L1093" s="70"/>
      <c r="M1093" s="70"/>
      <c r="N1093" s="23"/>
      <c r="O1093" s="23"/>
      <c r="P1093" s="23"/>
      <c r="Q1093" s="23"/>
      <c r="R1093" s="72"/>
      <c r="S1093" s="23"/>
      <c r="T1093" s="23"/>
      <c r="U1093" s="23"/>
      <c r="V1093" s="23"/>
      <c r="W1093" s="23"/>
      <c r="X1093" s="23"/>
      <c r="Y1093" s="23"/>
      <c r="Z1093" s="23"/>
      <c r="AA1093" s="23"/>
      <c r="AB1093" s="23"/>
      <c r="AC1093" s="23"/>
      <c r="AD1093" s="23"/>
      <c r="AE1093" s="23"/>
    </row>
    <row r="1094" spans="1:31">
      <c r="A1094" s="23"/>
      <c r="B1094" s="40"/>
      <c r="C1094" s="40"/>
      <c r="D1094" s="23"/>
      <c r="E1094" s="23"/>
      <c r="F1094" s="23"/>
      <c r="G1094" s="23"/>
      <c r="H1094" s="40"/>
      <c r="I1094" s="40"/>
      <c r="J1094" s="70"/>
      <c r="K1094" s="23"/>
      <c r="L1094" s="70"/>
      <c r="M1094" s="70"/>
      <c r="N1094" s="23"/>
      <c r="O1094" s="23"/>
      <c r="P1094" s="23"/>
      <c r="Q1094" s="23"/>
      <c r="R1094" s="72"/>
      <c r="S1094" s="23"/>
      <c r="T1094" s="23"/>
      <c r="U1094" s="23"/>
      <c r="V1094" s="23"/>
      <c r="W1094" s="23"/>
      <c r="X1094" s="23"/>
      <c r="Y1094" s="23"/>
      <c r="Z1094" s="23"/>
      <c r="AA1094" s="23"/>
      <c r="AB1094" s="23"/>
      <c r="AC1094" s="23"/>
      <c r="AD1094" s="23"/>
      <c r="AE1094" s="23"/>
    </row>
    <row r="1095" spans="1:31">
      <c r="A1095" s="23"/>
      <c r="B1095" s="40"/>
      <c r="C1095" s="40"/>
      <c r="D1095" s="23"/>
      <c r="E1095" s="23"/>
      <c r="F1095" s="23"/>
      <c r="G1095" s="23"/>
      <c r="H1095" s="40"/>
      <c r="I1095" s="40"/>
      <c r="J1095" s="70"/>
      <c r="K1095" s="23"/>
      <c r="L1095" s="70"/>
      <c r="M1095" s="70"/>
      <c r="N1095" s="23"/>
      <c r="O1095" s="23"/>
      <c r="P1095" s="23"/>
      <c r="Q1095" s="23"/>
      <c r="R1095" s="72"/>
      <c r="S1095" s="23"/>
      <c r="T1095" s="23"/>
      <c r="U1095" s="23"/>
      <c r="V1095" s="23"/>
      <c r="W1095" s="23"/>
      <c r="X1095" s="23"/>
      <c r="Y1095" s="23"/>
      <c r="Z1095" s="23"/>
      <c r="AA1095" s="23"/>
      <c r="AB1095" s="23"/>
      <c r="AC1095" s="23"/>
      <c r="AD1095" s="23"/>
      <c r="AE1095" s="23"/>
    </row>
    <row r="1096" spans="1:31">
      <c r="A1096" s="23"/>
      <c r="B1096" s="40"/>
      <c r="C1096" s="40"/>
      <c r="D1096" s="23"/>
      <c r="E1096" s="23"/>
      <c r="F1096" s="23"/>
      <c r="G1096" s="23"/>
      <c r="H1096" s="40"/>
      <c r="I1096" s="40"/>
      <c r="J1096" s="70"/>
      <c r="K1096" s="23"/>
      <c r="L1096" s="70"/>
      <c r="M1096" s="70"/>
      <c r="N1096" s="23"/>
      <c r="O1096" s="23"/>
      <c r="P1096" s="23"/>
      <c r="Q1096" s="23"/>
      <c r="R1096" s="72"/>
      <c r="S1096" s="23"/>
      <c r="T1096" s="23"/>
      <c r="U1096" s="23"/>
      <c r="V1096" s="23"/>
      <c r="W1096" s="23"/>
      <c r="X1096" s="23"/>
      <c r="Y1096" s="23"/>
      <c r="Z1096" s="23"/>
      <c r="AA1096" s="23"/>
      <c r="AB1096" s="23"/>
      <c r="AC1096" s="23"/>
      <c r="AD1096" s="23"/>
      <c r="AE1096" s="23"/>
    </row>
    <row r="1097" spans="1:31">
      <c r="A1097" s="23"/>
      <c r="B1097" s="40"/>
      <c r="C1097" s="40"/>
      <c r="D1097" s="23"/>
      <c r="E1097" s="23"/>
      <c r="F1097" s="23"/>
      <c r="G1097" s="23"/>
      <c r="H1097" s="40"/>
      <c r="I1097" s="40"/>
      <c r="J1097" s="70"/>
      <c r="K1097" s="23"/>
      <c r="L1097" s="70"/>
      <c r="M1097" s="70"/>
      <c r="N1097" s="23"/>
      <c r="O1097" s="23"/>
      <c r="P1097" s="23"/>
      <c r="Q1097" s="23"/>
      <c r="R1097" s="72"/>
      <c r="S1097" s="23"/>
      <c r="T1097" s="23"/>
      <c r="U1097" s="23"/>
      <c r="V1097" s="23"/>
      <c r="W1097" s="23"/>
      <c r="X1097" s="23"/>
      <c r="Y1097" s="23"/>
      <c r="Z1097" s="23"/>
      <c r="AA1097" s="23"/>
      <c r="AB1097" s="23"/>
      <c r="AC1097" s="23"/>
      <c r="AD1097" s="23"/>
      <c r="AE1097" s="23"/>
    </row>
    <row r="1098" spans="1:31">
      <c r="A1098" s="23"/>
      <c r="B1098" s="40"/>
      <c r="C1098" s="40"/>
      <c r="D1098" s="23"/>
      <c r="E1098" s="23"/>
      <c r="F1098" s="23"/>
      <c r="G1098" s="23"/>
      <c r="H1098" s="40"/>
      <c r="I1098" s="40"/>
      <c r="J1098" s="70"/>
      <c r="K1098" s="23"/>
      <c r="L1098" s="70"/>
      <c r="M1098" s="70"/>
      <c r="N1098" s="23"/>
      <c r="O1098" s="23"/>
      <c r="P1098" s="23"/>
      <c r="Q1098" s="23"/>
      <c r="R1098" s="72"/>
      <c r="S1098" s="23"/>
      <c r="T1098" s="23"/>
      <c r="U1098" s="23"/>
      <c r="V1098" s="23"/>
      <c r="W1098" s="23"/>
      <c r="X1098" s="23"/>
      <c r="Y1098" s="23"/>
      <c r="Z1098" s="23"/>
      <c r="AA1098" s="23"/>
      <c r="AB1098" s="23"/>
      <c r="AC1098" s="23"/>
      <c r="AD1098" s="23"/>
      <c r="AE1098" s="23"/>
    </row>
    <row r="1099" spans="1:31">
      <c r="A1099" s="23"/>
      <c r="B1099" s="40"/>
      <c r="C1099" s="40"/>
      <c r="D1099" s="23"/>
      <c r="E1099" s="23"/>
      <c r="F1099" s="23"/>
      <c r="G1099" s="23"/>
      <c r="H1099" s="40"/>
      <c r="I1099" s="40"/>
      <c r="J1099" s="70"/>
      <c r="K1099" s="23"/>
      <c r="L1099" s="70"/>
      <c r="M1099" s="70"/>
      <c r="N1099" s="23"/>
      <c r="O1099" s="23"/>
      <c r="P1099" s="23"/>
      <c r="Q1099" s="23"/>
      <c r="R1099" s="72"/>
      <c r="S1099" s="23"/>
      <c r="T1099" s="23"/>
      <c r="U1099" s="23"/>
      <c r="V1099" s="23"/>
      <c r="W1099" s="23"/>
      <c r="X1099" s="23"/>
      <c r="Y1099" s="23"/>
      <c r="Z1099" s="23"/>
      <c r="AA1099" s="23"/>
      <c r="AB1099" s="23"/>
      <c r="AC1099" s="23"/>
      <c r="AD1099" s="23"/>
      <c r="AE1099" s="23"/>
    </row>
    <row r="1100" spans="1:31">
      <c r="A1100" s="23"/>
      <c r="B1100" s="40"/>
      <c r="C1100" s="40"/>
      <c r="D1100" s="23"/>
      <c r="E1100" s="23"/>
      <c r="F1100" s="23"/>
      <c r="G1100" s="23"/>
      <c r="H1100" s="40"/>
      <c r="I1100" s="40"/>
      <c r="J1100" s="70"/>
      <c r="K1100" s="23"/>
      <c r="L1100" s="70"/>
      <c r="M1100" s="70"/>
      <c r="N1100" s="23"/>
      <c r="O1100" s="23"/>
      <c r="P1100" s="23"/>
      <c r="Q1100" s="23"/>
      <c r="R1100" s="72"/>
      <c r="S1100" s="23"/>
      <c r="T1100" s="23"/>
      <c r="U1100" s="23"/>
      <c r="V1100" s="23"/>
      <c r="W1100" s="23"/>
      <c r="X1100" s="23"/>
      <c r="Y1100" s="23"/>
      <c r="Z1100" s="23"/>
      <c r="AA1100" s="23"/>
      <c r="AB1100" s="23"/>
      <c r="AC1100" s="23"/>
      <c r="AD1100" s="23"/>
      <c r="AE1100" s="23"/>
    </row>
    <row r="1101" spans="1:31">
      <c r="A1101" s="23"/>
      <c r="B1101" s="40"/>
      <c r="C1101" s="40"/>
      <c r="D1101" s="23"/>
      <c r="E1101" s="23"/>
      <c r="F1101" s="23"/>
      <c r="G1101" s="23"/>
      <c r="H1101" s="23"/>
      <c r="I1101" s="40"/>
      <c r="J1101" s="70"/>
      <c r="K1101" s="23"/>
      <c r="L1101" s="70"/>
      <c r="M1101" s="70"/>
      <c r="N1101" s="23"/>
      <c r="O1101" s="23"/>
      <c r="P1101" s="23"/>
      <c r="Q1101" s="23"/>
      <c r="R1101" s="72"/>
      <c r="S1101" s="23"/>
      <c r="T1101" s="23"/>
      <c r="U1101" s="23"/>
      <c r="V1101" s="23"/>
      <c r="W1101" s="23"/>
      <c r="X1101" s="23"/>
      <c r="Y1101" s="23"/>
      <c r="Z1101" s="23"/>
      <c r="AA1101" s="23"/>
      <c r="AB1101" s="23"/>
      <c r="AC1101" s="23"/>
      <c r="AD1101" s="23"/>
      <c r="AE1101" s="23"/>
    </row>
    <row r="1102" spans="1:31">
      <c r="A1102" s="23"/>
      <c r="B1102" s="40"/>
      <c r="C1102" s="40"/>
      <c r="D1102" s="23"/>
      <c r="E1102" s="23"/>
      <c r="F1102" s="23"/>
      <c r="G1102" s="23"/>
      <c r="H1102" s="23"/>
      <c r="I1102" s="40"/>
      <c r="J1102" s="70"/>
      <c r="K1102" s="23"/>
      <c r="L1102" s="70"/>
      <c r="M1102" s="70"/>
      <c r="N1102" s="23"/>
      <c r="O1102" s="23"/>
      <c r="P1102" s="23"/>
      <c r="Q1102" s="23"/>
      <c r="R1102" s="72"/>
      <c r="S1102" s="23"/>
      <c r="T1102" s="23"/>
      <c r="U1102" s="23"/>
      <c r="V1102" s="23"/>
      <c r="W1102" s="23"/>
      <c r="X1102" s="23"/>
      <c r="Y1102" s="23"/>
      <c r="Z1102" s="23"/>
      <c r="AA1102" s="23"/>
      <c r="AB1102" s="23"/>
      <c r="AC1102" s="23"/>
      <c r="AD1102" s="23"/>
      <c r="AE1102" s="23"/>
    </row>
    <row r="1103" spans="1:31">
      <c r="A1103" s="23"/>
      <c r="B1103" s="40"/>
      <c r="C1103" s="40"/>
      <c r="D1103" s="23"/>
      <c r="E1103" s="23"/>
      <c r="F1103" s="23"/>
      <c r="G1103" s="23"/>
      <c r="H1103" s="23"/>
      <c r="I1103" s="40"/>
      <c r="J1103" s="70"/>
      <c r="K1103" s="23"/>
      <c r="L1103" s="70"/>
      <c r="M1103" s="70"/>
      <c r="N1103" s="23"/>
      <c r="O1103" s="23"/>
      <c r="P1103" s="23"/>
      <c r="Q1103" s="23"/>
      <c r="R1103" s="72"/>
      <c r="S1103" s="23"/>
      <c r="T1103" s="23"/>
      <c r="U1103" s="23"/>
      <c r="V1103" s="23"/>
      <c r="W1103" s="23"/>
      <c r="X1103" s="23"/>
      <c r="Y1103" s="23"/>
      <c r="Z1103" s="23"/>
      <c r="AA1103" s="23"/>
      <c r="AB1103" s="23"/>
      <c r="AC1103" s="23"/>
      <c r="AD1103" s="23"/>
      <c r="AE1103" s="23"/>
    </row>
    <row r="1104" spans="1:31">
      <c r="A1104" s="23"/>
      <c r="B1104" s="40"/>
      <c r="C1104" s="40"/>
      <c r="D1104" s="23"/>
      <c r="E1104" s="23"/>
      <c r="F1104" s="23"/>
      <c r="G1104" s="23"/>
      <c r="H1104" s="23"/>
      <c r="I1104" s="40"/>
      <c r="J1104" s="70"/>
      <c r="K1104" s="23"/>
      <c r="L1104" s="70"/>
      <c r="M1104" s="70"/>
      <c r="N1104" s="23"/>
      <c r="O1104" s="23"/>
      <c r="P1104" s="23"/>
      <c r="Q1104" s="23"/>
      <c r="R1104" s="72"/>
      <c r="S1104" s="23"/>
      <c r="T1104" s="23"/>
      <c r="U1104" s="23"/>
      <c r="V1104" s="23"/>
      <c r="W1104" s="23"/>
      <c r="X1104" s="23"/>
      <c r="Y1104" s="23"/>
      <c r="Z1104" s="23"/>
      <c r="AA1104" s="23"/>
      <c r="AB1104" s="23"/>
      <c r="AC1104" s="23"/>
      <c r="AD1104" s="23"/>
      <c r="AE1104" s="23"/>
    </row>
    <row r="1105" spans="1:31">
      <c r="A1105" s="23"/>
      <c r="B1105" s="40"/>
      <c r="C1105" s="40"/>
      <c r="D1105" s="23"/>
      <c r="E1105" s="23"/>
      <c r="F1105" s="23"/>
      <c r="G1105" s="23"/>
      <c r="H1105" s="23"/>
      <c r="I1105" s="40"/>
      <c r="J1105" s="70"/>
      <c r="K1105" s="23"/>
      <c r="L1105" s="70"/>
      <c r="M1105" s="70"/>
      <c r="N1105" s="23"/>
      <c r="O1105" s="23"/>
      <c r="P1105" s="23"/>
      <c r="Q1105" s="23"/>
      <c r="R1105" s="72"/>
      <c r="S1105" s="23"/>
      <c r="T1105" s="23"/>
      <c r="U1105" s="23"/>
      <c r="V1105" s="23"/>
      <c r="W1105" s="23"/>
      <c r="X1105" s="23"/>
      <c r="Y1105" s="23"/>
      <c r="Z1105" s="23"/>
      <c r="AA1105" s="23"/>
      <c r="AB1105" s="23"/>
      <c r="AC1105" s="23"/>
      <c r="AD1105" s="23"/>
      <c r="AE1105" s="23"/>
    </row>
    <row r="1106" spans="1:31" ht="24" customHeight="1">
      <c r="A1106" s="23"/>
      <c r="B1106" s="40"/>
      <c r="C1106" s="40"/>
      <c r="D1106" s="23"/>
      <c r="E1106" s="23"/>
      <c r="F1106" s="23"/>
      <c r="G1106" s="23"/>
      <c r="H1106" s="40"/>
      <c r="I1106" s="40"/>
      <c r="J1106" s="70"/>
      <c r="K1106" s="23"/>
      <c r="L1106" s="70"/>
      <c r="M1106" s="70"/>
      <c r="N1106" s="23"/>
      <c r="O1106" s="23"/>
      <c r="P1106" s="23"/>
      <c r="Q1106" s="23"/>
      <c r="R1106" s="72"/>
      <c r="S1106" s="23"/>
      <c r="T1106" s="23"/>
      <c r="U1106" s="23"/>
      <c r="V1106" s="23"/>
      <c r="W1106" s="23"/>
      <c r="X1106" s="23"/>
      <c r="Y1106" s="23"/>
      <c r="Z1106" s="23"/>
      <c r="AA1106" s="23"/>
      <c r="AB1106" s="23"/>
      <c r="AC1106" s="23"/>
      <c r="AD1106" s="23"/>
      <c r="AE1106" s="23"/>
    </row>
    <row r="1107" spans="1:31">
      <c r="A1107" s="23"/>
      <c r="B1107" s="40"/>
      <c r="C1107" s="40"/>
      <c r="D1107" s="23"/>
      <c r="E1107" s="23"/>
      <c r="F1107" s="23"/>
      <c r="G1107" s="23"/>
      <c r="H1107" s="40"/>
      <c r="I1107" s="40"/>
      <c r="J1107" s="70"/>
      <c r="K1107" s="23"/>
      <c r="L1107" s="70"/>
      <c r="M1107" s="70"/>
      <c r="N1107" s="23"/>
      <c r="O1107" s="23"/>
      <c r="P1107" s="23"/>
      <c r="Q1107" s="23"/>
      <c r="R1107" s="72"/>
      <c r="S1107" s="23"/>
      <c r="T1107" s="23"/>
      <c r="U1107" s="23"/>
      <c r="V1107" s="23"/>
      <c r="W1107" s="23"/>
      <c r="X1107" s="23"/>
      <c r="Y1107" s="23"/>
      <c r="Z1107" s="23"/>
      <c r="AA1107" s="23"/>
      <c r="AB1107" s="23"/>
      <c r="AC1107" s="23"/>
      <c r="AD1107" s="23"/>
      <c r="AE1107" s="23"/>
    </row>
    <row r="1108" spans="1:31">
      <c r="A1108" s="23"/>
      <c r="B1108" s="40"/>
      <c r="C1108" s="40"/>
      <c r="D1108" s="23"/>
      <c r="E1108" s="23"/>
      <c r="F1108" s="23"/>
      <c r="G1108" s="23"/>
      <c r="H1108" s="40"/>
      <c r="I1108" s="40"/>
      <c r="J1108" s="70"/>
      <c r="K1108" s="23"/>
      <c r="L1108" s="70"/>
      <c r="M1108" s="70"/>
      <c r="N1108" s="23"/>
      <c r="O1108" s="23"/>
      <c r="P1108" s="23"/>
      <c r="Q1108" s="23"/>
      <c r="R1108" s="72"/>
      <c r="S1108" s="23"/>
      <c r="T1108" s="23"/>
      <c r="U1108" s="23"/>
      <c r="V1108" s="23"/>
      <c r="W1108" s="23"/>
      <c r="X1108" s="23"/>
      <c r="Y1108" s="23"/>
      <c r="Z1108" s="23"/>
      <c r="AA1108" s="23"/>
      <c r="AB1108" s="23"/>
      <c r="AC1108" s="23"/>
      <c r="AD1108" s="23"/>
      <c r="AE1108" s="23"/>
    </row>
    <row r="1109" spans="1:31">
      <c r="A1109" s="23"/>
      <c r="B1109" s="40"/>
      <c r="C1109" s="40"/>
      <c r="D1109" s="23"/>
      <c r="E1109" s="23"/>
      <c r="F1109" s="23"/>
      <c r="G1109" s="23"/>
      <c r="H1109" s="40"/>
      <c r="I1109" s="40"/>
      <c r="J1109" s="70"/>
      <c r="K1109" s="23"/>
      <c r="L1109" s="70"/>
      <c r="M1109" s="70"/>
      <c r="N1109" s="23"/>
      <c r="O1109" s="23"/>
      <c r="P1109" s="23"/>
      <c r="Q1109" s="23"/>
      <c r="R1109" s="72"/>
      <c r="S1109" s="23"/>
      <c r="T1109" s="23"/>
      <c r="U1109" s="23"/>
      <c r="V1109" s="23"/>
      <c r="W1109" s="23"/>
      <c r="X1109" s="23"/>
      <c r="Y1109" s="23"/>
      <c r="Z1109" s="23"/>
      <c r="AA1109" s="23"/>
      <c r="AB1109" s="23"/>
      <c r="AC1109" s="23"/>
      <c r="AD1109" s="23"/>
      <c r="AE1109" s="23"/>
    </row>
    <row r="1110" spans="1:31">
      <c r="A1110" s="23"/>
      <c r="B1110" s="40"/>
      <c r="C1110" s="40"/>
      <c r="D1110" s="23"/>
      <c r="E1110" s="23"/>
      <c r="F1110" s="23"/>
      <c r="G1110" s="23"/>
      <c r="H1110" s="40"/>
      <c r="I1110" s="40"/>
      <c r="J1110" s="70"/>
      <c r="K1110" s="23"/>
      <c r="L1110" s="70"/>
      <c r="M1110" s="70"/>
      <c r="N1110" s="23"/>
      <c r="O1110" s="23"/>
      <c r="P1110" s="23"/>
      <c r="Q1110" s="23"/>
      <c r="R1110" s="72"/>
      <c r="S1110" s="23"/>
      <c r="T1110" s="23"/>
      <c r="U1110" s="23"/>
      <c r="V1110" s="23"/>
      <c r="W1110" s="23"/>
      <c r="X1110" s="23"/>
      <c r="Y1110" s="23"/>
      <c r="Z1110" s="23"/>
      <c r="AA1110" s="23"/>
      <c r="AB1110" s="23"/>
      <c r="AC1110" s="23"/>
      <c r="AD1110" s="23"/>
      <c r="AE1110" s="23"/>
    </row>
    <row r="1111" spans="1:31">
      <c r="A1111" s="23"/>
      <c r="B1111" s="40"/>
      <c r="C1111" s="40"/>
      <c r="D1111" s="23"/>
      <c r="E1111" s="23"/>
      <c r="F1111" s="23"/>
      <c r="G1111" s="23"/>
      <c r="H1111" s="40"/>
      <c r="I1111" s="40"/>
      <c r="J1111" s="70"/>
      <c r="K1111" s="23"/>
      <c r="L1111" s="70"/>
      <c r="M1111" s="70"/>
      <c r="N1111" s="23"/>
      <c r="O1111" s="23"/>
      <c r="P1111" s="23"/>
      <c r="Q1111" s="23"/>
      <c r="R1111" s="72"/>
      <c r="S1111" s="23"/>
      <c r="T1111" s="23"/>
      <c r="U1111" s="23"/>
      <c r="V1111" s="23"/>
      <c r="W1111" s="23"/>
      <c r="X1111" s="23"/>
      <c r="Y1111" s="23"/>
      <c r="Z1111" s="23"/>
      <c r="AA1111" s="23"/>
      <c r="AB1111" s="23"/>
      <c r="AC1111" s="23"/>
      <c r="AD1111" s="23"/>
      <c r="AE1111" s="23"/>
    </row>
    <row r="1112" spans="1:31">
      <c r="A1112" s="23"/>
      <c r="B1112" s="40"/>
      <c r="C1112" s="40"/>
      <c r="D1112" s="23"/>
      <c r="E1112" s="23"/>
      <c r="F1112" s="23"/>
      <c r="G1112" s="23"/>
      <c r="H1112" s="23"/>
      <c r="I1112" s="40"/>
      <c r="J1112" s="70"/>
      <c r="K1112" s="23"/>
      <c r="L1112" s="70"/>
      <c r="M1112" s="70"/>
      <c r="N1112" s="23"/>
      <c r="O1112" s="23"/>
      <c r="P1112" s="23"/>
      <c r="Q1112" s="23"/>
      <c r="R1112" s="72"/>
      <c r="S1112" s="23"/>
      <c r="T1112" s="23"/>
      <c r="U1112" s="23"/>
      <c r="V1112" s="23"/>
      <c r="W1112" s="23"/>
      <c r="X1112" s="23"/>
      <c r="Y1112" s="23"/>
      <c r="Z1112" s="23"/>
      <c r="AA1112" s="23"/>
      <c r="AB1112" s="23"/>
      <c r="AC1112" s="23"/>
      <c r="AD1112" s="23"/>
      <c r="AE1112" s="23"/>
    </row>
    <row r="1113" spans="1:31">
      <c r="A1113" s="23"/>
      <c r="B1113" s="40"/>
      <c r="C1113" s="40"/>
      <c r="D1113" s="23"/>
      <c r="E1113" s="23"/>
      <c r="F1113" s="23"/>
      <c r="G1113" s="23"/>
      <c r="H1113" s="23"/>
      <c r="I1113" s="40"/>
      <c r="J1113" s="70"/>
      <c r="K1113" s="23"/>
      <c r="L1113" s="70"/>
      <c r="M1113" s="70"/>
      <c r="N1113" s="23"/>
      <c r="O1113" s="23"/>
      <c r="P1113" s="23"/>
      <c r="Q1113" s="23"/>
      <c r="R1113" s="72"/>
      <c r="S1113" s="23"/>
      <c r="T1113" s="23"/>
      <c r="U1113" s="23"/>
      <c r="V1113" s="23"/>
      <c r="W1113" s="23"/>
      <c r="X1113" s="23"/>
      <c r="Y1113" s="23"/>
      <c r="Z1113" s="23"/>
      <c r="AA1113" s="23"/>
      <c r="AB1113" s="23"/>
      <c r="AC1113" s="23"/>
      <c r="AD1113" s="23"/>
      <c r="AE1113" s="23"/>
    </row>
    <row r="1114" spans="1:31">
      <c r="A1114" s="23"/>
      <c r="B1114" s="40"/>
      <c r="C1114" s="40"/>
      <c r="D1114" s="23"/>
      <c r="E1114" s="23"/>
      <c r="F1114" s="23"/>
      <c r="G1114" s="23"/>
      <c r="H1114" s="23"/>
      <c r="I1114" s="40"/>
      <c r="J1114" s="70"/>
      <c r="K1114" s="23"/>
      <c r="L1114" s="70"/>
      <c r="M1114" s="70"/>
      <c r="N1114" s="23"/>
      <c r="O1114" s="23"/>
      <c r="P1114" s="23"/>
      <c r="Q1114" s="23"/>
      <c r="R1114" s="72"/>
      <c r="S1114" s="23"/>
      <c r="T1114" s="23"/>
      <c r="U1114" s="23"/>
      <c r="V1114" s="23"/>
      <c r="W1114" s="23"/>
      <c r="X1114" s="23"/>
      <c r="Y1114" s="23"/>
      <c r="Z1114" s="23"/>
      <c r="AA1114" s="23"/>
      <c r="AB1114" s="23"/>
      <c r="AC1114" s="23"/>
      <c r="AD1114" s="23"/>
      <c r="AE1114" s="23"/>
    </row>
    <row r="1115" spans="1:31">
      <c r="A1115" s="23"/>
      <c r="B1115" s="40"/>
      <c r="C1115" s="40"/>
      <c r="D1115" s="23"/>
      <c r="E1115" s="23"/>
      <c r="F1115" s="23"/>
      <c r="G1115" s="23"/>
      <c r="H1115" s="23"/>
      <c r="I1115" s="40"/>
      <c r="J1115" s="70"/>
      <c r="K1115" s="23"/>
      <c r="L1115" s="70"/>
      <c r="M1115" s="70"/>
      <c r="N1115" s="23"/>
      <c r="O1115" s="23"/>
      <c r="P1115" s="23"/>
      <c r="Q1115" s="23"/>
      <c r="R1115" s="72"/>
      <c r="S1115" s="23"/>
      <c r="T1115" s="23"/>
      <c r="U1115" s="23"/>
      <c r="V1115" s="23"/>
      <c r="W1115" s="23"/>
      <c r="X1115" s="23"/>
      <c r="Y1115" s="23"/>
      <c r="Z1115" s="23"/>
      <c r="AA1115" s="23"/>
      <c r="AB1115" s="23"/>
      <c r="AC1115" s="23"/>
      <c r="AD1115" s="23"/>
      <c r="AE1115" s="23"/>
    </row>
    <row r="1116" spans="1:31">
      <c r="A1116" s="23"/>
      <c r="B1116" s="40"/>
      <c r="C1116" s="40"/>
      <c r="D1116" s="23"/>
      <c r="E1116" s="23"/>
      <c r="F1116" s="23"/>
      <c r="G1116" s="23"/>
      <c r="H1116" s="23"/>
      <c r="I1116" s="40"/>
      <c r="J1116" s="70"/>
      <c r="K1116" s="23"/>
      <c r="L1116" s="70"/>
      <c r="M1116" s="70"/>
      <c r="N1116" s="23"/>
      <c r="O1116" s="23"/>
      <c r="P1116" s="23"/>
      <c r="Q1116" s="23"/>
      <c r="R1116" s="72"/>
      <c r="S1116" s="23"/>
      <c r="T1116" s="23"/>
      <c r="U1116" s="23"/>
      <c r="V1116" s="23"/>
      <c r="W1116" s="23"/>
      <c r="X1116" s="23"/>
      <c r="Y1116" s="23"/>
      <c r="Z1116" s="23"/>
      <c r="AA1116" s="23"/>
      <c r="AB1116" s="23"/>
      <c r="AC1116" s="23"/>
      <c r="AD1116" s="23"/>
      <c r="AE1116" s="23"/>
    </row>
    <row r="1117" spans="1:31">
      <c r="A1117" s="23"/>
      <c r="B1117" s="40"/>
      <c r="C1117" s="40"/>
      <c r="D1117" s="23"/>
      <c r="E1117" s="23"/>
      <c r="F1117" s="23"/>
      <c r="G1117" s="23"/>
      <c r="H1117" s="23"/>
      <c r="I1117" s="40"/>
      <c r="J1117" s="70"/>
      <c r="K1117" s="23"/>
      <c r="L1117" s="70"/>
      <c r="M1117" s="70"/>
      <c r="N1117" s="23"/>
      <c r="O1117" s="23"/>
      <c r="P1117" s="23"/>
      <c r="Q1117" s="23"/>
      <c r="R1117" s="72"/>
      <c r="S1117" s="23"/>
      <c r="T1117" s="23"/>
      <c r="U1117" s="23"/>
      <c r="V1117" s="23"/>
      <c r="W1117" s="23"/>
      <c r="X1117" s="23"/>
      <c r="Y1117" s="23"/>
      <c r="Z1117" s="23"/>
      <c r="AA1117" s="23"/>
      <c r="AB1117" s="23"/>
      <c r="AC1117" s="23"/>
      <c r="AD1117" s="23"/>
      <c r="AE1117" s="23"/>
    </row>
    <row r="1118" spans="1:31">
      <c r="A1118" s="23"/>
      <c r="B1118" s="40"/>
      <c r="C1118" s="40"/>
      <c r="D1118" s="23"/>
      <c r="E1118" s="23"/>
      <c r="F1118" s="23"/>
      <c r="G1118" s="23"/>
      <c r="H1118" s="23"/>
      <c r="I1118" s="40"/>
      <c r="J1118" s="70"/>
      <c r="K1118" s="23"/>
      <c r="L1118" s="70"/>
      <c r="M1118" s="70"/>
      <c r="N1118" s="23"/>
      <c r="O1118" s="23"/>
      <c r="P1118" s="23"/>
      <c r="Q1118" s="23"/>
      <c r="R1118" s="72"/>
      <c r="S1118" s="23"/>
      <c r="T1118" s="23"/>
      <c r="U1118" s="23"/>
      <c r="V1118" s="23"/>
      <c r="W1118" s="23"/>
      <c r="X1118" s="23"/>
      <c r="Y1118" s="23"/>
      <c r="Z1118" s="23"/>
      <c r="AA1118" s="23"/>
      <c r="AB1118" s="23"/>
      <c r="AC1118" s="23"/>
      <c r="AD1118" s="23"/>
      <c r="AE1118" s="23"/>
    </row>
    <row r="1119" spans="1:31">
      <c r="A1119" s="23"/>
      <c r="B1119" s="40"/>
      <c r="C1119" s="40"/>
      <c r="D1119" s="23"/>
      <c r="E1119" s="23"/>
      <c r="F1119" s="23"/>
      <c r="G1119" s="23"/>
      <c r="H1119" s="23"/>
      <c r="I1119" s="40"/>
      <c r="J1119" s="70"/>
      <c r="K1119" s="23"/>
      <c r="L1119" s="70"/>
      <c r="M1119" s="70"/>
      <c r="N1119" s="23"/>
      <c r="O1119" s="23"/>
      <c r="P1119" s="23"/>
      <c r="Q1119" s="23"/>
      <c r="R1119" s="72"/>
      <c r="S1119" s="23"/>
      <c r="T1119" s="23"/>
      <c r="U1119" s="23"/>
      <c r="V1119" s="23"/>
      <c r="W1119" s="23"/>
      <c r="X1119" s="23"/>
      <c r="Y1119" s="23"/>
      <c r="Z1119" s="23"/>
      <c r="AA1119" s="23"/>
      <c r="AB1119" s="23"/>
      <c r="AC1119" s="23"/>
      <c r="AD1119" s="23"/>
      <c r="AE1119" s="23"/>
    </row>
    <row r="1120" spans="1:31">
      <c r="A1120" s="23"/>
      <c r="B1120" s="40"/>
      <c r="C1120" s="40"/>
      <c r="D1120" s="23"/>
      <c r="E1120" s="23"/>
      <c r="F1120" s="23"/>
      <c r="G1120" s="23"/>
      <c r="H1120" s="23"/>
      <c r="I1120" s="40"/>
      <c r="J1120" s="70"/>
      <c r="K1120" s="23"/>
      <c r="L1120" s="70"/>
      <c r="M1120" s="70"/>
      <c r="N1120" s="23"/>
      <c r="O1120" s="23"/>
      <c r="P1120" s="23"/>
      <c r="Q1120" s="23"/>
      <c r="R1120" s="72"/>
      <c r="S1120" s="23"/>
      <c r="T1120" s="23"/>
      <c r="U1120" s="23"/>
      <c r="V1120" s="23"/>
      <c r="W1120" s="23"/>
      <c r="X1120" s="23"/>
      <c r="Y1120" s="23"/>
      <c r="Z1120" s="23"/>
      <c r="AA1120" s="23"/>
      <c r="AB1120" s="23"/>
      <c r="AC1120" s="23"/>
      <c r="AD1120" s="23"/>
      <c r="AE1120" s="23"/>
    </row>
    <row r="1121" spans="1:31" ht="24" customHeight="1">
      <c r="A1121" s="23"/>
      <c r="B1121" s="40"/>
      <c r="C1121" s="40"/>
      <c r="D1121" s="23"/>
      <c r="E1121" s="23"/>
      <c r="F1121" s="23"/>
      <c r="G1121" s="23"/>
      <c r="H1121" s="40"/>
      <c r="I1121" s="40"/>
      <c r="J1121" s="70"/>
      <c r="K1121" s="23"/>
      <c r="L1121" s="70"/>
      <c r="M1121" s="70"/>
      <c r="N1121" s="23"/>
      <c r="O1121" s="23"/>
      <c r="P1121" s="23"/>
      <c r="Q1121" s="23"/>
      <c r="R1121" s="72"/>
      <c r="S1121" s="23"/>
      <c r="T1121" s="23"/>
      <c r="U1121" s="23"/>
      <c r="V1121" s="23"/>
      <c r="W1121" s="23"/>
      <c r="X1121" s="23"/>
      <c r="Y1121" s="23"/>
      <c r="Z1121" s="23"/>
      <c r="AA1121" s="23"/>
      <c r="AB1121" s="23"/>
      <c r="AC1121" s="23"/>
      <c r="AD1121" s="23"/>
      <c r="AE1121" s="23"/>
    </row>
    <row r="1122" spans="1:31">
      <c r="A1122" s="23"/>
      <c r="B1122" s="40"/>
      <c r="C1122" s="40"/>
      <c r="D1122" s="23"/>
      <c r="E1122" s="23"/>
      <c r="F1122" s="23"/>
      <c r="G1122" s="23"/>
      <c r="H1122" s="40"/>
      <c r="I1122" s="40"/>
      <c r="J1122" s="70"/>
      <c r="K1122" s="23"/>
      <c r="L1122" s="70"/>
      <c r="M1122" s="70"/>
      <c r="N1122" s="23"/>
      <c r="O1122" s="23"/>
      <c r="P1122" s="23"/>
      <c r="Q1122" s="23"/>
      <c r="R1122" s="72"/>
      <c r="S1122" s="23"/>
      <c r="T1122" s="23"/>
      <c r="U1122" s="23"/>
      <c r="V1122" s="23"/>
      <c r="W1122" s="23"/>
      <c r="X1122" s="23"/>
      <c r="Y1122" s="23"/>
      <c r="Z1122" s="23"/>
      <c r="AA1122" s="23"/>
      <c r="AB1122" s="23"/>
      <c r="AC1122" s="23"/>
      <c r="AD1122" s="23"/>
      <c r="AE1122" s="23"/>
    </row>
    <row r="1123" spans="1:31">
      <c r="A1123" s="23"/>
      <c r="B1123" s="40"/>
      <c r="C1123" s="40"/>
      <c r="D1123" s="23"/>
      <c r="E1123" s="23"/>
      <c r="F1123" s="23"/>
      <c r="G1123" s="23"/>
      <c r="H1123" s="40"/>
      <c r="I1123" s="40"/>
      <c r="J1123" s="70"/>
      <c r="K1123" s="23"/>
      <c r="L1123" s="70"/>
      <c r="M1123" s="70"/>
      <c r="N1123" s="23"/>
      <c r="O1123" s="23"/>
      <c r="P1123" s="23"/>
      <c r="Q1123" s="23"/>
      <c r="R1123" s="72"/>
      <c r="S1123" s="23"/>
      <c r="T1123" s="23"/>
      <c r="U1123" s="23"/>
      <c r="V1123" s="23"/>
      <c r="W1123" s="23"/>
      <c r="X1123" s="23"/>
      <c r="Y1123" s="23"/>
      <c r="Z1123" s="23"/>
      <c r="AA1123" s="23"/>
      <c r="AB1123" s="23"/>
      <c r="AC1123" s="23"/>
      <c r="AD1123" s="23"/>
      <c r="AE1123" s="23"/>
    </row>
    <row r="1124" spans="1:31">
      <c r="A1124" s="23"/>
      <c r="B1124" s="40"/>
      <c r="C1124" s="40"/>
      <c r="D1124" s="23"/>
      <c r="E1124" s="23"/>
      <c r="F1124" s="23"/>
      <c r="G1124" s="23"/>
      <c r="H1124" s="40"/>
      <c r="I1124" s="40"/>
      <c r="J1124" s="70"/>
      <c r="K1124" s="23"/>
      <c r="L1124" s="70"/>
      <c r="M1124" s="70"/>
      <c r="N1124" s="23"/>
      <c r="O1124" s="23"/>
      <c r="P1124" s="23"/>
      <c r="Q1124" s="23"/>
      <c r="R1124" s="72"/>
      <c r="S1124" s="23"/>
      <c r="T1124" s="23"/>
      <c r="U1124" s="23"/>
      <c r="V1124" s="23"/>
      <c r="W1124" s="23"/>
      <c r="X1124" s="23"/>
      <c r="Y1124" s="23"/>
      <c r="Z1124" s="23"/>
      <c r="AA1124" s="23"/>
      <c r="AB1124" s="23"/>
      <c r="AC1124" s="23"/>
      <c r="AD1124" s="23"/>
      <c r="AE1124" s="23"/>
    </row>
    <row r="1125" spans="1:31">
      <c r="A1125" s="23"/>
      <c r="B1125" s="40"/>
      <c r="C1125" s="40"/>
      <c r="D1125" s="23"/>
      <c r="E1125" s="23"/>
      <c r="F1125" s="23"/>
      <c r="G1125" s="23"/>
      <c r="H1125" s="40"/>
      <c r="I1125" s="40"/>
      <c r="J1125" s="70"/>
      <c r="K1125" s="23"/>
      <c r="L1125" s="70"/>
      <c r="M1125" s="70"/>
      <c r="N1125" s="23"/>
      <c r="O1125" s="23"/>
      <c r="P1125" s="23"/>
      <c r="Q1125" s="23"/>
      <c r="R1125" s="72"/>
      <c r="S1125" s="23"/>
      <c r="T1125" s="23"/>
      <c r="U1125" s="23"/>
      <c r="V1125" s="23"/>
      <c r="W1125" s="23"/>
      <c r="X1125" s="23"/>
      <c r="Y1125" s="23"/>
      <c r="Z1125" s="23"/>
      <c r="AA1125" s="23"/>
      <c r="AB1125" s="23"/>
      <c r="AC1125" s="23"/>
      <c r="AD1125" s="23"/>
      <c r="AE1125" s="23"/>
    </row>
    <row r="1126" spans="1:31">
      <c r="A1126" s="23"/>
      <c r="B1126" s="40"/>
      <c r="C1126" s="40"/>
      <c r="D1126" s="23"/>
      <c r="E1126" s="23"/>
      <c r="F1126" s="23"/>
      <c r="G1126" s="23"/>
      <c r="H1126" s="40"/>
      <c r="I1126" s="40"/>
      <c r="J1126" s="70"/>
      <c r="K1126" s="23"/>
      <c r="L1126" s="70"/>
      <c r="M1126" s="70"/>
      <c r="N1126" s="23"/>
      <c r="O1126" s="23"/>
      <c r="P1126" s="23"/>
      <c r="Q1126" s="23"/>
      <c r="R1126" s="72"/>
      <c r="S1126" s="23"/>
      <c r="T1126" s="23"/>
      <c r="U1126" s="23"/>
      <c r="V1126" s="23"/>
      <c r="W1126" s="23"/>
      <c r="X1126" s="23"/>
      <c r="Y1126" s="23"/>
      <c r="Z1126" s="23"/>
      <c r="AA1126" s="23"/>
      <c r="AB1126" s="23"/>
      <c r="AC1126" s="23"/>
      <c r="AD1126" s="23"/>
      <c r="AE1126" s="23"/>
    </row>
    <row r="1127" spans="1:31">
      <c r="A1127" s="23"/>
      <c r="B1127" s="40"/>
      <c r="C1127" s="40"/>
      <c r="D1127" s="23"/>
      <c r="E1127" s="23"/>
      <c r="F1127" s="23"/>
      <c r="G1127" s="23"/>
      <c r="H1127" s="23"/>
      <c r="I1127" s="40"/>
      <c r="J1127" s="70"/>
      <c r="K1127" s="23"/>
      <c r="L1127" s="70"/>
      <c r="M1127" s="70"/>
      <c r="N1127" s="23"/>
      <c r="O1127" s="23"/>
      <c r="P1127" s="23"/>
      <c r="Q1127" s="23"/>
      <c r="R1127" s="72"/>
      <c r="S1127" s="23"/>
      <c r="T1127" s="23"/>
      <c r="U1127" s="23"/>
      <c r="V1127" s="23"/>
      <c r="W1127" s="23"/>
      <c r="X1127" s="23"/>
      <c r="Y1127" s="23"/>
      <c r="Z1127" s="23"/>
      <c r="AA1127" s="23"/>
      <c r="AB1127" s="23"/>
      <c r="AC1127" s="23"/>
      <c r="AD1127" s="23"/>
      <c r="AE1127" s="23"/>
    </row>
    <row r="1128" spans="1:31">
      <c r="A1128" s="23"/>
      <c r="B1128" s="40"/>
      <c r="C1128" s="40"/>
      <c r="D1128" s="23"/>
      <c r="E1128" s="23"/>
      <c r="F1128" s="23"/>
      <c r="G1128" s="23"/>
      <c r="H1128" s="23"/>
      <c r="I1128" s="40"/>
      <c r="J1128" s="70"/>
      <c r="K1128" s="23"/>
      <c r="L1128" s="70"/>
      <c r="M1128" s="70"/>
      <c r="N1128" s="23"/>
      <c r="O1128" s="23"/>
      <c r="P1128" s="23"/>
      <c r="Q1128" s="23"/>
      <c r="R1128" s="72"/>
      <c r="S1128" s="23"/>
      <c r="T1128" s="23"/>
      <c r="U1128" s="23"/>
      <c r="V1128" s="23"/>
      <c r="W1128" s="23"/>
      <c r="X1128" s="23"/>
      <c r="Y1128" s="23"/>
      <c r="Z1128" s="23"/>
      <c r="AA1128" s="23"/>
      <c r="AB1128" s="23"/>
      <c r="AC1128" s="23"/>
      <c r="AD1128" s="23"/>
      <c r="AE1128" s="23"/>
    </row>
    <row r="1129" spans="1:31" ht="24" customHeight="1">
      <c r="A1129" s="23"/>
      <c r="B1129" s="40"/>
      <c r="C1129" s="40"/>
      <c r="D1129" s="23"/>
      <c r="E1129" s="23"/>
      <c r="F1129" s="23"/>
      <c r="G1129" s="23"/>
      <c r="H1129" s="40"/>
      <c r="I1129" s="40"/>
      <c r="J1129" s="70"/>
      <c r="K1129" s="23"/>
      <c r="L1129" s="70"/>
      <c r="M1129" s="70"/>
      <c r="N1129" s="23"/>
      <c r="O1129" s="23"/>
      <c r="P1129" s="23"/>
      <c r="Q1129" s="23"/>
      <c r="R1129" s="72"/>
      <c r="S1129" s="23"/>
      <c r="T1129" s="23"/>
      <c r="U1129" s="23"/>
      <c r="V1129" s="23"/>
      <c r="W1129" s="23"/>
      <c r="X1129" s="23"/>
      <c r="Y1129" s="23"/>
      <c r="Z1129" s="23"/>
      <c r="AA1129" s="23"/>
      <c r="AB1129" s="23"/>
      <c r="AC1129" s="23"/>
      <c r="AD1129" s="23"/>
      <c r="AE1129" s="23"/>
    </row>
    <row r="1130" spans="1:31">
      <c r="A1130" s="23"/>
      <c r="B1130" s="40"/>
      <c r="C1130" s="40"/>
      <c r="D1130" s="23"/>
      <c r="E1130" s="23"/>
      <c r="F1130" s="23"/>
      <c r="G1130" s="23"/>
      <c r="H1130" s="40"/>
      <c r="I1130" s="40"/>
      <c r="J1130" s="70"/>
      <c r="K1130" s="23"/>
      <c r="L1130" s="70"/>
      <c r="M1130" s="70"/>
      <c r="N1130" s="23"/>
      <c r="O1130" s="23"/>
      <c r="P1130" s="23"/>
      <c r="Q1130" s="23"/>
      <c r="R1130" s="72"/>
      <c r="S1130" s="23"/>
      <c r="T1130" s="23"/>
      <c r="U1130" s="23"/>
      <c r="V1130" s="23"/>
      <c r="W1130" s="23"/>
      <c r="X1130" s="23"/>
      <c r="Y1130" s="23"/>
      <c r="Z1130" s="23"/>
      <c r="AA1130" s="23"/>
      <c r="AB1130" s="23"/>
      <c r="AC1130" s="23"/>
      <c r="AD1130" s="23"/>
      <c r="AE1130" s="23"/>
    </row>
    <row r="1131" spans="1:31">
      <c r="A1131" s="23"/>
      <c r="B1131" s="40"/>
      <c r="C1131" s="40"/>
      <c r="D1131" s="23"/>
      <c r="E1131" s="23"/>
      <c r="F1131" s="23"/>
      <c r="G1131" s="23"/>
      <c r="H1131" s="40"/>
      <c r="I1131" s="40"/>
      <c r="J1131" s="70"/>
      <c r="K1131" s="23"/>
      <c r="L1131" s="70"/>
      <c r="M1131" s="70"/>
      <c r="N1131" s="23"/>
      <c r="O1131" s="23"/>
      <c r="P1131" s="23"/>
      <c r="Q1131" s="23"/>
      <c r="R1131" s="72"/>
      <c r="S1131" s="23"/>
      <c r="T1131" s="23"/>
      <c r="U1131" s="23"/>
      <c r="V1131" s="23"/>
      <c r="W1131" s="23"/>
      <c r="X1131" s="23"/>
      <c r="Y1131" s="23"/>
      <c r="Z1131" s="23"/>
      <c r="AA1131" s="23"/>
      <c r="AB1131" s="23"/>
      <c r="AC1131" s="23"/>
      <c r="AD1131" s="23"/>
      <c r="AE1131" s="23"/>
    </row>
    <row r="1132" spans="1:31">
      <c r="A1132" s="23"/>
      <c r="B1132" s="40"/>
      <c r="C1132" s="40"/>
      <c r="D1132" s="23"/>
      <c r="E1132" s="23"/>
      <c r="F1132" s="23"/>
      <c r="G1132" s="23"/>
      <c r="H1132" s="40"/>
      <c r="I1132" s="40"/>
      <c r="J1132" s="70"/>
      <c r="K1132" s="23"/>
      <c r="L1132" s="70"/>
      <c r="M1132" s="70"/>
      <c r="N1132" s="23"/>
      <c r="O1132" s="23"/>
      <c r="P1132" s="23"/>
      <c r="Q1132" s="23"/>
      <c r="R1132" s="72"/>
      <c r="S1132" s="23"/>
      <c r="T1132" s="23"/>
      <c r="U1132" s="23"/>
      <c r="V1132" s="23"/>
      <c r="W1132" s="23"/>
      <c r="X1132" s="23"/>
      <c r="Y1132" s="23"/>
      <c r="Z1132" s="23"/>
      <c r="AA1132" s="23"/>
      <c r="AB1132" s="23"/>
      <c r="AC1132" s="23"/>
      <c r="AD1132" s="23"/>
      <c r="AE1132" s="23"/>
    </row>
    <row r="1133" spans="1:31">
      <c r="A1133" s="23"/>
      <c r="B1133" s="40"/>
      <c r="C1133" s="40"/>
      <c r="D1133" s="23"/>
      <c r="E1133" s="23"/>
      <c r="F1133" s="23"/>
      <c r="G1133" s="23"/>
      <c r="H1133" s="40"/>
      <c r="I1133" s="40"/>
      <c r="J1133" s="70"/>
      <c r="K1133" s="23"/>
      <c r="L1133" s="70"/>
      <c r="M1133" s="70"/>
      <c r="N1133" s="23"/>
      <c r="O1133" s="23"/>
      <c r="P1133" s="23"/>
      <c r="Q1133" s="23"/>
      <c r="R1133" s="72"/>
      <c r="S1133" s="23"/>
      <c r="T1133" s="23"/>
      <c r="U1133" s="23"/>
      <c r="V1133" s="23"/>
      <c r="W1133" s="23"/>
      <c r="X1133" s="23"/>
      <c r="Y1133" s="23"/>
      <c r="Z1133" s="23"/>
      <c r="AA1133" s="23"/>
      <c r="AB1133" s="23"/>
      <c r="AC1133" s="23"/>
      <c r="AD1133" s="23"/>
      <c r="AE1133" s="23"/>
    </row>
    <row r="1134" spans="1:31">
      <c r="A1134" s="23"/>
      <c r="B1134" s="40"/>
      <c r="C1134" s="40"/>
      <c r="D1134" s="23"/>
      <c r="E1134" s="23"/>
      <c r="F1134" s="23"/>
      <c r="G1134" s="23"/>
      <c r="H1134" s="23"/>
      <c r="I1134" s="40"/>
      <c r="J1134" s="70"/>
      <c r="K1134" s="23"/>
      <c r="L1134" s="70"/>
      <c r="M1134" s="70"/>
      <c r="N1134" s="23"/>
      <c r="O1134" s="23"/>
      <c r="P1134" s="23"/>
      <c r="Q1134" s="23"/>
      <c r="R1134" s="72"/>
      <c r="S1134" s="23"/>
      <c r="T1134" s="23"/>
      <c r="U1134" s="23"/>
      <c r="V1134" s="23"/>
      <c r="W1134" s="23"/>
      <c r="X1134" s="23"/>
      <c r="Y1134" s="23"/>
      <c r="Z1134" s="23"/>
      <c r="AA1134" s="23"/>
      <c r="AB1134" s="23"/>
      <c r="AC1134" s="23"/>
      <c r="AD1134" s="23"/>
      <c r="AE1134" s="23"/>
    </row>
    <row r="1135" spans="1:31">
      <c r="A1135" s="23"/>
      <c r="B1135" s="40"/>
      <c r="C1135" s="40"/>
      <c r="D1135" s="23"/>
      <c r="E1135" s="23"/>
      <c r="F1135" s="23"/>
      <c r="G1135" s="23"/>
      <c r="H1135" s="23"/>
      <c r="I1135" s="40"/>
      <c r="J1135" s="70"/>
      <c r="K1135" s="23"/>
      <c r="L1135" s="70"/>
      <c r="M1135" s="70"/>
      <c r="N1135" s="23"/>
      <c r="O1135" s="23"/>
      <c r="P1135" s="23"/>
      <c r="Q1135" s="23"/>
      <c r="R1135" s="72"/>
      <c r="S1135" s="23"/>
      <c r="T1135" s="23"/>
      <c r="U1135" s="23"/>
      <c r="V1135" s="23"/>
      <c r="W1135" s="23"/>
      <c r="X1135" s="23"/>
      <c r="Y1135" s="23"/>
      <c r="Z1135" s="23"/>
      <c r="AA1135" s="23"/>
      <c r="AB1135" s="23"/>
      <c r="AC1135" s="23"/>
      <c r="AD1135" s="23"/>
      <c r="AE1135" s="23"/>
    </row>
    <row r="1136" spans="1:31">
      <c r="A1136" s="23"/>
      <c r="B1136" s="40"/>
      <c r="C1136" s="40"/>
      <c r="D1136" s="23"/>
      <c r="E1136" s="23"/>
      <c r="F1136" s="23"/>
      <c r="G1136" s="23"/>
      <c r="H1136" s="23"/>
      <c r="I1136" s="40"/>
      <c r="J1136" s="70"/>
      <c r="K1136" s="23"/>
      <c r="L1136" s="70"/>
      <c r="M1136" s="70"/>
      <c r="N1136" s="23"/>
      <c r="O1136" s="23"/>
      <c r="P1136" s="23"/>
      <c r="Q1136" s="23"/>
      <c r="R1136" s="72"/>
      <c r="S1136" s="23"/>
      <c r="T1136" s="23"/>
      <c r="U1136" s="23"/>
      <c r="V1136" s="23"/>
      <c r="W1136" s="23"/>
      <c r="X1136" s="23"/>
      <c r="Y1136" s="23"/>
      <c r="Z1136" s="23"/>
      <c r="AA1136" s="23"/>
      <c r="AB1136" s="23"/>
      <c r="AC1136" s="23"/>
      <c r="AD1136" s="23"/>
      <c r="AE1136" s="23"/>
    </row>
    <row r="1137" spans="1:31">
      <c r="A1137" s="23"/>
      <c r="B1137" s="40"/>
      <c r="C1137" s="40"/>
      <c r="D1137" s="23"/>
      <c r="E1137" s="23"/>
      <c r="F1137" s="23"/>
      <c r="G1137" s="23"/>
      <c r="H1137" s="23"/>
      <c r="I1137" s="40"/>
      <c r="J1137" s="70"/>
      <c r="K1137" s="23"/>
      <c r="L1137" s="70"/>
      <c r="M1137" s="70"/>
      <c r="N1137" s="23"/>
      <c r="O1137" s="23"/>
      <c r="P1137" s="23"/>
      <c r="Q1137" s="23"/>
      <c r="R1137" s="72"/>
      <c r="S1137" s="23"/>
      <c r="T1137" s="23"/>
      <c r="U1137" s="23"/>
      <c r="V1137" s="23"/>
      <c r="W1137" s="23"/>
      <c r="X1137" s="23"/>
      <c r="Y1137" s="23"/>
      <c r="Z1137" s="23"/>
      <c r="AA1137" s="23"/>
      <c r="AB1137" s="23"/>
      <c r="AC1137" s="23"/>
      <c r="AD1137" s="23"/>
      <c r="AE1137" s="23"/>
    </row>
    <row r="1138" spans="1:31" ht="24" customHeight="1">
      <c r="A1138" s="23"/>
      <c r="B1138" s="40"/>
      <c r="C1138" s="40"/>
      <c r="D1138" s="23"/>
      <c r="E1138" s="23"/>
      <c r="F1138" s="23"/>
      <c r="G1138" s="23"/>
      <c r="H1138" s="40"/>
      <c r="I1138" s="40"/>
      <c r="J1138" s="70"/>
      <c r="K1138" s="23"/>
      <c r="L1138" s="70"/>
      <c r="M1138" s="70"/>
      <c r="N1138" s="23"/>
      <c r="O1138" s="23"/>
      <c r="P1138" s="23"/>
      <c r="Q1138" s="23"/>
      <c r="R1138" s="72"/>
      <c r="S1138" s="23"/>
      <c r="T1138" s="23"/>
      <c r="U1138" s="23"/>
      <c r="V1138" s="23"/>
      <c r="W1138" s="23"/>
      <c r="X1138" s="23"/>
      <c r="Y1138" s="23"/>
      <c r="Z1138" s="23"/>
      <c r="AA1138" s="23"/>
      <c r="AB1138" s="23"/>
      <c r="AC1138" s="23"/>
      <c r="AD1138" s="23"/>
      <c r="AE1138" s="23"/>
    </row>
    <row r="1139" spans="1:31">
      <c r="A1139" s="23"/>
      <c r="B1139" s="40"/>
      <c r="C1139" s="40"/>
      <c r="D1139" s="23"/>
      <c r="E1139" s="23"/>
      <c r="F1139" s="23"/>
      <c r="G1139" s="23"/>
      <c r="H1139" s="40"/>
      <c r="I1139" s="40"/>
      <c r="J1139" s="70"/>
      <c r="K1139" s="23"/>
      <c r="L1139" s="70"/>
      <c r="M1139" s="70"/>
      <c r="N1139" s="23"/>
      <c r="O1139" s="23"/>
      <c r="P1139" s="23"/>
      <c r="Q1139" s="23"/>
      <c r="R1139" s="72"/>
      <c r="S1139" s="23"/>
      <c r="T1139" s="23"/>
      <c r="U1139" s="23"/>
      <c r="V1139" s="23"/>
      <c r="W1139" s="23"/>
      <c r="X1139" s="23"/>
      <c r="Y1139" s="23"/>
      <c r="Z1139" s="23"/>
      <c r="AA1139" s="23"/>
      <c r="AB1139" s="23"/>
      <c r="AC1139" s="23"/>
      <c r="AD1139" s="23"/>
      <c r="AE1139" s="23"/>
    </row>
    <row r="1140" spans="1:31">
      <c r="A1140" s="23"/>
      <c r="B1140" s="40"/>
      <c r="C1140" s="40"/>
      <c r="D1140" s="23"/>
      <c r="E1140" s="23"/>
      <c r="F1140" s="23"/>
      <c r="G1140" s="23"/>
      <c r="H1140" s="40"/>
      <c r="I1140" s="40"/>
      <c r="J1140" s="70"/>
      <c r="K1140" s="23"/>
      <c r="L1140" s="70"/>
      <c r="M1140" s="70"/>
      <c r="N1140" s="23"/>
      <c r="O1140" s="23"/>
      <c r="P1140" s="23"/>
      <c r="Q1140" s="23"/>
      <c r="R1140" s="72"/>
      <c r="S1140" s="23"/>
      <c r="T1140" s="23"/>
      <c r="U1140" s="23"/>
      <c r="V1140" s="23"/>
      <c r="W1140" s="23"/>
      <c r="X1140" s="23"/>
      <c r="Y1140" s="23"/>
      <c r="Z1140" s="23"/>
      <c r="AA1140" s="23"/>
      <c r="AB1140" s="23"/>
      <c r="AC1140" s="23"/>
      <c r="AD1140" s="23"/>
      <c r="AE1140" s="23"/>
    </row>
    <row r="1141" spans="1:31">
      <c r="A1141" s="23"/>
      <c r="B1141" s="40"/>
      <c r="C1141" s="40"/>
      <c r="D1141" s="23"/>
      <c r="E1141" s="23"/>
      <c r="F1141" s="23"/>
      <c r="G1141" s="23"/>
      <c r="H1141" s="40"/>
      <c r="I1141" s="40"/>
      <c r="J1141" s="70"/>
      <c r="K1141" s="23"/>
      <c r="L1141" s="70"/>
      <c r="M1141" s="70"/>
      <c r="N1141" s="23"/>
      <c r="O1141" s="23"/>
      <c r="P1141" s="23"/>
      <c r="Q1141" s="23"/>
      <c r="R1141" s="72"/>
      <c r="S1141" s="23"/>
      <c r="T1141" s="23"/>
      <c r="U1141" s="23"/>
      <c r="V1141" s="23"/>
      <c r="W1141" s="23"/>
      <c r="X1141" s="23"/>
      <c r="Y1141" s="23"/>
      <c r="Z1141" s="23"/>
      <c r="AA1141" s="23"/>
      <c r="AB1141" s="23"/>
      <c r="AC1141" s="23"/>
      <c r="AD1141" s="23"/>
      <c r="AE1141" s="23"/>
    </row>
    <row r="1142" spans="1:31">
      <c r="A1142" s="23"/>
      <c r="B1142" s="40"/>
      <c r="C1142" s="40"/>
      <c r="D1142" s="23"/>
      <c r="E1142" s="23"/>
      <c r="F1142" s="23"/>
      <c r="G1142" s="23"/>
      <c r="H1142" s="40"/>
      <c r="I1142" s="40"/>
      <c r="J1142" s="70"/>
      <c r="K1142" s="23"/>
      <c r="L1142" s="70"/>
      <c r="M1142" s="70"/>
      <c r="N1142" s="23"/>
      <c r="O1142" s="23"/>
      <c r="P1142" s="23"/>
      <c r="Q1142" s="23"/>
      <c r="R1142" s="72"/>
      <c r="S1142" s="23"/>
      <c r="T1142" s="23"/>
      <c r="U1142" s="23"/>
      <c r="V1142" s="23"/>
      <c r="W1142" s="23"/>
      <c r="X1142" s="23"/>
      <c r="Y1142" s="23"/>
      <c r="Z1142" s="23"/>
      <c r="AA1142" s="23"/>
      <c r="AB1142" s="23"/>
      <c r="AC1142" s="23"/>
      <c r="AD1142" s="23"/>
      <c r="AE1142" s="23"/>
    </row>
    <row r="1143" spans="1:31">
      <c r="A1143" s="23"/>
      <c r="B1143" s="40"/>
      <c r="C1143" s="40"/>
      <c r="D1143" s="23"/>
      <c r="E1143" s="23"/>
      <c r="F1143" s="23"/>
      <c r="G1143" s="23"/>
      <c r="H1143" s="40"/>
      <c r="I1143" s="40"/>
      <c r="J1143" s="70"/>
      <c r="K1143" s="23"/>
      <c r="L1143" s="70"/>
      <c r="M1143" s="70"/>
      <c r="N1143" s="23"/>
      <c r="O1143" s="23"/>
      <c r="P1143" s="23"/>
      <c r="Q1143" s="23"/>
      <c r="R1143" s="72"/>
      <c r="S1143" s="23"/>
      <c r="T1143" s="23"/>
      <c r="U1143" s="23"/>
      <c r="V1143" s="23"/>
      <c r="W1143" s="23"/>
      <c r="X1143" s="23"/>
      <c r="Y1143" s="23"/>
      <c r="Z1143" s="23"/>
      <c r="AA1143" s="23"/>
      <c r="AB1143" s="23"/>
      <c r="AC1143" s="23"/>
      <c r="AD1143" s="23"/>
      <c r="AE1143" s="23"/>
    </row>
    <row r="1144" spans="1:31">
      <c r="A1144" s="23"/>
      <c r="B1144" s="40"/>
      <c r="C1144" s="40"/>
      <c r="D1144" s="23"/>
      <c r="E1144" s="23"/>
      <c r="F1144" s="23"/>
      <c r="G1144" s="23"/>
      <c r="H1144" s="23"/>
      <c r="I1144" s="40"/>
      <c r="J1144" s="70"/>
      <c r="K1144" s="23"/>
      <c r="L1144" s="70"/>
      <c r="M1144" s="70"/>
      <c r="N1144" s="23"/>
      <c r="O1144" s="23"/>
      <c r="P1144" s="23"/>
      <c r="Q1144" s="23"/>
      <c r="R1144" s="72"/>
      <c r="S1144" s="23"/>
      <c r="T1144" s="23"/>
      <c r="U1144" s="23"/>
      <c r="V1144" s="23"/>
      <c r="W1144" s="23"/>
      <c r="X1144" s="23"/>
      <c r="Y1144" s="23"/>
      <c r="Z1144" s="23"/>
      <c r="AA1144" s="23"/>
      <c r="AB1144" s="23"/>
      <c r="AC1144" s="23"/>
      <c r="AD1144" s="23"/>
      <c r="AE1144" s="23"/>
    </row>
    <row r="1145" spans="1:31">
      <c r="A1145" s="23"/>
      <c r="B1145" s="40"/>
      <c r="C1145" s="40"/>
      <c r="D1145" s="23"/>
      <c r="E1145" s="23"/>
      <c r="F1145" s="23"/>
      <c r="G1145" s="23"/>
      <c r="H1145" s="23"/>
      <c r="I1145" s="40"/>
      <c r="J1145" s="70"/>
      <c r="K1145" s="23"/>
      <c r="L1145" s="70"/>
      <c r="M1145" s="70"/>
      <c r="N1145" s="23"/>
      <c r="O1145" s="23"/>
      <c r="P1145" s="23"/>
      <c r="Q1145" s="23"/>
      <c r="R1145" s="72"/>
      <c r="S1145" s="23"/>
      <c r="T1145" s="23"/>
      <c r="U1145" s="23"/>
      <c r="V1145" s="23"/>
      <c r="W1145" s="23"/>
      <c r="X1145" s="23"/>
      <c r="Y1145" s="23"/>
      <c r="Z1145" s="23"/>
      <c r="AA1145" s="23"/>
      <c r="AB1145" s="23"/>
      <c r="AC1145" s="23"/>
      <c r="AD1145" s="23"/>
      <c r="AE1145" s="23"/>
    </row>
    <row r="1146" spans="1:31" ht="24" customHeight="1">
      <c r="A1146" s="23"/>
      <c r="B1146" s="40"/>
      <c r="C1146" s="40"/>
      <c r="D1146" s="23"/>
      <c r="E1146" s="23"/>
      <c r="F1146" s="23"/>
      <c r="G1146" s="23"/>
      <c r="H1146" s="40"/>
      <c r="I1146" s="40"/>
      <c r="J1146" s="70"/>
      <c r="K1146" s="23"/>
      <c r="L1146" s="70"/>
      <c r="M1146" s="70"/>
      <c r="N1146" s="23"/>
      <c r="O1146" s="23"/>
      <c r="P1146" s="23"/>
      <c r="Q1146" s="23"/>
      <c r="R1146" s="72"/>
      <c r="S1146" s="23"/>
      <c r="T1146" s="23"/>
      <c r="U1146" s="23"/>
      <c r="V1146" s="23"/>
      <c r="W1146" s="23"/>
      <c r="X1146" s="23"/>
      <c r="Y1146" s="23"/>
      <c r="Z1146" s="23"/>
      <c r="AA1146" s="23"/>
      <c r="AB1146" s="23"/>
      <c r="AC1146" s="23"/>
      <c r="AD1146" s="23"/>
      <c r="AE1146" s="23"/>
    </row>
    <row r="1147" spans="1:31">
      <c r="A1147" s="23"/>
      <c r="B1147" s="40"/>
      <c r="C1147" s="40"/>
      <c r="D1147" s="23"/>
      <c r="E1147" s="23"/>
      <c r="F1147" s="23"/>
      <c r="G1147" s="23"/>
      <c r="H1147" s="40"/>
      <c r="I1147" s="40"/>
      <c r="J1147" s="70"/>
      <c r="K1147" s="23"/>
      <c r="L1147" s="70"/>
      <c r="M1147" s="70"/>
      <c r="N1147" s="23"/>
      <c r="O1147" s="23"/>
      <c r="P1147" s="23"/>
      <c r="Q1147" s="23"/>
      <c r="R1147" s="72"/>
      <c r="S1147" s="23"/>
      <c r="T1147" s="23"/>
      <c r="U1147" s="23"/>
      <c r="V1147" s="23"/>
      <c r="W1147" s="23"/>
      <c r="X1147" s="23"/>
      <c r="Y1147" s="23"/>
      <c r="Z1147" s="23"/>
      <c r="AA1147" s="23"/>
      <c r="AB1147" s="23"/>
      <c r="AC1147" s="23"/>
      <c r="AD1147" s="23"/>
      <c r="AE1147" s="23"/>
    </row>
    <row r="1148" spans="1:31">
      <c r="A1148" s="23"/>
      <c r="B1148" s="40"/>
      <c r="C1148" s="40"/>
      <c r="D1148" s="23"/>
      <c r="E1148" s="23"/>
      <c r="F1148" s="23"/>
      <c r="G1148" s="23"/>
      <c r="H1148" s="40"/>
      <c r="I1148" s="40"/>
      <c r="J1148" s="70"/>
      <c r="K1148" s="23"/>
      <c r="L1148" s="70"/>
      <c r="M1148" s="70"/>
      <c r="N1148" s="23"/>
      <c r="O1148" s="23"/>
      <c r="P1148" s="23"/>
      <c r="Q1148" s="23"/>
      <c r="R1148" s="72"/>
      <c r="S1148" s="23"/>
      <c r="T1148" s="23"/>
      <c r="U1148" s="23"/>
      <c r="V1148" s="23"/>
      <c r="W1148" s="23"/>
      <c r="X1148" s="23"/>
      <c r="Y1148" s="23"/>
      <c r="Z1148" s="23"/>
      <c r="AA1148" s="23"/>
      <c r="AB1148" s="23"/>
      <c r="AC1148" s="23"/>
      <c r="AD1148" s="23"/>
      <c r="AE1148" s="23"/>
    </row>
    <row r="1149" spans="1:31">
      <c r="A1149" s="23"/>
      <c r="B1149" s="40"/>
      <c r="C1149" s="40"/>
      <c r="D1149" s="23"/>
      <c r="E1149" s="23"/>
      <c r="F1149" s="23"/>
      <c r="G1149" s="23"/>
      <c r="H1149" s="40"/>
      <c r="I1149" s="40"/>
      <c r="J1149" s="70"/>
      <c r="K1149" s="23"/>
      <c r="L1149" s="70"/>
      <c r="M1149" s="70"/>
      <c r="N1149" s="23"/>
      <c r="O1149" s="23"/>
      <c r="P1149" s="23"/>
      <c r="Q1149" s="23"/>
      <c r="R1149" s="72"/>
      <c r="S1149" s="23"/>
      <c r="T1149" s="23"/>
      <c r="U1149" s="23"/>
      <c r="V1149" s="23"/>
      <c r="W1149" s="23"/>
      <c r="X1149" s="23"/>
      <c r="Y1149" s="23"/>
      <c r="Z1149" s="23"/>
      <c r="AA1149" s="23"/>
      <c r="AB1149" s="23"/>
      <c r="AC1149" s="23"/>
      <c r="AD1149" s="23"/>
      <c r="AE1149" s="23"/>
    </row>
    <row r="1150" spans="1:31">
      <c r="A1150" s="23"/>
      <c r="B1150" s="40"/>
      <c r="C1150" s="40"/>
      <c r="D1150" s="23"/>
      <c r="E1150" s="23"/>
      <c r="F1150" s="23"/>
      <c r="G1150" s="23"/>
      <c r="H1150" s="40"/>
      <c r="I1150" s="40"/>
      <c r="J1150" s="70"/>
      <c r="K1150" s="23"/>
      <c r="L1150" s="70"/>
      <c r="M1150" s="70"/>
      <c r="N1150" s="23"/>
      <c r="O1150" s="23"/>
      <c r="P1150" s="23"/>
      <c r="Q1150" s="23"/>
      <c r="R1150" s="72"/>
      <c r="S1150" s="23"/>
      <c r="T1150" s="23"/>
      <c r="U1150" s="23"/>
      <c r="V1150" s="23"/>
      <c r="W1150" s="23"/>
      <c r="X1150" s="23"/>
      <c r="Y1150" s="23"/>
      <c r="Z1150" s="23"/>
      <c r="AA1150" s="23"/>
      <c r="AB1150" s="23"/>
      <c r="AC1150" s="23"/>
      <c r="AD1150" s="23"/>
      <c r="AE1150" s="23"/>
    </row>
    <row r="1151" spans="1:31">
      <c r="A1151" s="23"/>
      <c r="B1151" s="40"/>
      <c r="C1151" s="40"/>
      <c r="D1151" s="23"/>
      <c r="E1151" s="23"/>
      <c r="F1151" s="23"/>
      <c r="G1151" s="23"/>
      <c r="H1151" s="23"/>
      <c r="I1151" s="40"/>
      <c r="J1151" s="70"/>
      <c r="K1151" s="23"/>
      <c r="L1151" s="70"/>
      <c r="M1151" s="70"/>
      <c r="N1151" s="23"/>
      <c r="O1151" s="23"/>
      <c r="P1151" s="23"/>
      <c r="Q1151" s="23"/>
      <c r="R1151" s="72"/>
      <c r="S1151" s="23"/>
      <c r="T1151" s="23"/>
      <c r="U1151" s="23"/>
      <c r="V1151" s="23"/>
      <c r="W1151" s="23"/>
      <c r="X1151" s="23"/>
      <c r="Y1151" s="23"/>
      <c r="Z1151" s="23"/>
      <c r="AA1151" s="23"/>
      <c r="AB1151" s="23"/>
      <c r="AC1151" s="23"/>
      <c r="AD1151" s="23"/>
      <c r="AE1151" s="23"/>
    </row>
    <row r="1152" spans="1:31">
      <c r="A1152" s="23"/>
      <c r="B1152" s="40"/>
      <c r="C1152" s="40"/>
      <c r="D1152" s="23"/>
      <c r="E1152" s="23"/>
      <c r="F1152" s="23"/>
      <c r="G1152" s="23"/>
      <c r="H1152" s="23"/>
      <c r="I1152" s="40"/>
      <c r="J1152" s="70"/>
      <c r="K1152" s="23"/>
      <c r="L1152" s="70"/>
      <c r="M1152" s="70"/>
      <c r="N1152" s="23"/>
      <c r="O1152" s="23"/>
      <c r="P1152" s="23"/>
      <c r="Q1152" s="23"/>
      <c r="R1152" s="72"/>
      <c r="S1152" s="23"/>
      <c r="T1152" s="23"/>
      <c r="U1152" s="23"/>
      <c r="V1152" s="23"/>
      <c r="W1152" s="23"/>
      <c r="X1152" s="23"/>
      <c r="Y1152" s="23"/>
      <c r="Z1152" s="23"/>
      <c r="AA1152" s="23"/>
      <c r="AB1152" s="23"/>
      <c r="AC1152" s="23"/>
      <c r="AD1152" s="23"/>
      <c r="AE1152" s="23"/>
    </row>
    <row r="1153" spans="1:31">
      <c r="A1153" s="23"/>
      <c r="B1153" s="40"/>
      <c r="C1153" s="40"/>
      <c r="D1153" s="23"/>
      <c r="E1153" s="23"/>
      <c r="F1153" s="23"/>
      <c r="G1153" s="23"/>
      <c r="H1153" s="23"/>
      <c r="I1153" s="40"/>
      <c r="J1153" s="70"/>
      <c r="K1153" s="23"/>
      <c r="L1153" s="70"/>
      <c r="M1153" s="70"/>
      <c r="N1153" s="23"/>
      <c r="O1153" s="23"/>
      <c r="P1153" s="23"/>
      <c r="Q1153" s="23"/>
      <c r="R1153" s="72"/>
      <c r="S1153" s="23"/>
      <c r="T1153" s="23"/>
      <c r="U1153" s="23"/>
      <c r="V1153" s="23"/>
      <c r="W1153" s="23"/>
      <c r="X1153" s="23"/>
      <c r="Y1153" s="23"/>
      <c r="Z1153" s="23"/>
      <c r="AA1153" s="23"/>
      <c r="AB1153" s="23"/>
      <c r="AC1153" s="23"/>
      <c r="AD1153" s="23"/>
      <c r="AE1153" s="23"/>
    </row>
    <row r="1154" spans="1:31">
      <c r="A1154" s="23"/>
      <c r="B1154" s="40"/>
      <c r="C1154" s="40"/>
      <c r="D1154" s="23"/>
      <c r="E1154" s="23"/>
      <c r="F1154" s="23"/>
      <c r="G1154" s="23"/>
      <c r="H1154" s="23"/>
      <c r="I1154" s="40"/>
      <c r="J1154" s="70"/>
      <c r="K1154" s="23"/>
      <c r="L1154" s="70"/>
      <c r="M1154" s="70"/>
      <c r="N1154" s="23"/>
      <c r="O1154" s="23"/>
      <c r="P1154" s="23"/>
      <c r="Q1154" s="23"/>
      <c r="R1154" s="72"/>
      <c r="S1154" s="23"/>
      <c r="T1154" s="23"/>
      <c r="U1154" s="23"/>
      <c r="V1154" s="23"/>
      <c r="W1154" s="23"/>
      <c r="X1154" s="23"/>
      <c r="Y1154" s="23"/>
      <c r="Z1154" s="23"/>
      <c r="AA1154" s="23"/>
      <c r="AB1154" s="23"/>
      <c r="AC1154" s="23"/>
      <c r="AD1154" s="23"/>
      <c r="AE1154" s="23"/>
    </row>
    <row r="1155" spans="1:31" ht="24" customHeight="1">
      <c r="A1155" s="23"/>
      <c r="B1155" s="40"/>
      <c r="C1155" s="40"/>
      <c r="D1155" s="23"/>
      <c r="E1155" s="23"/>
      <c r="F1155" s="23"/>
      <c r="G1155" s="23"/>
      <c r="H1155" s="40"/>
      <c r="I1155" s="40"/>
      <c r="J1155" s="70"/>
      <c r="K1155" s="23"/>
      <c r="L1155" s="70"/>
      <c r="M1155" s="70"/>
      <c r="N1155" s="23"/>
      <c r="O1155" s="23"/>
      <c r="P1155" s="23"/>
      <c r="Q1155" s="23"/>
      <c r="R1155" s="72"/>
      <c r="S1155" s="23"/>
      <c r="T1155" s="23"/>
      <c r="U1155" s="23"/>
      <c r="V1155" s="23"/>
      <c r="W1155" s="23"/>
      <c r="X1155" s="23"/>
      <c r="Y1155" s="23"/>
      <c r="Z1155" s="23"/>
      <c r="AA1155" s="23"/>
      <c r="AB1155" s="23"/>
      <c r="AC1155" s="23"/>
      <c r="AD1155" s="23"/>
      <c r="AE1155" s="23"/>
    </row>
    <row r="1156" spans="1:31">
      <c r="A1156" s="23"/>
      <c r="B1156" s="40"/>
      <c r="C1156" s="40"/>
      <c r="D1156" s="23"/>
      <c r="E1156" s="23"/>
      <c r="F1156" s="23"/>
      <c r="G1156" s="23"/>
      <c r="H1156" s="40"/>
      <c r="I1156" s="40"/>
      <c r="J1156" s="70"/>
      <c r="K1156" s="23"/>
      <c r="L1156" s="70"/>
      <c r="M1156" s="70"/>
      <c r="N1156" s="23"/>
      <c r="O1156" s="23"/>
      <c r="P1156" s="23"/>
      <c r="Q1156" s="23"/>
      <c r="R1156" s="72"/>
      <c r="S1156" s="23"/>
      <c r="T1156" s="23"/>
      <c r="U1156" s="23"/>
      <c r="V1156" s="23"/>
      <c r="W1156" s="23"/>
      <c r="X1156" s="23"/>
      <c r="Y1156" s="23"/>
      <c r="Z1156" s="23"/>
      <c r="AA1156" s="23"/>
      <c r="AB1156" s="23"/>
      <c r="AC1156" s="23"/>
      <c r="AD1156" s="23"/>
      <c r="AE1156" s="23"/>
    </row>
    <row r="1157" spans="1:31">
      <c r="A1157" s="23"/>
      <c r="B1157" s="40"/>
      <c r="C1157" s="40"/>
      <c r="D1157" s="23"/>
      <c r="E1157" s="23"/>
      <c r="F1157" s="23"/>
      <c r="G1157" s="23"/>
      <c r="H1157" s="40"/>
      <c r="I1157" s="40"/>
      <c r="J1157" s="70"/>
      <c r="K1157" s="23"/>
      <c r="L1157" s="70"/>
      <c r="M1157" s="70"/>
      <c r="N1157" s="23"/>
      <c r="O1157" s="23"/>
      <c r="P1157" s="23"/>
      <c r="Q1157" s="23"/>
      <c r="R1157" s="72"/>
      <c r="S1157" s="23"/>
      <c r="T1157" s="23"/>
      <c r="U1157" s="23"/>
      <c r="V1157" s="23"/>
      <c r="W1157" s="23"/>
      <c r="X1157" s="23"/>
      <c r="Y1157" s="23"/>
      <c r="Z1157" s="23"/>
      <c r="AA1157" s="23"/>
      <c r="AB1157" s="23"/>
      <c r="AC1157" s="23"/>
      <c r="AD1157" s="23"/>
      <c r="AE1157" s="23"/>
    </row>
    <row r="1158" spans="1:31">
      <c r="A1158" s="23"/>
      <c r="B1158" s="40"/>
      <c r="C1158" s="40"/>
      <c r="D1158" s="23"/>
      <c r="E1158" s="23"/>
      <c r="F1158" s="23"/>
      <c r="G1158" s="23"/>
      <c r="H1158" s="40"/>
      <c r="I1158" s="40"/>
      <c r="J1158" s="70"/>
      <c r="K1158" s="23"/>
      <c r="L1158" s="70"/>
      <c r="M1158" s="70"/>
      <c r="N1158" s="23"/>
      <c r="O1158" s="70"/>
      <c r="P1158" s="23"/>
      <c r="Q1158" s="23"/>
      <c r="R1158" s="72"/>
      <c r="S1158" s="23"/>
      <c r="T1158" s="23"/>
      <c r="U1158" s="23"/>
      <c r="V1158" s="23"/>
      <c r="W1158" s="23"/>
      <c r="X1158" s="23"/>
      <c r="Y1158" s="23"/>
      <c r="Z1158" s="23"/>
      <c r="AA1158" s="23"/>
      <c r="AB1158" s="23"/>
      <c r="AC1158" s="23"/>
      <c r="AD1158" s="23"/>
      <c r="AE1158" s="23"/>
    </row>
    <row r="1159" spans="1:31">
      <c r="A1159" s="23"/>
      <c r="B1159" s="40"/>
      <c r="C1159" s="40"/>
      <c r="D1159" s="23"/>
      <c r="E1159" s="23"/>
      <c r="F1159" s="23"/>
      <c r="G1159" s="23"/>
      <c r="H1159" s="40"/>
      <c r="I1159" s="40"/>
      <c r="J1159" s="70"/>
      <c r="K1159" s="23"/>
      <c r="L1159" s="70"/>
      <c r="M1159" s="70"/>
      <c r="N1159" s="23"/>
      <c r="O1159" s="70"/>
      <c r="P1159" s="23"/>
      <c r="Q1159" s="23"/>
      <c r="R1159" s="72"/>
      <c r="S1159" s="23"/>
      <c r="T1159" s="23"/>
      <c r="U1159" s="23"/>
      <c r="V1159" s="23"/>
      <c r="W1159" s="23"/>
      <c r="X1159" s="23"/>
      <c r="Y1159" s="23"/>
      <c r="Z1159" s="23"/>
      <c r="AA1159" s="23"/>
      <c r="AB1159" s="23"/>
      <c r="AC1159" s="23"/>
      <c r="AD1159" s="23"/>
      <c r="AE1159" s="23"/>
    </row>
    <row r="1160" spans="1:31">
      <c r="A1160" s="23"/>
      <c r="B1160" s="40"/>
      <c r="C1160" s="40"/>
      <c r="D1160" s="23"/>
      <c r="E1160" s="23"/>
      <c r="F1160" s="23"/>
      <c r="G1160" s="23"/>
      <c r="H1160" s="40"/>
      <c r="I1160" s="40"/>
      <c r="J1160" s="70"/>
      <c r="K1160" s="23"/>
      <c r="L1160" s="70"/>
      <c r="M1160" s="70"/>
      <c r="N1160" s="23"/>
      <c r="O1160" s="70"/>
      <c r="P1160" s="23"/>
      <c r="Q1160" s="23"/>
      <c r="R1160" s="72"/>
      <c r="S1160" s="23"/>
      <c r="T1160" s="23"/>
      <c r="U1160" s="23"/>
      <c r="V1160" s="23"/>
      <c r="W1160" s="23"/>
      <c r="X1160" s="23"/>
      <c r="Y1160" s="23"/>
      <c r="Z1160" s="23"/>
      <c r="AA1160" s="23"/>
      <c r="AB1160" s="23"/>
      <c r="AC1160" s="23"/>
      <c r="AD1160" s="23"/>
      <c r="AE1160" s="23"/>
    </row>
    <row r="1161" spans="1:31">
      <c r="A1161" s="23"/>
      <c r="B1161" s="40"/>
      <c r="C1161" s="40"/>
      <c r="D1161" s="23"/>
      <c r="E1161" s="23"/>
      <c r="F1161" s="23"/>
      <c r="G1161" s="23"/>
      <c r="H1161" s="23"/>
      <c r="I1161" s="40"/>
      <c r="J1161" s="70"/>
      <c r="K1161" s="23"/>
      <c r="L1161" s="70"/>
      <c r="M1161" s="70"/>
      <c r="N1161" s="23"/>
      <c r="O1161" s="70"/>
      <c r="P1161" s="23"/>
      <c r="Q1161" s="23"/>
      <c r="R1161" s="72"/>
      <c r="S1161" s="23"/>
      <c r="T1161" s="23"/>
      <c r="U1161" s="23"/>
      <c r="V1161" s="23"/>
      <c r="W1161" s="23"/>
      <c r="X1161" s="23"/>
      <c r="Y1161" s="23"/>
      <c r="Z1161" s="23"/>
      <c r="AA1161" s="23"/>
      <c r="AB1161" s="23"/>
      <c r="AC1161" s="23"/>
      <c r="AD1161" s="23"/>
      <c r="AE1161" s="23"/>
    </row>
    <row r="1162" spans="1:31">
      <c r="A1162" s="23"/>
      <c r="B1162" s="40"/>
      <c r="C1162" s="40"/>
      <c r="D1162" s="23"/>
      <c r="E1162" s="23"/>
      <c r="F1162" s="23"/>
      <c r="G1162" s="23"/>
      <c r="H1162" s="23"/>
      <c r="I1162" s="40"/>
      <c r="J1162" s="70"/>
      <c r="K1162" s="23"/>
      <c r="L1162" s="70"/>
      <c r="M1162" s="70"/>
      <c r="N1162" s="23"/>
      <c r="O1162" s="70"/>
      <c r="P1162" s="23"/>
      <c r="Q1162" s="23"/>
      <c r="R1162" s="72"/>
      <c r="S1162" s="23"/>
      <c r="T1162" s="23"/>
      <c r="U1162" s="23"/>
      <c r="V1162" s="23"/>
      <c r="W1162" s="23"/>
      <c r="X1162" s="23"/>
      <c r="Y1162" s="23"/>
      <c r="Z1162" s="23"/>
      <c r="AA1162" s="23"/>
      <c r="AB1162" s="23"/>
      <c r="AC1162" s="23"/>
      <c r="AD1162" s="23"/>
      <c r="AE1162" s="23"/>
    </row>
    <row r="1163" spans="1:31" ht="24" customHeight="1">
      <c r="A1163" s="23"/>
      <c r="B1163" s="40"/>
      <c r="C1163" s="40"/>
      <c r="D1163" s="23"/>
      <c r="E1163" s="23"/>
      <c r="F1163" s="23"/>
      <c r="G1163" s="23"/>
      <c r="H1163" s="40"/>
      <c r="I1163" s="40"/>
      <c r="J1163" s="70"/>
      <c r="K1163" s="23"/>
      <c r="L1163" s="70"/>
      <c r="M1163" s="70"/>
      <c r="N1163" s="23"/>
      <c r="O1163" s="70"/>
      <c r="P1163" s="23"/>
      <c r="Q1163" s="23"/>
      <c r="R1163" s="72"/>
      <c r="S1163" s="23"/>
      <c r="T1163" s="23"/>
      <c r="U1163" s="23"/>
      <c r="V1163" s="23"/>
      <c r="W1163" s="23"/>
      <c r="X1163" s="23"/>
      <c r="Y1163" s="23"/>
      <c r="Z1163" s="23"/>
      <c r="AA1163" s="23"/>
      <c r="AB1163" s="23"/>
      <c r="AC1163" s="23"/>
      <c r="AD1163" s="23"/>
      <c r="AE1163" s="23"/>
    </row>
    <row r="1164" spans="1:31">
      <c r="A1164" s="23"/>
      <c r="B1164" s="40"/>
      <c r="C1164" s="40"/>
      <c r="D1164" s="23"/>
      <c r="E1164" s="23"/>
      <c r="F1164" s="23"/>
      <c r="G1164" s="23"/>
      <c r="H1164" s="40"/>
      <c r="I1164" s="40"/>
      <c r="J1164" s="70"/>
      <c r="K1164" s="23"/>
      <c r="L1164" s="70"/>
      <c r="M1164" s="70"/>
      <c r="N1164" s="23"/>
      <c r="O1164" s="70"/>
      <c r="P1164" s="23"/>
      <c r="Q1164" s="23"/>
      <c r="R1164" s="72"/>
      <c r="S1164" s="23"/>
      <c r="T1164" s="23"/>
      <c r="U1164" s="23"/>
      <c r="V1164" s="23"/>
      <c r="W1164" s="23"/>
      <c r="X1164" s="23"/>
      <c r="Y1164" s="23"/>
      <c r="Z1164" s="23"/>
      <c r="AA1164" s="23"/>
      <c r="AB1164" s="23"/>
      <c r="AC1164" s="23"/>
      <c r="AD1164" s="23"/>
      <c r="AE1164" s="23"/>
    </row>
    <row r="1165" spans="1:31">
      <c r="A1165" s="23"/>
      <c r="B1165" s="40"/>
      <c r="C1165" s="40"/>
      <c r="D1165" s="23"/>
      <c r="E1165" s="23"/>
      <c r="F1165" s="23"/>
      <c r="G1165" s="23"/>
      <c r="H1165" s="40"/>
      <c r="I1165" s="40"/>
      <c r="J1165" s="70"/>
      <c r="K1165" s="23"/>
      <c r="L1165" s="70"/>
      <c r="M1165" s="70"/>
      <c r="N1165" s="23"/>
      <c r="O1165" s="70"/>
      <c r="P1165" s="23"/>
      <c r="Q1165" s="23"/>
      <c r="R1165" s="72"/>
      <c r="S1165" s="23"/>
      <c r="T1165" s="23"/>
      <c r="U1165" s="23"/>
      <c r="V1165" s="23"/>
      <c r="W1165" s="23"/>
      <c r="X1165" s="23"/>
      <c r="Y1165" s="23"/>
      <c r="Z1165" s="23"/>
      <c r="AA1165" s="23"/>
      <c r="AB1165" s="23"/>
      <c r="AC1165" s="23"/>
      <c r="AD1165" s="23"/>
      <c r="AE1165" s="23"/>
    </row>
    <row r="1166" spans="1:31">
      <c r="A1166" s="23"/>
      <c r="B1166" s="40"/>
      <c r="C1166" s="40"/>
      <c r="D1166" s="23"/>
      <c r="E1166" s="23"/>
      <c r="F1166" s="23"/>
      <c r="G1166" s="23"/>
      <c r="H1166" s="40"/>
      <c r="I1166" s="40"/>
      <c r="J1166" s="70"/>
      <c r="K1166" s="23"/>
      <c r="L1166" s="70"/>
      <c r="M1166" s="70"/>
      <c r="N1166" s="23"/>
      <c r="O1166" s="70"/>
      <c r="P1166" s="23"/>
      <c r="Q1166" s="23"/>
      <c r="R1166" s="72"/>
      <c r="S1166" s="23"/>
      <c r="T1166" s="23"/>
      <c r="U1166" s="23"/>
      <c r="V1166" s="23"/>
      <c r="W1166" s="23"/>
      <c r="X1166" s="23"/>
      <c r="Y1166" s="23"/>
      <c r="Z1166" s="23"/>
      <c r="AA1166" s="23"/>
      <c r="AB1166" s="23"/>
      <c r="AC1166" s="23"/>
      <c r="AD1166" s="23"/>
      <c r="AE1166" s="23"/>
    </row>
    <row r="1167" spans="1:31">
      <c r="A1167" s="23"/>
      <c r="B1167" s="40"/>
      <c r="C1167" s="40"/>
      <c r="D1167" s="23"/>
      <c r="E1167" s="23"/>
      <c r="F1167" s="23"/>
      <c r="G1167" s="23"/>
      <c r="H1167" s="40"/>
      <c r="I1167" s="40"/>
      <c r="J1167" s="70"/>
      <c r="K1167" s="23"/>
      <c r="L1167" s="70"/>
      <c r="M1167" s="70"/>
      <c r="N1167" s="23"/>
      <c r="O1167" s="70"/>
      <c r="P1167" s="23"/>
      <c r="Q1167" s="23"/>
      <c r="R1167" s="72"/>
      <c r="S1167" s="23"/>
      <c r="T1167" s="23"/>
      <c r="U1167" s="23"/>
      <c r="V1167" s="23"/>
      <c r="W1167" s="23"/>
      <c r="X1167" s="23"/>
      <c r="Y1167" s="23"/>
      <c r="Z1167" s="23"/>
      <c r="AA1167" s="23"/>
      <c r="AB1167" s="23"/>
      <c r="AC1167" s="23"/>
      <c r="AD1167" s="23"/>
      <c r="AE1167" s="23"/>
    </row>
    <row r="1168" spans="1:31">
      <c r="A1168" s="23"/>
      <c r="B1168" s="40"/>
      <c r="C1168" s="40"/>
      <c r="D1168" s="23"/>
      <c r="E1168" s="23"/>
      <c r="F1168" s="23"/>
      <c r="G1168" s="40"/>
      <c r="H1168" s="40"/>
      <c r="I1168" s="40"/>
      <c r="J1168" s="70"/>
      <c r="K1168" s="40"/>
      <c r="L1168" s="70"/>
      <c r="M1168" s="70"/>
      <c r="N1168" s="40"/>
      <c r="O1168" s="40"/>
      <c r="P1168" s="40"/>
      <c r="Q1168" s="40"/>
      <c r="R1168" s="72"/>
      <c r="S1168" s="40"/>
      <c r="T1168" s="40"/>
      <c r="U1168" s="40"/>
      <c r="V1168" s="40"/>
      <c r="W1168" s="40"/>
      <c r="X1168" s="40"/>
      <c r="Y1168" s="40"/>
      <c r="Z1168" s="40"/>
      <c r="AA1168" s="40"/>
      <c r="AB1168" s="40"/>
      <c r="AC1168" s="40"/>
      <c r="AD1168" s="40"/>
      <c r="AE1168" s="23"/>
    </row>
    <row r="1169" spans="1:31">
      <c r="A1169" s="23"/>
      <c r="B1169" s="40"/>
      <c r="C1169" s="40"/>
      <c r="D1169" s="23"/>
      <c r="E1169" s="23"/>
      <c r="F1169" s="23"/>
      <c r="G1169" s="40"/>
      <c r="H1169" s="40"/>
      <c r="I1169" s="40"/>
      <c r="J1169" s="70"/>
      <c r="K1169" s="40"/>
      <c r="L1169" s="70"/>
      <c r="M1169" s="70"/>
      <c r="N1169" s="40"/>
      <c r="O1169" s="40"/>
      <c r="P1169" s="40"/>
      <c r="Q1169" s="40"/>
      <c r="R1169" s="72"/>
      <c r="S1169" s="40"/>
      <c r="T1169" s="40"/>
      <c r="U1169" s="40"/>
      <c r="V1169" s="40"/>
      <c r="W1169" s="40"/>
      <c r="X1169" s="40"/>
      <c r="Y1169" s="40"/>
      <c r="Z1169" s="40"/>
      <c r="AA1169" s="40"/>
      <c r="AB1169" s="40"/>
      <c r="AC1169" s="40"/>
      <c r="AD1169" s="40"/>
      <c r="AE1169" s="23"/>
    </row>
    <row r="1170" spans="1:31">
      <c r="A1170" s="23"/>
      <c r="B1170" s="40"/>
      <c r="C1170" s="40"/>
      <c r="D1170" s="23"/>
      <c r="E1170" s="23"/>
      <c r="F1170" s="23"/>
      <c r="G1170" s="40"/>
      <c r="H1170" s="40"/>
      <c r="I1170" s="40"/>
      <c r="J1170" s="70"/>
      <c r="K1170" s="40"/>
      <c r="L1170" s="70"/>
      <c r="M1170" s="70"/>
      <c r="N1170" s="40"/>
      <c r="O1170" s="40"/>
      <c r="P1170" s="40"/>
      <c r="Q1170" s="40"/>
      <c r="R1170" s="72"/>
      <c r="S1170" s="40"/>
      <c r="T1170" s="40"/>
      <c r="U1170" s="40"/>
      <c r="V1170" s="40"/>
      <c r="W1170" s="40"/>
      <c r="X1170" s="40"/>
      <c r="Y1170" s="40"/>
      <c r="Z1170" s="40"/>
      <c r="AA1170" s="40"/>
      <c r="AB1170" s="40"/>
      <c r="AC1170" s="40"/>
      <c r="AD1170" s="40"/>
      <c r="AE1170" s="23"/>
    </row>
    <row r="1171" spans="1:31">
      <c r="A1171" s="23"/>
      <c r="B1171" s="40"/>
      <c r="C1171" s="40"/>
      <c r="D1171" s="23"/>
      <c r="E1171" s="23"/>
      <c r="F1171" s="23"/>
      <c r="G1171" s="40"/>
      <c r="H1171" s="40"/>
      <c r="I1171" s="40"/>
      <c r="J1171" s="70"/>
      <c r="K1171" s="40"/>
      <c r="L1171" s="70"/>
      <c r="M1171" s="70"/>
      <c r="N1171" s="40"/>
      <c r="O1171" s="40"/>
      <c r="P1171" s="40"/>
      <c r="Q1171" s="40"/>
      <c r="R1171" s="72"/>
      <c r="S1171" s="40"/>
      <c r="T1171" s="40"/>
      <c r="U1171" s="40"/>
      <c r="V1171" s="40"/>
      <c r="W1171" s="40"/>
      <c r="X1171" s="40"/>
      <c r="Y1171" s="40"/>
      <c r="Z1171" s="40"/>
      <c r="AA1171" s="40"/>
      <c r="AB1171" s="40"/>
      <c r="AC1171" s="40"/>
      <c r="AD1171" s="40"/>
      <c r="AE1171" s="23"/>
    </row>
    <row r="1172" spans="1:31">
      <c r="A1172" s="23"/>
      <c r="B1172" s="40"/>
      <c r="C1172" s="40"/>
      <c r="D1172" s="23"/>
      <c r="E1172" s="23"/>
      <c r="F1172" s="23"/>
      <c r="G1172" s="40"/>
      <c r="H1172" s="40"/>
      <c r="I1172" s="40"/>
      <c r="J1172" s="70"/>
      <c r="K1172" s="40"/>
      <c r="L1172" s="70"/>
      <c r="M1172" s="70"/>
      <c r="N1172" s="40"/>
      <c r="O1172" s="40"/>
      <c r="P1172" s="40"/>
      <c r="Q1172" s="40"/>
      <c r="R1172" s="72"/>
      <c r="S1172" s="40"/>
      <c r="T1172" s="40"/>
      <c r="U1172" s="40"/>
      <c r="V1172" s="40"/>
      <c r="W1172" s="40"/>
      <c r="X1172" s="40"/>
      <c r="Y1172" s="40"/>
      <c r="Z1172" s="40"/>
      <c r="AA1172" s="40"/>
      <c r="AB1172" s="40"/>
      <c r="AC1172" s="40"/>
      <c r="AD1172" s="40"/>
      <c r="AE1172" s="23"/>
    </row>
    <row r="1173" spans="1:31" ht="24" customHeight="1">
      <c r="A1173" s="23"/>
      <c r="B1173" s="40"/>
      <c r="C1173" s="40"/>
      <c r="D1173" s="23"/>
      <c r="E1173" s="23"/>
      <c r="F1173" s="23"/>
      <c r="G1173" s="40"/>
      <c r="H1173" s="40"/>
      <c r="I1173" s="40"/>
      <c r="J1173" s="70"/>
      <c r="K1173" s="40"/>
      <c r="L1173" s="70"/>
      <c r="M1173" s="70"/>
      <c r="N1173" s="40"/>
      <c r="O1173" s="40"/>
      <c r="P1173" s="40"/>
      <c r="Q1173" s="40"/>
      <c r="R1173" s="72"/>
      <c r="S1173" s="40"/>
      <c r="T1173" s="40"/>
      <c r="U1173" s="40"/>
      <c r="V1173" s="40"/>
      <c r="W1173" s="40"/>
      <c r="X1173" s="40"/>
      <c r="Y1173" s="40"/>
      <c r="Z1173" s="40"/>
      <c r="AA1173" s="40"/>
      <c r="AB1173" s="40"/>
      <c r="AC1173" s="40"/>
      <c r="AD1173" s="40"/>
      <c r="AE1173" s="23"/>
    </row>
    <row r="1174" spans="1:31">
      <c r="A1174" s="23"/>
      <c r="B1174" s="40"/>
      <c r="C1174" s="40"/>
      <c r="D1174" s="23"/>
      <c r="E1174" s="23"/>
      <c r="F1174" s="23"/>
      <c r="G1174" s="40"/>
      <c r="H1174" s="40"/>
      <c r="I1174" s="40"/>
      <c r="J1174" s="70"/>
      <c r="K1174" s="40"/>
      <c r="L1174" s="70"/>
      <c r="M1174" s="70"/>
      <c r="N1174" s="40"/>
      <c r="O1174" s="40"/>
      <c r="P1174" s="40"/>
      <c r="Q1174" s="40"/>
      <c r="R1174" s="72"/>
      <c r="S1174" s="40"/>
      <c r="T1174" s="40"/>
      <c r="U1174" s="40"/>
      <c r="V1174" s="40"/>
      <c r="W1174" s="40"/>
      <c r="X1174" s="40"/>
      <c r="Y1174" s="40"/>
      <c r="Z1174" s="40"/>
      <c r="AA1174" s="40"/>
      <c r="AB1174" s="40"/>
      <c r="AC1174" s="40"/>
      <c r="AD1174" s="40"/>
      <c r="AE1174" s="23"/>
    </row>
    <row r="1175" spans="1:31">
      <c r="A1175" s="23"/>
      <c r="B1175" s="40"/>
      <c r="C1175" s="40"/>
      <c r="D1175" s="23"/>
      <c r="E1175" s="23"/>
      <c r="F1175" s="23"/>
      <c r="G1175" s="40"/>
      <c r="H1175" s="40"/>
      <c r="I1175" s="40"/>
      <c r="J1175" s="70"/>
      <c r="K1175" s="40"/>
      <c r="L1175" s="70"/>
      <c r="M1175" s="70"/>
      <c r="N1175" s="40"/>
      <c r="O1175" s="40"/>
      <c r="P1175" s="40"/>
      <c r="Q1175" s="40"/>
      <c r="R1175" s="72"/>
      <c r="S1175" s="40"/>
      <c r="T1175" s="40"/>
      <c r="U1175" s="40"/>
      <c r="V1175" s="40"/>
      <c r="W1175" s="40"/>
      <c r="X1175" s="40"/>
      <c r="Y1175" s="40"/>
      <c r="Z1175" s="40"/>
      <c r="AA1175" s="40"/>
      <c r="AB1175" s="40"/>
      <c r="AC1175" s="40"/>
      <c r="AD1175" s="40"/>
      <c r="AE1175" s="23"/>
    </row>
    <row r="1176" spans="1:31">
      <c r="A1176" s="23"/>
      <c r="B1176" s="40"/>
      <c r="C1176" s="40"/>
      <c r="D1176" s="23"/>
      <c r="E1176" s="23"/>
      <c r="F1176" s="23"/>
      <c r="G1176" s="40"/>
      <c r="H1176" s="40"/>
      <c r="I1176" s="40"/>
      <c r="J1176" s="70"/>
      <c r="K1176" s="40"/>
      <c r="L1176" s="70"/>
      <c r="M1176" s="70"/>
      <c r="N1176" s="40"/>
      <c r="O1176" s="40"/>
      <c r="P1176" s="40"/>
      <c r="Q1176" s="40"/>
      <c r="R1176" s="72"/>
      <c r="S1176" s="40"/>
      <c r="T1176" s="40"/>
      <c r="U1176" s="40"/>
      <c r="V1176" s="40"/>
      <c r="W1176" s="40"/>
      <c r="X1176" s="40"/>
      <c r="Y1176" s="40"/>
      <c r="Z1176" s="40"/>
      <c r="AA1176" s="40"/>
      <c r="AB1176" s="40"/>
      <c r="AC1176" s="40"/>
      <c r="AD1176" s="40"/>
      <c r="AE1176" s="23"/>
    </row>
    <row r="1177" spans="1:31">
      <c r="A1177" s="23"/>
      <c r="B1177" s="40"/>
      <c r="C1177" s="40"/>
      <c r="D1177" s="23"/>
      <c r="E1177" s="23"/>
      <c r="F1177" s="23"/>
      <c r="G1177" s="40"/>
      <c r="H1177" s="40"/>
      <c r="I1177" s="40"/>
      <c r="J1177" s="70"/>
      <c r="K1177" s="40"/>
      <c r="L1177" s="70"/>
      <c r="M1177" s="70"/>
      <c r="N1177" s="40"/>
      <c r="O1177" s="40"/>
      <c r="P1177" s="40"/>
      <c r="Q1177" s="40"/>
      <c r="R1177" s="72"/>
      <c r="S1177" s="40"/>
      <c r="T1177" s="40"/>
      <c r="U1177" s="40"/>
      <c r="V1177" s="40"/>
      <c r="W1177" s="40"/>
      <c r="X1177" s="40"/>
      <c r="Y1177" s="40"/>
      <c r="Z1177" s="40"/>
      <c r="AA1177" s="40"/>
      <c r="AB1177" s="40"/>
      <c r="AC1177" s="40"/>
      <c r="AD1177" s="40"/>
      <c r="AE1177" s="23"/>
    </row>
    <row r="1178" spans="1:31">
      <c r="A1178" s="23"/>
      <c r="B1178" s="40"/>
      <c r="C1178" s="40"/>
      <c r="D1178" s="23"/>
      <c r="E1178" s="23"/>
      <c r="F1178" s="23"/>
      <c r="G1178" s="40"/>
      <c r="H1178" s="40"/>
      <c r="I1178" s="40"/>
      <c r="J1178" s="70"/>
      <c r="K1178" s="40"/>
      <c r="L1178" s="70"/>
      <c r="M1178" s="70"/>
      <c r="N1178" s="40"/>
      <c r="O1178" s="40"/>
      <c r="P1178" s="40"/>
      <c r="Q1178" s="40"/>
      <c r="R1178" s="72"/>
      <c r="S1178" s="40"/>
      <c r="T1178" s="40"/>
      <c r="U1178" s="40"/>
      <c r="V1178" s="40"/>
      <c r="W1178" s="40"/>
      <c r="X1178" s="40"/>
      <c r="Y1178" s="40"/>
      <c r="Z1178" s="40"/>
      <c r="AA1178" s="40"/>
      <c r="AB1178" s="40"/>
      <c r="AC1178" s="40"/>
      <c r="AD1178" s="40"/>
      <c r="AE1178" s="23"/>
    </row>
    <row r="1179" spans="1:31">
      <c r="A1179" s="23"/>
      <c r="B1179" s="40"/>
      <c r="C1179" s="40"/>
      <c r="D1179" s="23"/>
      <c r="E1179" s="23"/>
      <c r="F1179" s="23"/>
      <c r="G1179" s="40"/>
      <c r="H1179" s="40"/>
      <c r="I1179" s="40"/>
      <c r="J1179" s="70"/>
      <c r="K1179" s="40"/>
      <c r="L1179" s="70"/>
      <c r="M1179" s="70"/>
      <c r="N1179" s="40"/>
      <c r="O1179" s="40"/>
      <c r="P1179" s="40"/>
      <c r="Q1179" s="40"/>
      <c r="R1179" s="72"/>
      <c r="S1179" s="40"/>
      <c r="T1179" s="40"/>
      <c r="U1179" s="40"/>
      <c r="V1179" s="40"/>
      <c r="W1179" s="40"/>
      <c r="X1179" s="40"/>
      <c r="Y1179" s="40"/>
      <c r="Z1179" s="40"/>
      <c r="AA1179" s="40"/>
      <c r="AB1179" s="40"/>
      <c r="AC1179" s="40"/>
      <c r="AD1179" s="40"/>
      <c r="AE1179" s="23"/>
    </row>
    <row r="1180" spans="1:31">
      <c r="A1180" s="23"/>
      <c r="B1180" s="40"/>
      <c r="C1180" s="40"/>
      <c r="D1180" s="23"/>
      <c r="E1180" s="23"/>
      <c r="F1180" s="23"/>
      <c r="G1180" s="40"/>
      <c r="H1180" s="40"/>
      <c r="I1180" s="40"/>
      <c r="J1180" s="70"/>
      <c r="K1180" s="40"/>
      <c r="L1180" s="70"/>
      <c r="M1180" s="70"/>
      <c r="N1180" s="40"/>
      <c r="O1180" s="40"/>
      <c r="P1180" s="40"/>
      <c r="Q1180" s="40"/>
      <c r="R1180" s="72"/>
      <c r="S1180" s="40"/>
      <c r="T1180" s="40"/>
      <c r="U1180" s="40"/>
      <c r="V1180" s="40"/>
      <c r="W1180" s="40"/>
      <c r="X1180" s="40"/>
      <c r="Y1180" s="40"/>
      <c r="Z1180" s="40"/>
      <c r="AA1180" s="40"/>
      <c r="AB1180" s="40"/>
      <c r="AC1180" s="40"/>
      <c r="AD1180" s="40"/>
      <c r="AE1180" s="23"/>
    </row>
    <row r="1181" spans="1:31">
      <c r="A1181" s="23"/>
      <c r="B1181" s="40"/>
      <c r="C1181" s="40"/>
      <c r="D1181" s="23"/>
      <c r="E1181" s="23"/>
      <c r="F1181" s="23"/>
      <c r="G1181" s="40"/>
      <c r="H1181" s="40"/>
      <c r="I1181" s="40"/>
      <c r="J1181" s="70"/>
      <c r="K1181" s="40"/>
      <c r="L1181" s="70"/>
      <c r="M1181" s="70"/>
      <c r="N1181" s="40"/>
      <c r="O1181" s="40"/>
      <c r="P1181" s="40"/>
      <c r="Q1181" s="40"/>
      <c r="R1181" s="72"/>
      <c r="S1181" s="40"/>
      <c r="T1181" s="40"/>
      <c r="U1181" s="40"/>
      <c r="V1181" s="40"/>
      <c r="W1181" s="40"/>
      <c r="X1181" s="40"/>
      <c r="Y1181" s="40"/>
      <c r="Z1181" s="40"/>
      <c r="AA1181" s="40"/>
      <c r="AB1181" s="40"/>
      <c r="AC1181" s="40"/>
      <c r="AD1181" s="40"/>
      <c r="AE1181" s="23"/>
    </row>
    <row r="1182" spans="1:31">
      <c r="A1182" s="23"/>
      <c r="B1182" s="40"/>
      <c r="C1182" s="40"/>
      <c r="D1182" s="23"/>
      <c r="E1182" s="23"/>
      <c r="F1182" s="23"/>
      <c r="G1182" s="40"/>
      <c r="H1182" s="40"/>
      <c r="I1182" s="40"/>
      <c r="J1182" s="70"/>
      <c r="K1182" s="40"/>
      <c r="L1182" s="70"/>
      <c r="M1182" s="70"/>
      <c r="N1182" s="40"/>
      <c r="O1182" s="40"/>
      <c r="P1182" s="40"/>
      <c r="Q1182" s="40"/>
      <c r="R1182" s="72"/>
      <c r="S1182" s="40"/>
      <c r="T1182" s="40"/>
      <c r="U1182" s="40"/>
      <c r="V1182" s="40"/>
      <c r="W1182" s="40"/>
      <c r="X1182" s="40"/>
      <c r="Y1182" s="40"/>
      <c r="Z1182" s="40"/>
      <c r="AA1182" s="40"/>
      <c r="AB1182" s="40"/>
      <c r="AC1182" s="40"/>
      <c r="AD1182" s="40"/>
      <c r="AE1182" s="23"/>
    </row>
    <row r="1183" spans="1:31">
      <c r="A1183" s="23"/>
      <c r="B1183" s="40"/>
      <c r="C1183" s="40"/>
      <c r="D1183" s="23"/>
      <c r="E1183" s="23"/>
      <c r="F1183" s="23"/>
      <c r="G1183" s="40"/>
      <c r="H1183" s="40"/>
      <c r="I1183" s="40"/>
      <c r="J1183" s="70"/>
      <c r="K1183" s="40"/>
      <c r="L1183" s="70"/>
      <c r="M1183" s="70"/>
      <c r="N1183" s="40"/>
      <c r="O1183" s="40"/>
      <c r="P1183" s="40"/>
      <c r="Q1183" s="40"/>
      <c r="R1183" s="72"/>
      <c r="S1183" s="40"/>
      <c r="T1183" s="40"/>
      <c r="U1183" s="40"/>
      <c r="V1183" s="40"/>
      <c r="W1183" s="40"/>
      <c r="X1183" s="40"/>
      <c r="Y1183" s="40"/>
      <c r="Z1183" s="40"/>
      <c r="AA1183" s="40"/>
      <c r="AB1183" s="40"/>
      <c r="AC1183" s="40"/>
      <c r="AD1183" s="40"/>
      <c r="AE1183" s="23"/>
    </row>
    <row r="1184" spans="1:31" ht="24" customHeight="1">
      <c r="A1184" s="23"/>
      <c r="B1184" s="40"/>
      <c r="C1184" s="40"/>
      <c r="D1184" s="23"/>
      <c r="E1184" s="23"/>
      <c r="F1184" s="23"/>
      <c r="G1184" s="40"/>
      <c r="H1184" s="40"/>
      <c r="I1184" s="40"/>
      <c r="J1184" s="70"/>
      <c r="K1184" s="40"/>
      <c r="L1184" s="70"/>
      <c r="M1184" s="70"/>
      <c r="N1184" s="40"/>
      <c r="O1184" s="40"/>
      <c r="P1184" s="40"/>
      <c r="Q1184" s="40"/>
      <c r="R1184" s="72"/>
      <c r="S1184" s="40"/>
      <c r="T1184" s="40"/>
      <c r="U1184" s="40"/>
      <c r="V1184" s="40"/>
      <c r="W1184" s="40"/>
      <c r="X1184" s="40"/>
      <c r="Y1184" s="40"/>
      <c r="Z1184" s="40"/>
      <c r="AA1184" s="40"/>
      <c r="AB1184" s="40"/>
      <c r="AC1184" s="40"/>
      <c r="AD1184" s="40"/>
      <c r="AE1184" s="23"/>
    </row>
    <row r="1185" spans="1:31">
      <c r="A1185" s="23"/>
      <c r="B1185" s="40"/>
      <c r="C1185" s="40"/>
      <c r="D1185" s="23"/>
      <c r="E1185" s="23"/>
      <c r="F1185" s="23"/>
      <c r="G1185" s="40"/>
      <c r="H1185" s="40"/>
      <c r="I1185" s="40"/>
      <c r="J1185" s="70"/>
      <c r="K1185" s="40"/>
      <c r="L1185" s="70"/>
      <c r="M1185" s="70"/>
      <c r="N1185" s="40"/>
      <c r="O1185" s="40"/>
      <c r="P1185" s="40"/>
      <c r="Q1185" s="40"/>
      <c r="R1185" s="72"/>
      <c r="S1185" s="40"/>
      <c r="T1185" s="40"/>
      <c r="U1185" s="40"/>
      <c r="V1185" s="40"/>
      <c r="W1185" s="40"/>
      <c r="X1185" s="40"/>
      <c r="Y1185" s="40"/>
      <c r="Z1185" s="40"/>
      <c r="AA1185" s="40"/>
      <c r="AB1185" s="40"/>
      <c r="AC1185" s="40"/>
      <c r="AD1185" s="40"/>
      <c r="AE1185" s="23"/>
    </row>
    <row r="1186" spans="1:31">
      <c r="A1186" s="23"/>
      <c r="B1186" s="40"/>
      <c r="C1186" s="40"/>
      <c r="D1186" s="23"/>
      <c r="E1186" s="23"/>
      <c r="F1186" s="23"/>
      <c r="G1186" s="40"/>
      <c r="H1186" s="40"/>
      <c r="I1186" s="40"/>
      <c r="J1186" s="70"/>
      <c r="K1186" s="40"/>
      <c r="L1186" s="70"/>
      <c r="M1186" s="70"/>
      <c r="N1186" s="40"/>
      <c r="O1186" s="40"/>
      <c r="P1186" s="40"/>
      <c r="Q1186" s="40"/>
      <c r="R1186" s="72"/>
      <c r="S1186" s="40"/>
      <c r="T1186" s="40"/>
      <c r="U1186" s="40"/>
      <c r="V1186" s="40"/>
      <c r="W1186" s="40"/>
      <c r="X1186" s="40"/>
      <c r="Y1186" s="40"/>
      <c r="Z1186" s="40"/>
      <c r="AA1186" s="40"/>
      <c r="AB1186" s="40"/>
      <c r="AC1186" s="40"/>
      <c r="AD1186" s="40"/>
      <c r="AE1186" s="23"/>
    </row>
    <row r="1187" spans="1:31">
      <c r="A1187" s="23"/>
      <c r="B1187" s="40"/>
      <c r="C1187" s="40"/>
      <c r="D1187" s="23"/>
      <c r="E1187" s="23"/>
      <c r="F1187" s="23"/>
      <c r="G1187" s="40"/>
      <c r="H1187" s="40"/>
      <c r="I1187" s="40"/>
      <c r="J1187" s="70"/>
      <c r="K1187" s="40"/>
      <c r="L1187" s="70"/>
      <c r="M1187" s="70"/>
      <c r="N1187" s="40"/>
      <c r="O1187" s="40"/>
      <c r="P1187" s="40"/>
      <c r="Q1187" s="40"/>
      <c r="R1187" s="72"/>
      <c r="S1187" s="40"/>
      <c r="T1187" s="40"/>
      <c r="U1187" s="40"/>
      <c r="V1187" s="40"/>
      <c r="W1187" s="40"/>
      <c r="X1187" s="40"/>
      <c r="Y1187" s="40"/>
      <c r="Z1187" s="40"/>
      <c r="AA1187" s="40"/>
      <c r="AB1187" s="40"/>
      <c r="AC1187" s="40"/>
      <c r="AD1187" s="40"/>
      <c r="AE1187" s="23"/>
    </row>
    <row r="1188" spans="1:31">
      <c r="A1188" s="23"/>
      <c r="B1188" s="40"/>
      <c r="C1188" s="40"/>
      <c r="D1188" s="23"/>
      <c r="E1188" s="23"/>
      <c r="F1188" s="23"/>
      <c r="G1188" s="40"/>
      <c r="H1188" s="40"/>
      <c r="I1188" s="40"/>
      <c r="J1188" s="70"/>
      <c r="K1188" s="40"/>
      <c r="L1188" s="70"/>
      <c r="M1188" s="70"/>
      <c r="N1188" s="40"/>
      <c r="O1188" s="40"/>
      <c r="P1188" s="40"/>
      <c r="Q1188" s="40"/>
      <c r="R1188" s="72"/>
      <c r="S1188" s="40"/>
      <c r="T1188" s="40"/>
      <c r="U1188" s="40"/>
      <c r="V1188" s="40"/>
      <c r="W1188" s="40"/>
      <c r="X1188" s="40"/>
      <c r="Y1188" s="40"/>
      <c r="Z1188" s="40"/>
      <c r="AA1188" s="40"/>
      <c r="AB1188" s="40"/>
      <c r="AC1188" s="40"/>
      <c r="AD1188" s="40"/>
      <c r="AE1188" s="23"/>
    </row>
    <row r="1189" spans="1:31">
      <c r="A1189" s="23"/>
      <c r="B1189" s="40"/>
      <c r="C1189" s="40"/>
      <c r="D1189" s="23"/>
      <c r="E1189" s="23"/>
      <c r="F1189" s="23"/>
      <c r="G1189" s="40"/>
      <c r="H1189" s="40"/>
      <c r="I1189" s="40"/>
      <c r="J1189" s="70"/>
      <c r="K1189" s="40"/>
      <c r="L1189" s="70"/>
      <c r="M1189" s="70"/>
      <c r="N1189" s="40"/>
      <c r="O1189" s="40"/>
      <c r="P1189" s="40"/>
      <c r="Q1189" s="40"/>
      <c r="R1189" s="72"/>
      <c r="S1189" s="40"/>
      <c r="T1189" s="40"/>
      <c r="U1189" s="40"/>
      <c r="V1189" s="40"/>
      <c r="W1189" s="40"/>
      <c r="X1189" s="40"/>
      <c r="Y1189" s="40"/>
      <c r="Z1189" s="40"/>
      <c r="AA1189" s="40"/>
      <c r="AB1189" s="40"/>
      <c r="AC1189" s="40"/>
      <c r="AD1189" s="40"/>
      <c r="AE1189" s="23"/>
    </row>
    <row r="1190" spans="1:31">
      <c r="A1190" s="23"/>
      <c r="B1190" s="40"/>
      <c r="C1190" s="40"/>
      <c r="D1190" s="23"/>
      <c r="E1190" s="23"/>
      <c r="F1190" s="23"/>
      <c r="G1190" s="40"/>
      <c r="H1190" s="40"/>
      <c r="I1190" s="40"/>
      <c r="J1190" s="70"/>
      <c r="K1190" s="40"/>
      <c r="L1190" s="70"/>
      <c r="M1190" s="70"/>
      <c r="N1190" s="40"/>
      <c r="O1190" s="40"/>
      <c r="P1190" s="40"/>
      <c r="Q1190" s="40"/>
      <c r="R1190" s="72"/>
      <c r="S1190" s="40"/>
      <c r="T1190" s="40"/>
      <c r="U1190" s="40"/>
      <c r="V1190" s="40"/>
      <c r="W1190" s="40"/>
      <c r="X1190" s="40"/>
      <c r="Y1190" s="40"/>
      <c r="Z1190" s="40"/>
      <c r="AA1190" s="40"/>
      <c r="AB1190" s="40"/>
      <c r="AC1190" s="40"/>
      <c r="AD1190" s="40"/>
      <c r="AE1190" s="23"/>
    </row>
    <row r="1191" spans="1:31">
      <c r="A1191" s="23"/>
      <c r="B1191" s="40"/>
      <c r="C1191" s="40"/>
      <c r="D1191" s="23"/>
      <c r="E1191" s="23"/>
      <c r="F1191" s="23"/>
      <c r="G1191" s="40"/>
      <c r="H1191" s="40"/>
      <c r="I1191" s="40"/>
      <c r="J1191" s="70"/>
      <c r="K1191" s="40"/>
      <c r="L1191" s="70"/>
      <c r="M1191" s="70"/>
      <c r="N1191" s="40"/>
      <c r="O1191" s="40"/>
      <c r="P1191" s="40"/>
      <c r="Q1191" s="40"/>
      <c r="R1191" s="72"/>
      <c r="S1191" s="40"/>
      <c r="T1191" s="40"/>
      <c r="U1191" s="40"/>
      <c r="V1191" s="40"/>
      <c r="W1191" s="40"/>
      <c r="X1191" s="40"/>
      <c r="Y1191" s="40"/>
      <c r="Z1191" s="40"/>
      <c r="AA1191" s="40"/>
      <c r="AB1191" s="40"/>
      <c r="AC1191" s="40"/>
      <c r="AD1191" s="40"/>
      <c r="AE1191" s="23"/>
    </row>
    <row r="1192" spans="1:31">
      <c r="A1192" s="23"/>
      <c r="B1192" s="40"/>
      <c r="C1192" s="40"/>
      <c r="D1192" s="23"/>
      <c r="E1192" s="23"/>
      <c r="F1192" s="23"/>
      <c r="G1192" s="40"/>
      <c r="H1192" s="40"/>
      <c r="I1192" s="40"/>
      <c r="J1192" s="70"/>
      <c r="K1192" s="40"/>
      <c r="L1192" s="70"/>
      <c r="M1192" s="70"/>
      <c r="N1192" s="40"/>
      <c r="O1192" s="40"/>
      <c r="P1192" s="40"/>
      <c r="Q1192" s="40"/>
      <c r="R1192" s="72"/>
      <c r="S1192" s="40"/>
      <c r="T1192" s="40"/>
      <c r="U1192" s="40"/>
      <c r="V1192" s="40"/>
      <c r="W1192" s="40"/>
      <c r="X1192" s="40"/>
      <c r="Y1192" s="40"/>
      <c r="Z1192" s="40"/>
      <c r="AA1192" s="40"/>
      <c r="AB1192" s="40"/>
      <c r="AC1192" s="40"/>
      <c r="AD1192" s="40"/>
      <c r="AE1192" s="23"/>
    </row>
    <row r="1193" spans="1:31">
      <c r="A1193" s="23"/>
      <c r="B1193" s="40"/>
      <c r="C1193" s="40"/>
      <c r="D1193" s="23"/>
      <c r="E1193" s="23"/>
      <c r="F1193" s="23"/>
      <c r="G1193" s="40"/>
      <c r="H1193" s="40"/>
      <c r="I1193" s="40"/>
      <c r="J1193" s="70"/>
      <c r="K1193" s="40"/>
      <c r="L1193" s="70"/>
      <c r="M1193" s="70"/>
      <c r="N1193" s="40"/>
      <c r="O1193" s="40"/>
      <c r="P1193" s="40"/>
      <c r="Q1193" s="40"/>
      <c r="R1193" s="72"/>
      <c r="S1193" s="40"/>
      <c r="T1193" s="40"/>
      <c r="U1193" s="40"/>
      <c r="V1193" s="40"/>
      <c r="W1193" s="40"/>
      <c r="X1193" s="40"/>
      <c r="Y1193" s="40"/>
      <c r="Z1193" s="40"/>
      <c r="AA1193" s="40"/>
      <c r="AB1193" s="40"/>
      <c r="AC1193" s="40"/>
      <c r="AD1193" s="40"/>
      <c r="AE1193" s="23"/>
    </row>
    <row r="1194" spans="1:31">
      <c r="A1194" s="23"/>
      <c r="B1194" s="40"/>
      <c r="C1194" s="40"/>
      <c r="D1194" s="23"/>
      <c r="E1194" s="23"/>
      <c r="F1194" s="23"/>
      <c r="G1194" s="40"/>
      <c r="H1194" s="40"/>
      <c r="I1194" s="40"/>
      <c r="J1194" s="70"/>
      <c r="K1194" s="40"/>
      <c r="L1194" s="70"/>
      <c r="M1194" s="70"/>
      <c r="N1194" s="40"/>
      <c r="O1194" s="40"/>
      <c r="P1194" s="40"/>
      <c r="Q1194" s="40"/>
      <c r="R1194" s="72"/>
      <c r="S1194" s="40"/>
      <c r="T1194" s="40"/>
      <c r="U1194" s="40"/>
      <c r="V1194" s="40"/>
      <c r="W1194" s="40"/>
      <c r="X1194" s="40"/>
      <c r="Y1194" s="40"/>
      <c r="Z1194" s="40"/>
      <c r="AA1194" s="40"/>
      <c r="AB1194" s="40"/>
      <c r="AC1194" s="40"/>
      <c r="AD1194" s="40"/>
      <c r="AE1194" s="23"/>
    </row>
    <row r="1195" spans="1:31" ht="24" customHeight="1">
      <c r="A1195" s="23"/>
      <c r="B1195" s="40"/>
      <c r="C1195" s="40"/>
      <c r="D1195" s="23"/>
      <c r="E1195" s="23"/>
      <c r="F1195" s="23"/>
      <c r="G1195" s="40"/>
      <c r="H1195" s="40"/>
      <c r="I1195" s="40"/>
      <c r="J1195" s="70"/>
      <c r="K1195" s="40"/>
      <c r="L1195" s="70"/>
      <c r="M1195" s="70"/>
      <c r="N1195" s="40"/>
      <c r="O1195" s="40"/>
      <c r="P1195" s="40"/>
      <c r="Q1195" s="40"/>
      <c r="R1195" s="72"/>
      <c r="S1195" s="40"/>
      <c r="T1195" s="40"/>
      <c r="U1195" s="40"/>
      <c r="V1195" s="40"/>
      <c r="W1195" s="40"/>
      <c r="X1195" s="40"/>
      <c r="Y1195" s="40"/>
      <c r="Z1195" s="40"/>
      <c r="AA1195" s="40"/>
      <c r="AB1195" s="40"/>
      <c r="AC1195" s="40"/>
      <c r="AD1195" s="40"/>
      <c r="AE1195" s="23"/>
    </row>
    <row r="1196" spans="1:31">
      <c r="A1196" s="23"/>
      <c r="B1196" s="40"/>
      <c r="C1196" s="40"/>
      <c r="D1196" s="23"/>
      <c r="E1196" s="23"/>
      <c r="F1196" s="23"/>
      <c r="G1196" s="40"/>
      <c r="H1196" s="40"/>
      <c r="I1196" s="40"/>
      <c r="J1196" s="70"/>
      <c r="K1196" s="40"/>
      <c r="L1196" s="70"/>
      <c r="M1196" s="70"/>
      <c r="N1196" s="40"/>
      <c r="O1196" s="40"/>
      <c r="P1196" s="40"/>
      <c r="Q1196" s="40"/>
      <c r="R1196" s="72"/>
      <c r="S1196" s="40"/>
      <c r="T1196" s="40"/>
      <c r="U1196" s="40"/>
      <c r="V1196" s="40"/>
      <c r="W1196" s="40"/>
      <c r="X1196" s="40"/>
      <c r="Y1196" s="40"/>
      <c r="Z1196" s="40"/>
      <c r="AA1196" s="40"/>
      <c r="AB1196" s="40"/>
      <c r="AC1196" s="40"/>
      <c r="AD1196" s="40"/>
      <c r="AE1196" s="23"/>
    </row>
    <row r="1197" spans="1:31">
      <c r="A1197" s="23"/>
      <c r="B1197" s="40"/>
      <c r="C1197" s="40"/>
      <c r="D1197" s="23"/>
      <c r="E1197" s="23"/>
      <c r="F1197" s="23"/>
      <c r="G1197" s="40"/>
      <c r="H1197" s="40"/>
      <c r="I1197" s="40"/>
      <c r="J1197" s="70"/>
      <c r="K1197" s="40"/>
      <c r="L1197" s="70"/>
      <c r="M1197" s="70"/>
      <c r="N1197" s="40"/>
      <c r="O1197" s="40"/>
      <c r="P1197" s="40"/>
      <c r="Q1197" s="40"/>
      <c r="R1197" s="72"/>
      <c r="S1197" s="40"/>
      <c r="T1197" s="40"/>
      <c r="U1197" s="40"/>
      <c r="V1197" s="40"/>
      <c r="W1197" s="40"/>
      <c r="X1197" s="40"/>
      <c r="Y1197" s="40"/>
      <c r="Z1197" s="40"/>
      <c r="AA1197" s="40"/>
      <c r="AB1197" s="40"/>
      <c r="AC1197" s="40"/>
      <c r="AD1197" s="40"/>
      <c r="AE1197" s="23"/>
    </row>
    <row r="1198" spans="1:31">
      <c r="A1198" s="23"/>
      <c r="B1198" s="40"/>
      <c r="C1198" s="40"/>
      <c r="D1198" s="23"/>
      <c r="E1198" s="23"/>
      <c r="F1198" s="23"/>
      <c r="G1198" s="40"/>
      <c r="H1198" s="40"/>
      <c r="I1198" s="40"/>
      <c r="J1198" s="70"/>
      <c r="K1198" s="40"/>
      <c r="L1198" s="70"/>
      <c r="M1198" s="70"/>
      <c r="N1198" s="40"/>
      <c r="O1198" s="40"/>
      <c r="P1198" s="40"/>
      <c r="Q1198" s="40"/>
      <c r="R1198" s="72"/>
      <c r="S1198" s="40"/>
      <c r="T1198" s="40"/>
      <c r="U1198" s="40"/>
      <c r="V1198" s="40"/>
      <c r="W1198" s="40"/>
      <c r="X1198" s="40"/>
      <c r="Y1198" s="40"/>
      <c r="Z1198" s="40"/>
      <c r="AA1198" s="40"/>
      <c r="AB1198" s="40"/>
      <c r="AC1198" s="40"/>
      <c r="AD1198" s="40"/>
      <c r="AE1198" s="23"/>
    </row>
    <row r="1199" spans="1:31">
      <c r="A1199" s="23"/>
      <c r="B1199" s="40"/>
      <c r="C1199" s="40"/>
      <c r="D1199" s="23"/>
      <c r="E1199" s="23"/>
      <c r="F1199" s="23"/>
      <c r="G1199" s="40"/>
      <c r="H1199" s="40"/>
      <c r="I1199" s="40"/>
      <c r="J1199" s="70"/>
      <c r="K1199" s="40"/>
      <c r="L1199" s="70"/>
      <c r="M1199" s="70"/>
      <c r="N1199" s="40"/>
      <c r="O1199" s="40"/>
      <c r="P1199" s="40"/>
      <c r="Q1199" s="40"/>
      <c r="R1199" s="72"/>
      <c r="S1199" s="40"/>
      <c r="T1199" s="40"/>
      <c r="U1199" s="40"/>
      <c r="V1199" s="40"/>
      <c r="W1199" s="40"/>
      <c r="X1199" s="40"/>
      <c r="Y1199" s="40"/>
      <c r="Z1199" s="40"/>
      <c r="AA1199" s="40"/>
      <c r="AB1199" s="40"/>
      <c r="AC1199" s="40"/>
      <c r="AD1199" s="40"/>
      <c r="AE1199" s="23"/>
    </row>
    <row r="1200" spans="1:31">
      <c r="A1200" s="23"/>
      <c r="B1200" s="40"/>
      <c r="C1200" s="40"/>
      <c r="D1200" s="23"/>
      <c r="E1200" s="23"/>
      <c r="F1200" s="23"/>
      <c r="G1200" s="40"/>
      <c r="H1200" s="40"/>
      <c r="I1200" s="40"/>
      <c r="J1200" s="70"/>
      <c r="K1200" s="40"/>
      <c r="L1200" s="70"/>
      <c r="M1200" s="70"/>
      <c r="N1200" s="40"/>
      <c r="O1200" s="40"/>
      <c r="P1200" s="40"/>
      <c r="Q1200" s="40"/>
      <c r="R1200" s="72"/>
      <c r="S1200" s="40"/>
      <c r="T1200" s="40"/>
      <c r="U1200" s="40"/>
      <c r="V1200" s="40"/>
      <c r="W1200" s="40"/>
      <c r="X1200" s="40"/>
      <c r="Y1200" s="40"/>
      <c r="Z1200" s="40"/>
      <c r="AA1200" s="40"/>
      <c r="AB1200" s="40"/>
      <c r="AC1200" s="40"/>
      <c r="AD1200" s="40"/>
      <c r="AE1200" s="23"/>
    </row>
    <row r="1201" spans="1:31">
      <c r="A1201" s="23"/>
      <c r="B1201" s="40"/>
      <c r="C1201" s="40"/>
      <c r="D1201" s="23"/>
      <c r="E1201" s="23"/>
      <c r="F1201" s="23"/>
      <c r="G1201" s="40"/>
      <c r="H1201" s="40"/>
      <c r="I1201" s="40"/>
      <c r="J1201" s="70"/>
      <c r="K1201" s="40"/>
      <c r="L1201" s="70"/>
      <c r="M1201" s="70"/>
      <c r="N1201" s="40"/>
      <c r="O1201" s="40"/>
      <c r="P1201" s="40"/>
      <c r="Q1201" s="40"/>
      <c r="R1201" s="72"/>
      <c r="S1201" s="40"/>
      <c r="T1201" s="40"/>
      <c r="U1201" s="40"/>
      <c r="V1201" s="40"/>
      <c r="W1201" s="40"/>
      <c r="X1201" s="40"/>
      <c r="Y1201" s="40"/>
      <c r="Z1201" s="40"/>
      <c r="AA1201" s="40"/>
      <c r="AB1201" s="40"/>
      <c r="AC1201" s="40"/>
      <c r="AD1201" s="40"/>
      <c r="AE1201" s="23"/>
    </row>
    <row r="1202" spans="1:31">
      <c r="A1202" s="23"/>
      <c r="B1202" s="40"/>
      <c r="C1202" s="40"/>
      <c r="D1202" s="23"/>
      <c r="E1202" s="23"/>
      <c r="F1202" s="23"/>
      <c r="G1202" s="40"/>
      <c r="H1202" s="40"/>
      <c r="I1202" s="40"/>
      <c r="J1202" s="70"/>
      <c r="K1202" s="40"/>
      <c r="L1202" s="70"/>
      <c r="M1202" s="70"/>
      <c r="N1202" s="40"/>
      <c r="O1202" s="40"/>
      <c r="P1202" s="40"/>
      <c r="Q1202" s="40"/>
      <c r="R1202" s="72"/>
      <c r="S1202" s="40"/>
      <c r="T1202" s="40"/>
      <c r="U1202" s="40"/>
      <c r="V1202" s="40"/>
      <c r="W1202" s="40"/>
      <c r="X1202" s="40"/>
      <c r="Y1202" s="40"/>
      <c r="Z1202" s="40"/>
      <c r="AA1202" s="40"/>
      <c r="AB1202" s="40"/>
      <c r="AC1202" s="40"/>
      <c r="AD1202" s="40"/>
      <c r="AE1202" s="23"/>
    </row>
    <row r="1203" spans="1:31">
      <c r="A1203" s="23"/>
      <c r="B1203" s="40"/>
      <c r="C1203" s="40"/>
      <c r="D1203" s="23"/>
      <c r="E1203" s="23"/>
      <c r="F1203" s="23"/>
      <c r="G1203" s="40"/>
      <c r="H1203" s="40"/>
      <c r="I1203" s="40"/>
      <c r="J1203" s="70"/>
      <c r="K1203" s="40"/>
      <c r="L1203" s="70"/>
      <c r="M1203" s="70"/>
      <c r="N1203" s="40"/>
      <c r="O1203" s="40"/>
      <c r="P1203" s="40"/>
      <c r="Q1203" s="40"/>
      <c r="R1203" s="72"/>
      <c r="S1203" s="40"/>
      <c r="T1203" s="40"/>
      <c r="U1203" s="40"/>
      <c r="V1203" s="40"/>
      <c r="W1203" s="40"/>
      <c r="X1203" s="40"/>
      <c r="Y1203" s="40"/>
      <c r="Z1203" s="40"/>
      <c r="AA1203" s="40"/>
      <c r="AB1203" s="40"/>
      <c r="AC1203" s="40"/>
      <c r="AD1203" s="40"/>
      <c r="AE1203" s="23"/>
    </row>
    <row r="1204" spans="1:31">
      <c r="A1204" s="23"/>
      <c r="B1204" s="40"/>
      <c r="C1204" s="40"/>
      <c r="D1204" s="23"/>
      <c r="E1204" s="23"/>
      <c r="F1204" s="23"/>
      <c r="G1204" s="40"/>
      <c r="H1204" s="40"/>
      <c r="I1204" s="40"/>
      <c r="J1204" s="70"/>
      <c r="K1204" s="40"/>
      <c r="L1204" s="70"/>
      <c r="M1204" s="70"/>
      <c r="N1204" s="40"/>
      <c r="O1204" s="40"/>
      <c r="P1204" s="40"/>
      <c r="Q1204" s="40"/>
      <c r="R1204" s="72"/>
      <c r="S1204" s="40"/>
      <c r="T1204" s="40"/>
      <c r="U1204" s="40"/>
      <c r="V1204" s="40"/>
      <c r="W1204" s="40"/>
      <c r="X1204" s="40"/>
      <c r="Y1204" s="40"/>
      <c r="Z1204" s="40"/>
      <c r="AA1204" s="40"/>
      <c r="AB1204" s="40"/>
      <c r="AC1204" s="40"/>
      <c r="AD1204" s="40"/>
      <c r="AE1204" s="23"/>
    </row>
    <row r="1205" spans="1:31">
      <c r="A1205" s="23"/>
      <c r="B1205" s="40"/>
      <c r="C1205" s="40"/>
      <c r="D1205" s="23"/>
      <c r="E1205" s="23"/>
      <c r="F1205" s="23"/>
      <c r="G1205" s="40"/>
      <c r="H1205" s="40"/>
      <c r="I1205" s="40"/>
      <c r="J1205" s="70"/>
      <c r="K1205" s="40"/>
      <c r="L1205" s="70"/>
      <c r="M1205" s="70"/>
      <c r="N1205" s="40"/>
      <c r="O1205" s="40"/>
      <c r="P1205" s="40"/>
      <c r="Q1205" s="40"/>
      <c r="R1205" s="72"/>
      <c r="S1205" s="40"/>
      <c r="T1205" s="40"/>
      <c r="U1205" s="40"/>
      <c r="V1205" s="40"/>
      <c r="W1205" s="40"/>
      <c r="X1205" s="40"/>
      <c r="Y1205" s="40"/>
      <c r="Z1205" s="40"/>
      <c r="AA1205" s="40"/>
      <c r="AB1205" s="40"/>
      <c r="AC1205" s="40"/>
      <c r="AD1205" s="40"/>
      <c r="AE1205" s="23"/>
    </row>
    <row r="1206" spans="1:31">
      <c r="A1206" s="23"/>
      <c r="B1206" s="40"/>
      <c r="C1206" s="40"/>
      <c r="D1206" s="23"/>
      <c r="E1206" s="23"/>
      <c r="F1206" s="23"/>
      <c r="G1206" s="40"/>
      <c r="H1206" s="40"/>
      <c r="I1206" s="40"/>
      <c r="J1206" s="70"/>
      <c r="K1206" s="40"/>
      <c r="L1206" s="70"/>
      <c r="M1206" s="70"/>
      <c r="N1206" s="40"/>
      <c r="O1206" s="40"/>
      <c r="P1206" s="40"/>
      <c r="Q1206" s="40"/>
      <c r="R1206" s="72"/>
      <c r="S1206" s="40"/>
      <c r="T1206" s="40"/>
      <c r="U1206" s="40"/>
      <c r="V1206" s="40"/>
      <c r="W1206" s="40"/>
      <c r="X1206" s="40"/>
      <c r="Y1206" s="40"/>
      <c r="Z1206" s="40"/>
      <c r="AA1206" s="40"/>
      <c r="AB1206" s="40"/>
      <c r="AC1206" s="40"/>
      <c r="AD1206" s="40"/>
      <c r="AE1206" s="23"/>
    </row>
    <row r="1207" spans="1:31">
      <c r="A1207" s="23"/>
      <c r="B1207" s="40"/>
      <c r="C1207" s="40"/>
      <c r="D1207" s="23"/>
      <c r="E1207" s="23"/>
      <c r="F1207" s="23"/>
      <c r="G1207" s="40"/>
      <c r="H1207" s="40"/>
      <c r="I1207" s="40"/>
      <c r="J1207" s="70"/>
      <c r="K1207" s="40"/>
      <c r="L1207" s="70"/>
      <c r="M1207" s="70"/>
      <c r="N1207" s="40"/>
      <c r="O1207" s="40"/>
      <c r="P1207" s="40"/>
      <c r="Q1207" s="40"/>
      <c r="R1207" s="72"/>
      <c r="S1207" s="40"/>
      <c r="T1207" s="40"/>
      <c r="U1207" s="40"/>
      <c r="V1207" s="40"/>
      <c r="W1207" s="40"/>
      <c r="X1207" s="40"/>
      <c r="Y1207" s="40"/>
      <c r="Z1207" s="40"/>
      <c r="AA1207" s="40"/>
      <c r="AB1207" s="40"/>
      <c r="AC1207" s="40"/>
      <c r="AD1207" s="40"/>
      <c r="AE1207" s="23"/>
    </row>
    <row r="1208" spans="1:31" ht="24" customHeight="1">
      <c r="A1208" s="23"/>
      <c r="B1208" s="40"/>
      <c r="C1208" s="40"/>
      <c r="D1208" s="23"/>
      <c r="E1208" s="23"/>
      <c r="F1208" s="23"/>
      <c r="G1208" s="40"/>
      <c r="H1208" s="40"/>
      <c r="I1208" s="40"/>
      <c r="J1208" s="70"/>
      <c r="K1208" s="40"/>
      <c r="L1208" s="70"/>
      <c r="M1208" s="70"/>
      <c r="N1208" s="40"/>
      <c r="O1208" s="40"/>
      <c r="P1208" s="40"/>
      <c r="Q1208" s="40"/>
      <c r="R1208" s="72"/>
      <c r="S1208" s="40"/>
      <c r="T1208" s="40"/>
      <c r="U1208" s="40"/>
      <c r="V1208" s="40"/>
      <c r="W1208" s="40"/>
      <c r="X1208" s="40"/>
      <c r="Y1208" s="40"/>
      <c r="Z1208" s="40"/>
      <c r="AA1208" s="40"/>
      <c r="AB1208" s="40"/>
      <c r="AC1208" s="40"/>
      <c r="AD1208" s="40"/>
      <c r="AE1208" s="23"/>
    </row>
    <row r="1209" spans="1:31">
      <c r="A1209" s="23"/>
      <c r="B1209" s="40"/>
      <c r="C1209" s="40"/>
      <c r="D1209" s="23"/>
      <c r="E1209" s="23"/>
      <c r="F1209" s="23"/>
      <c r="G1209" s="40"/>
      <c r="H1209" s="40"/>
      <c r="I1209" s="40"/>
      <c r="J1209" s="70"/>
      <c r="K1209" s="40"/>
      <c r="L1209" s="70"/>
      <c r="M1209" s="70"/>
      <c r="N1209" s="40"/>
      <c r="O1209" s="40"/>
      <c r="P1209" s="40"/>
      <c r="Q1209" s="40"/>
      <c r="R1209" s="72"/>
      <c r="S1209" s="40"/>
      <c r="T1209" s="40"/>
      <c r="U1209" s="40"/>
      <c r="V1209" s="40"/>
      <c r="W1209" s="40"/>
      <c r="X1209" s="40"/>
      <c r="Y1209" s="40"/>
      <c r="Z1209" s="40"/>
      <c r="AA1209" s="40"/>
      <c r="AB1209" s="40"/>
      <c r="AC1209" s="40"/>
      <c r="AD1209" s="40"/>
      <c r="AE1209" s="23"/>
    </row>
    <row r="1210" spans="1:31">
      <c r="A1210" s="23"/>
      <c r="B1210" s="40"/>
      <c r="C1210" s="40"/>
      <c r="D1210" s="23"/>
      <c r="E1210" s="23"/>
      <c r="F1210" s="23"/>
      <c r="G1210" s="40"/>
      <c r="H1210" s="40"/>
      <c r="I1210" s="40"/>
      <c r="J1210" s="70"/>
      <c r="K1210" s="40"/>
      <c r="L1210" s="70"/>
      <c r="M1210" s="70"/>
      <c r="N1210" s="40"/>
      <c r="O1210" s="40"/>
      <c r="P1210" s="40"/>
      <c r="Q1210" s="40"/>
      <c r="R1210" s="72"/>
      <c r="S1210" s="40"/>
      <c r="T1210" s="40"/>
      <c r="U1210" s="40"/>
      <c r="V1210" s="40"/>
      <c r="W1210" s="40"/>
      <c r="X1210" s="40"/>
      <c r="Y1210" s="40"/>
      <c r="Z1210" s="40"/>
      <c r="AA1210" s="40"/>
      <c r="AB1210" s="40"/>
      <c r="AC1210" s="40"/>
      <c r="AD1210" s="40"/>
      <c r="AE1210" s="23"/>
    </row>
    <row r="1211" spans="1:31">
      <c r="A1211" s="23"/>
      <c r="B1211" s="40"/>
      <c r="C1211" s="40"/>
      <c r="D1211" s="23"/>
      <c r="E1211" s="23"/>
      <c r="F1211" s="23"/>
      <c r="G1211" s="40"/>
      <c r="H1211" s="40"/>
      <c r="I1211" s="40"/>
      <c r="J1211" s="70"/>
      <c r="K1211" s="40"/>
      <c r="L1211" s="70"/>
      <c r="M1211" s="70"/>
      <c r="N1211" s="40"/>
      <c r="O1211" s="40"/>
      <c r="P1211" s="40"/>
      <c r="Q1211" s="40"/>
      <c r="R1211" s="72"/>
      <c r="S1211" s="40"/>
      <c r="T1211" s="40"/>
      <c r="U1211" s="40"/>
      <c r="V1211" s="40"/>
      <c r="W1211" s="40"/>
      <c r="X1211" s="40"/>
      <c r="Y1211" s="40"/>
      <c r="Z1211" s="40"/>
      <c r="AA1211" s="40"/>
      <c r="AB1211" s="40"/>
      <c r="AC1211" s="40"/>
      <c r="AD1211" s="40"/>
      <c r="AE1211" s="23"/>
    </row>
    <row r="1212" spans="1:31">
      <c r="A1212" s="23"/>
      <c r="B1212" s="40"/>
      <c r="C1212" s="40"/>
      <c r="D1212" s="23"/>
      <c r="E1212" s="23"/>
      <c r="F1212" s="23"/>
      <c r="G1212" s="40"/>
      <c r="H1212" s="40"/>
      <c r="I1212" s="40"/>
      <c r="J1212" s="70"/>
      <c r="K1212" s="40"/>
      <c r="L1212" s="70"/>
      <c r="M1212" s="70"/>
      <c r="N1212" s="40"/>
      <c r="O1212" s="40"/>
      <c r="P1212" s="40"/>
      <c r="Q1212" s="40"/>
      <c r="R1212" s="72"/>
      <c r="S1212" s="40"/>
      <c r="T1212" s="40"/>
      <c r="U1212" s="40"/>
      <c r="V1212" s="40"/>
      <c r="W1212" s="40"/>
      <c r="X1212" s="40"/>
      <c r="Y1212" s="40"/>
      <c r="Z1212" s="40"/>
      <c r="AA1212" s="40"/>
      <c r="AB1212" s="40"/>
      <c r="AC1212" s="40"/>
      <c r="AD1212" s="40"/>
      <c r="AE1212" s="23"/>
    </row>
    <row r="1213" spans="1:31" ht="24" customHeight="1">
      <c r="A1213" s="23"/>
      <c r="B1213" s="40"/>
      <c r="C1213" s="40"/>
      <c r="D1213" s="23"/>
      <c r="E1213" s="23"/>
      <c r="F1213" s="23"/>
      <c r="G1213" s="40"/>
      <c r="H1213" s="40"/>
      <c r="I1213" s="40"/>
      <c r="J1213" s="70"/>
      <c r="K1213" s="40"/>
      <c r="L1213" s="70"/>
      <c r="M1213" s="70"/>
      <c r="N1213" s="40"/>
      <c r="O1213" s="40"/>
      <c r="P1213" s="40"/>
      <c r="Q1213" s="40"/>
      <c r="R1213" s="72"/>
      <c r="S1213" s="40"/>
      <c r="T1213" s="40"/>
      <c r="U1213" s="40"/>
      <c r="V1213" s="40"/>
      <c r="W1213" s="40"/>
      <c r="X1213" s="40"/>
      <c r="Y1213" s="40"/>
      <c r="Z1213" s="40"/>
      <c r="AA1213" s="40"/>
      <c r="AB1213" s="40"/>
      <c r="AC1213" s="40"/>
      <c r="AD1213" s="40"/>
      <c r="AE1213" s="23"/>
    </row>
    <row r="1214" spans="1:31">
      <c r="A1214" s="23"/>
      <c r="B1214" s="40"/>
      <c r="C1214" s="40"/>
      <c r="D1214" s="23"/>
      <c r="E1214" s="23"/>
      <c r="F1214" s="23"/>
      <c r="G1214" s="40"/>
      <c r="H1214" s="40"/>
      <c r="I1214" s="40"/>
      <c r="J1214" s="70"/>
      <c r="K1214" s="40"/>
      <c r="L1214" s="70"/>
      <c r="M1214" s="70"/>
      <c r="N1214" s="40"/>
      <c r="O1214" s="40"/>
      <c r="P1214" s="40"/>
      <c r="Q1214" s="40"/>
      <c r="R1214" s="72"/>
      <c r="S1214" s="40"/>
      <c r="T1214" s="40"/>
      <c r="U1214" s="40"/>
      <c r="V1214" s="40"/>
      <c r="W1214" s="40"/>
      <c r="X1214" s="40"/>
      <c r="Y1214" s="40"/>
      <c r="Z1214" s="40"/>
      <c r="AA1214" s="40"/>
      <c r="AB1214" s="40"/>
      <c r="AC1214" s="40"/>
      <c r="AD1214" s="40"/>
      <c r="AE1214" s="23"/>
    </row>
    <row r="1215" spans="1:31">
      <c r="A1215" s="23"/>
      <c r="B1215" s="40"/>
      <c r="C1215" s="40"/>
      <c r="D1215" s="23"/>
      <c r="E1215" s="23"/>
      <c r="F1215" s="23"/>
      <c r="G1215" s="40"/>
      <c r="H1215" s="40"/>
      <c r="I1215" s="40"/>
      <c r="J1215" s="70"/>
      <c r="K1215" s="40"/>
      <c r="L1215" s="70"/>
      <c r="M1215" s="70"/>
      <c r="N1215" s="40"/>
      <c r="O1215" s="40"/>
      <c r="P1215" s="40"/>
      <c r="Q1215" s="40"/>
      <c r="R1215" s="72"/>
      <c r="S1215" s="40"/>
      <c r="T1215" s="40"/>
      <c r="U1215" s="40"/>
      <c r="V1215" s="40"/>
      <c r="W1215" s="40"/>
      <c r="X1215" s="40"/>
      <c r="Y1215" s="40"/>
      <c r="Z1215" s="40"/>
      <c r="AA1215" s="40"/>
      <c r="AB1215" s="40"/>
      <c r="AC1215" s="40"/>
      <c r="AD1215" s="40"/>
      <c r="AE1215" s="23"/>
    </row>
    <row r="1216" spans="1:31">
      <c r="A1216" s="23"/>
      <c r="B1216" s="40"/>
      <c r="C1216" s="40"/>
      <c r="D1216" s="23"/>
      <c r="E1216" s="23"/>
      <c r="F1216" s="23"/>
      <c r="G1216" s="40"/>
      <c r="H1216" s="40"/>
      <c r="I1216" s="40"/>
      <c r="J1216" s="70"/>
      <c r="K1216" s="40"/>
      <c r="L1216" s="70"/>
      <c r="M1216" s="70"/>
      <c r="N1216" s="40"/>
      <c r="O1216" s="40"/>
      <c r="P1216" s="40"/>
      <c r="Q1216" s="40"/>
      <c r="R1216" s="72"/>
      <c r="S1216" s="40"/>
      <c r="T1216" s="40"/>
      <c r="U1216" s="40"/>
      <c r="V1216" s="40"/>
      <c r="W1216" s="40"/>
      <c r="X1216" s="40"/>
      <c r="Y1216" s="40"/>
      <c r="Z1216" s="40"/>
      <c r="AA1216" s="40"/>
      <c r="AB1216" s="40"/>
      <c r="AC1216" s="40"/>
      <c r="AD1216" s="40"/>
      <c r="AE1216" s="23"/>
    </row>
    <row r="1217" spans="1:31">
      <c r="A1217" s="23"/>
      <c r="B1217" s="40"/>
      <c r="C1217" s="40"/>
      <c r="D1217" s="23"/>
      <c r="E1217" s="23"/>
      <c r="F1217" s="23"/>
      <c r="G1217" s="40"/>
      <c r="H1217" s="40"/>
      <c r="I1217" s="40"/>
      <c r="J1217" s="70"/>
      <c r="K1217" s="40"/>
      <c r="L1217" s="70"/>
      <c r="M1217" s="70"/>
      <c r="N1217" s="40"/>
      <c r="O1217" s="40"/>
      <c r="P1217" s="40"/>
      <c r="Q1217" s="40"/>
      <c r="R1217" s="72"/>
      <c r="S1217" s="40"/>
      <c r="T1217" s="40"/>
      <c r="U1217" s="40"/>
      <c r="V1217" s="40"/>
      <c r="W1217" s="40"/>
      <c r="X1217" s="40"/>
      <c r="Y1217" s="40"/>
      <c r="Z1217" s="40"/>
      <c r="AA1217" s="40"/>
      <c r="AB1217" s="40"/>
      <c r="AC1217" s="40"/>
      <c r="AD1217" s="40"/>
      <c r="AE1217" s="23"/>
    </row>
    <row r="1218" spans="1:31" ht="24" customHeight="1">
      <c r="A1218" s="23"/>
      <c r="B1218" s="40"/>
      <c r="C1218" s="40"/>
      <c r="D1218" s="23"/>
      <c r="E1218" s="23"/>
      <c r="F1218" s="23"/>
      <c r="G1218" s="40"/>
      <c r="H1218" s="40"/>
      <c r="I1218" s="40"/>
      <c r="J1218" s="70"/>
      <c r="K1218" s="40"/>
      <c r="L1218" s="70"/>
      <c r="M1218" s="70"/>
      <c r="N1218" s="40"/>
      <c r="O1218" s="40"/>
      <c r="P1218" s="40"/>
      <c r="Q1218" s="40"/>
      <c r="R1218" s="72"/>
      <c r="S1218" s="40"/>
      <c r="T1218" s="40"/>
      <c r="U1218" s="40"/>
      <c r="V1218" s="40"/>
      <c r="W1218" s="40"/>
      <c r="X1218" s="40"/>
      <c r="Y1218" s="40"/>
      <c r="Z1218" s="40"/>
      <c r="AA1218" s="40"/>
      <c r="AB1218" s="40"/>
      <c r="AC1218" s="40"/>
      <c r="AD1218" s="40"/>
      <c r="AE1218" s="23"/>
    </row>
    <row r="1219" spans="1:31">
      <c r="A1219" s="23"/>
      <c r="B1219" s="40"/>
      <c r="C1219" s="40"/>
      <c r="D1219" s="23"/>
      <c r="E1219" s="23"/>
      <c r="F1219" s="23"/>
      <c r="G1219" s="40"/>
      <c r="H1219" s="40"/>
      <c r="I1219" s="40"/>
      <c r="J1219" s="70"/>
      <c r="K1219" s="40"/>
      <c r="L1219" s="70"/>
      <c r="M1219" s="70"/>
      <c r="N1219" s="40"/>
      <c r="O1219" s="40"/>
      <c r="P1219" s="40"/>
      <c r="Q1219" s="40"/>
      <c r="R1219" s="72"/>
      <c r="S1219" s="40"/>
      <c r="T1219" s="40"/>
      <c r="U1219" s="40"/>
      <c r="V1219" s="40"/>
      <c r="W1219" s="40"/>
      <c r="X1219" s="40"/>
      <c r="Y1219" s="40"/>
      <c r="Z1219" s="40"/>
      <c r="AA1219" s="40"/>
      <c r="AB1219" s="40"/>
      <c r="AC1219" s="40"/>
      <c r="AD1219" s="40"/>
      <c r="AE1219" s="23"/>
    </row>
    <row r="1220" spans="1:31">
      <c r="A1220" s="23"/>
      <c r="B1220" s="40"/>
      <c r="C1220" s="40"/>
      <c r="D1220" s="23"/>
      <c r="E1220" s="23"/>
      <c r="F1220" s="23"/>
      <c r="G1220" s="40"/>
      <c r="H1220" s="40"/>
      <c r="I1220" s="40"/>
      <c r="J1220" s="70"/>
      <c r="K1220" s="40"/>
      <c r="L1220" s="70"/>
      <c r="M1220" s="70"/>
      <c r="N1220" s="40"/>
      <c r="O1220" s="40"/>
      <c r="P1220" s="40"/>
      <c r="Q1220" s="40"/>
      <c r="R1220" s="72"/>
      <c r="S1220" s="40"/>
      <c r="T1220" s="40"/>
      <c r="U1220" s="40"/>
      <c r="V1220" s="40"/>
      <c r="W1220" s="40"/>
      <c r="X1220" s="40"/>
      <c r="Y1220" s="40"/>
      <c r="Z1220" s="40"/>
      <c r="AA1220" s="40"/>
      <c r="AB1220" s="40"/>
      <c r="AC1220" s="40"/>
      <c r="AD1220" s="40"/>
      <c r="AE1220" s="23"/>
    </row>
    <row r="1221" spans="1:31">
      <c r="A1221" s="23"/>
      <c r="B1221" s="40"/>
      <c r="C1221" s="40"/>
      <c r="D1221" s="23"/>
      <c r="E1221" s="23"/>
      <c r="F1221" s="23"/>
      <c r="G1221" s="40"/>
      <c r="H1221" s="40"/>
      <c r="I1221" s="40"/>
      <c r="J1221" s="70"/>
      <c r="K1221" s="40"/>
      <c r="L1221" s="70"/>
      <c r="M1221" s="70"/>
      <c r="N1221" s="40"/>
      <c r="O1221" s="40"/>
      <c r="P1221" s="40"/>
      <c r="Q1221" s="40"/>
      <c r="R1221" s="72"/>
      <c r="S1221" s="40"/>
      <c r="T1221" s="40"/>
      <c r="U1221" s="40"/>
      <c r="V1221" s="40"/>
      <c r="W1221" s="40"/>
      <c r="X1221" s="40"/>
      <c r="Y1221" s="40"/>
      <c r="Z1221" s="40"/>
      <c r="AA1221" s="40"/>
      <c r="AB1221" s="40"/>
      <c r="AC1221" s="40"/>
      <c r="AD1221" s="40"/>
      <c r="AE1221" s="23"/>
    </row>
    <row r="1222" spans="1:31">
      <c r="A1222" s="23"/>
      <c r="B1222" s="40"/>
      <c r="C1222" s="40"/>
      <c r="D1222" s="23"/>
      <c r="E1222" s="23"/>
      <c r="F1222" s="23"/>
      <c r="G1222" s="40"/>
      <c r="H1222" s="40"/>
      <c r="I1222" s="40"/>
      <c r="J1222" s="70"/>
      <c r="K1222" s="40"/>
      <c r="L1222" s="70"/>
      <c r="M1222" s="70"/>
      <c r="N1222" s="40"/>
      <c r="O1222" s="40"/>
      <c r="P1222" s="40"/>
      <c r="Q1222" s="40"/>
      <c r="R1222" s="72"/>
      <c r="S1222" s="40"/>
      <c r="T1222" s="40"/>
      <c r="U1222" s="40"/>
      <c r="V1222" s="40"/>
      <c r="W1222" s="40"/>
      <c r="X1222" s="40"/>
      <c r="Y1222" s="40"/>
      <c r="Z1222" s="40"/>
      <c r="AA1222" s="40"/>
      <c r="AB1222" s="40"/>
      <c r="AC1222" s="40"/>
      <c r="AD1222" s="40"/>
      <c r="AE1222" s="23"/>
    </row>
    <row r="1223" spans="1:31">
      <c r="A1223" s="23"/>
      <c r="B1223" s="40"/>
      <c r="C1223" s="40"/>
      <c r="D1223" s="23"/>
      <c r="E1223" s="23"/>
      <c r="F1223" s="23"/>
      <c r="G1223" s="40"/>
      <c r="H1223" s="40"/>
      <c r="I1223" s="40"/>
      <c r="J1223" s="70"/>
      <c r="K1223" s="40"/>
      <c r="L1223" s="70"/>
      <c r="M1223" s="70"/>
      <c r="N1223" s="40"/>
      <c r="O1223" s="40"/>
      <c r="P1223" s="40"/>
      <c r="Q1223" s="40"/>
      <c r="R1223" s="72"/>
      <c r="S1223" s="40"/>
      <c r="T1223" s="40"/>
      <c r="U1223" s="40"/>
      <c r="V1223" s="40"/>
      <c r="W1223" s="40"/>
      <c r="X1223" s="40"/>
      <c r="Y1223" s="40"/>
      <c r="Z1223" s="40"/>
      <c r="AA1223" s="40"/>
      <c r="AB1223" s="40"/>
      <c r="AC1223" s="40"/>
      <c r="AD1223" s="40"/>
      <c r="AE1223" s="23"/>
    </row>
    <row r="1224" spans="1:31">
      <c r="A1224" s="23"/>
      <c r="B1224" s="40"/>
      <c r="C1224" s="40"/>
      <c r="D1224" s="23"/>
      <c r="E1224" s="23"/>
      <c r="F1224" s="23"/>
      <c r="G1224" s="40"/>
      <c r="H1224" s="40"/>
      <c r="I1224" s="40"/>
      <c r="J1224" s="70"/>
      <c r="K1224" s="40"/>
      <c r="L1224" s="70"/>
      <c r="M1224" s="70"/>
      <c r="N1224" s="40"/>
      <c r="O1224" s="40"/>
      <c r="P1224" s="40"/>
      <c r="Q1224" s="40"/>
      <c r="R1224" s="72"/>
      <c r="S1224" s="40"/>
      <c r="T1224" s="40"/>
      <c r="U1224" s="40"/>
      <c r="V1224" s="40"/>
      <c r="W1224" s="40"/>
      <c r="X1224" s="40"/>
      <c r="Y1224" s="40"/>
      <c r="Z1224" s="40"/>
      <c r="AA1224" s="40"/>
      <c r="AB1224" s="40"/>
      <c r="AC1224" s="40"/>
      <c r="AD1224" s="40"/>
      <c r="AE1224" s="23"/>
    </row>
    <row r="1225" spans="1:31">
      <c r="A1225" s="23"/>
      <c r="B1225" s="40"/>
      <c r="C1225" s="40"/>
      <c r="D1225" s="23"/>
      <c r="E1225" s="23"/>
      <c r="F1225" s="23"/>
      <c r="G1225" s="40"/>
      <c r="H1225" s="40"/>
      <c r="I1225" s="40"/>
      <c r="J1225" s="70"/>
      <c r="K1225" s="40"/>
      <c r="L1225" s="70"/>
      <c r="M1225" s="70"/>
      <c r="N1225" s="40"/>
      <c r="O1225" s="40"/>
      <c r="P1225" s="40"/>
      <c r="Q1225" s="40"/>
      <c r="R1225" s="72"/>
      <c r="S1225" s="40"/>
      <c r="T1225" s="40"/>
      <c r="U1225" s="40"/>
      <c r="V1225" s="40"/>
      <c r="W1225" s="40"/>
      <c r="X1225" s="40"/>
      <c r="Y1225" s="40"/>
      <c r="Z1225" s="40"/>
      <c r="AA1225" s="40"/>
      <c r="AB1225" s="40"/>
      <c r="AC1225" s="40"/>
      <c r="AD1225" s="40"/>
      <c r="AE1225" s="23"/>
    </row>
    <row r="1226" spans="1:31">
      <c r="A1226" s="23"/>
      <c r="B1226" s="40"/>
      <c r="C1226" s="40"/>
      <c r="D1226" s="23"/>
      <c r="E1226" s="23"/>
      <c r="F1226" s="23"/>
      <c r="G1226" s="40"/>
      <c r="H1226" s="40"/>
      <c r="I1226" s="40"/>
      <c r="J1226" s="70"/>
      <c r="K1226" s="40"/>
      <c r="L1226" s="70"/>
      <c r="M1226" s="70"/>
      <c r="N1226" s="40"/>
      <c r="O1226" s="40"/>
      <c r="P1226" s="40"/>
      <c r="Q1226" s="40"/>
      <c r="R1226" s="72"/>
      <c r="S1226" s="40"/>
      <c r="T1226" s="40"/>
      <c r="U1226" s="40"/>
      <c r="V1226" s="40"/>
      <c r="W1226" s="40"/>
      <c r="X1226" s="40"/>
      <c r="Y1226" s="40"/>
      <c r="Z1226" s="40"/>
      <c r="AA1226" s="40"/>
      <c r="AB1226" s="40"/>
      <c r="AC1226" s="40"/>
      <c r="AD1226" s="40"/>
      <c r="AE1226" s="23"/>
    </row>
    <row r="1227" spans="1:31">
      <c r="A1227" s="23"/>
      <c r="B1227" s="40"/>
      <c r="C1227" s="40"/>
      <c r="D1227" s="23"/>
      <c r="E1227" s="23"/>
      <c r="F1227" s="23"/>
      <c r="G1227" s="40"/>
      <c r="H1227" s="40"/>
      <c r="I1227" s="40"/>
      <c r="J1227" s="70"/>
      <c r="K1227" s="40"/>
      <c r="L1227" s="70"/>
      <c r="M1227" s="70"/>
      <c r="N1227" s="40"/>
      <c r="O1227" s="40"/>
      <c r="P1227" s="40"/>
      <c r="Q1227" s="40"/>
      <c r="R1227" s="72"/>
      <c r="S1227" s="40"/>
      <c r="T1227" s="40"/>
      <c r="U1227" s="40"/>
      <c r="V1227" s="40"/>
      <c r="W1227" s="40"/>
      <c r="X1227" s="40"/>
      <c r="Y1227" s="40"/>
      <c r="Z1227" s="40"/>
      <c r="AA1227" s="40"/>
      <c r="AB1227" s="40"/>
      <c r="AC1227" s="40"/>
      <c r="AD1227" s="40"/>
      <c r="AE1227" s="23"/>
    </row>
    <row r="1228" spans="1:31">
      <c r="A1228" s="23"/>
      <c r="B1228" s="40"/>
      <c r="C1228" s="40"/>
      <c r="D1228" s="23"/>
      <c r="E1228" s="23"/>
      <c r="F1228" s="23"/>
      <c r="G1228" s="40"/>
      <c r="H1228" s="40"/>
      <c r="I1228" s="40"/>
      <c r="J1228" s="70"/>
      <c r="K1228" s="40"/>
      <c r="L1228" s="70"/>
      <c r="M1228" s="70"/>
      <c r="N1228" s="40"/>
      <c r="O1228" s="40"/>
      <c r="P1228" s="40"/>
      <c r="Q1228" s="40"/>
      <c r="R1228" s="72"/>
      <c r="S1228" s="40"/>
      <c r="T1228" s="40"/>
      <c r="U1228" s="40"/>
      <c r="V1228" s="40"/>
      <c r="W1228" s="40"/>
      <c r="X1228" s="40"/>
      <c r="Y1228" s="40"/>
      <c r="Z1228" s="40"/>
      <c r="AA1228" s="40"/>
      <c r="AB1228" s="40"/>
      <c r="AC1228" s="40"/>
      <c r="AD1228" s="40"/>
      <c r="AE1228" s="23"/>
    </row>
    <row r="1229" spans="1:31" ht="24" customHeight="1">
      <c r="A1229" s="23"/>
      <c r="B1229" s="40"/>
      <c r="C1229" s="40"/>
      <c r="D1229" s="23"/>
      <c r="E1229" s="23"/>
      <c r="F1229" s="23"/>
      <c r="G1229" s="40"/>
      <c r="H1229" s="40"/>
      <c r="I1229" s="40"/>
      <c r="J1229" s="70"/>
      <c r="K1229" s="40"/>
      <c r="L1229" s="70"/>
      <c r="M1229" s="70"/>
      <c r="N1229" s="40"/>
      <c r="O1229" s="40"/>
      <c r="P1229" s="40"/>
      <c r="Q1229" s="40"/>
      <c r="R1229" s="72"/>
      <c r="S1229" s="40"/>
      <c r="T1229" s="40"/>
      <c r="U1229" s="40"/>
      <c r="V1229" s="40"/>
      <c r="W1229" s="40"/>
      <c r="X1229" s="40"/>
      <c r="Y1229" s="40"/>
      <c r="Z1229" s="40"/>
      <c r="AA1229" s="40"/>
      <c r="AB1229" s="40"/>
      <c r="AC1229" s="40"/>
      <c r="AD1229" s="40"/>
      <c r="AE1229" s="23"/>
    </row>
    <row r="1230" spans="1:31">
      <c r="A1230" s="23"/>
      <c r="B1230" s="40"/>
      <c r="C1230" s="40"/>
      <c r="D1230" s="23"/>
      <c r="E1230" s="23"/>
      <c r="F1230" s="23"/>
      <c r="G1230" s="40"/>
      <c r="H1230" s="40"/>
      <c r="I1230" s="40"/>
      <c r="J1230" s="70"/>
      <c r="K1230" s="40"/>
      <c r="L1230" s="70"/>
      <c r="M1230" s="70"/>
      <c r="N1230" s="40"/>
      <c r="O1230" s="40"/>
      <c r="P1230" s="40"/>
      <c r="Q1230" s="40"/>
      <c r="R1230" s="72"/>
      <c r="S1230" s="40"/>
      <c r="T1230" s="40"/>
      <c r="U1230" s="40"/>
      <c r="V1230" s="40"/>
      <c r="W1230" s="40"/>
      <c r="X1230" s="40"/>
      <c r="Y1230" s="40"/>
      <c r="Z1230" s="40"/>
      <c r="AA1230" s="40"/>
      <c r="AB1230" s="40"/>
      <c r="AC1230" s="40"/>
      <c r="AD1230" s="40"/>
      <c r="AE1230" s="23"/>
    </row>
    <row r="1231" spans="1:31">
      <c r="A1231" s="23"/>
      <c r="B1231" s="40"/>
      <c r="C1231" s="40"/>
      <c r="D1231" s="23"/>
      <c r="E1231" s="23"/>
      <c r="F1231" s="23"/>
      <c r="G1231" s="40"/>
      <c r="H1231" s="40"/>
      <c r="I1231" s="40"/>
      <c r="J1231" s="70"/>
      <c r="K1231" s="40"/>
      <c r="L1231" s="70"/>
      <c r="M1231" s="70"/>
      <c r="N1231" s="40"/>
      <c r="O1231" s="40"/>
      <c r="P1231" s="40"/>
      <c r="Q1231" s="40"/>
      <c r="R1231" s="72"/>
      <c r="S1231" s="40"/>
      <c r="T1231" s="40"/>
      <c r="U1231" s="40"/>
      <c r="V1231" s="40"/>
      <c r="W1231" s="40"/>
      <c r="X1231" s="40"/>
      <c r="Y1231" s="40"/>
      <c r="Z1231" s="40"/>
      <c r="AA1231" s="40"/>
      <c r="AB1231" s="40"/>
      <c r="AC1231" s="40"/>
      <c r="AD1231" s="40"/>
      <c r="AE1231" s="23"/>
    </row>
    <row r="1232" spans="1:31">
      <c r="A1232" s="23"/>
      <c r="B1232" s="40"/>
      <c r="C1232" s="40"/>
      <c r="D1232" s="23"/>
      <c r="E1232" s="23"/>
      <c r="F1232" s="23"/>
      <c r="G1232" s="40"/>
      <c r="H1232" s="40"/>
      <c r="I1232" s="40"/>
      <c r="J1232" s="70"/>
      <c r="K1232" s="40"/>
      <c r="L1232" s="70"/>
      <c r="M1232" s="70"/>
      <c r="N1232" s="40"/>
      <c r="O1232" s="40"/>
      <c r="P1232" s="40"/>
      <c r="Q1232" s="40"/>
      <c r="R1232" s="72"/>
      <c r="S1232" s="40"/>
      <c r="T1232" s="40"/>
      <c r="U1232" s="40"/>
      <c r="V1232" s="40"/>
      <c r="W1232" s="40"/>
      <c r="X1232" s="40"/>
      <c r="Y1232" s="40"/>
      <c r="Z1232" s="40"/>
      <c r="AA1232" s="40"/>
      <c r="AB1232" s="40"/>
      <c r="AC1232" s="40"/>
      <c r="AD1232" s="40"/>
      <c r="AE1232" s="23"/>
    </row>
    <row r="1233" spans="1:31">
      <c r="A1233" s="23"/>
      <c r="B1233" s="40"/>
      <c r="C1233" s="40"/>
      <c r="D1233" s="23"/>
      <c r="E1233" s="23"/>
      <c r="F1233" s="23"/>
      <c r="G1233" s="40"/>
      <c r="H1233" s="40"/>
      <c r="I1233" s="40"/>
      <c r="J1233" s="70"/>
      <c r="K1233" s="40"/>
      <c r="L1233" s="70"/>
      <c r="M1233" s="70"/>
      <c r="N1233" s="40"/>
      <c r="O1233" s="40"/>
      <c r="P1233" s="40"/>
      <c r="Q1233" s="40"/>
      <c r="R1233" s="72"/>
      <c r="S1233" s="40"/>
      <c r="T1233" s="40"/>
      <c r="U1233" s="40"/>
      <c r="V1233" s="40"/>
      <c r="W1233" s="40"/>
      <c r="X1233" s="40"/>
      <c r="Y1233" s="40"/>
      <c r="Z1233" s="40"/>
      <c r="AA1233" s="40"/>
      <c r="AB1233" s="40"/>
      <c r="AC1233" s="40"/>
      <c r="AD1233" s="40"/>
      <c r="AE1233" s="23"/>
    </row>
    <row r="1234" spans="1:31" ht="24" customHeight="1">
      <c r="A1234" s="23"/>
      <c r="B1234" s="40"/>
      <c r="C1234" s="40"/>
      <c r="D1234" s="23"/>
      <c r="E1234" s="23"/>
      <c r="F1234" s="23"/>
      <c r="G1234" s="40"/>
      <c r="H1234" s="40"/>
      <c r="I1234" s="40"/>
      <c r="J1234" s="70"/>
      <c r="K1234" s="40"/>
      <c r="L1234" s="70"/>
      <c r="M1234" s="70"/>
      <c r="N1234" s="40"/>
      <c r="O1234" s="40"/>
      <c r="P1234" s="40"/>
      <c r="Q1234" s="40"/>
      <c r="R1234" s="72"/>
      <c r="S1234" s="40"/>
      <c r="T1234" s="40"/>
      <c r="U1234" s="40"/>
      <c r="V1234" s="40"/>
      <c r="W1234" s="40"/>
      <c r="X1234" s="40"/>
      <c r="Y1234" s="40"/>
      <c r="Z1234" s="40"/>
      <c r="AA1234" s="40"/>
      <c r="AB1234" s="40"/>
      <c r="AC1234" s="40"/>
      <c r="AD1234" s="40"/>
      <c r="AE1234" s="23"/>
    </row>
    <row r="1235" spans="1:31">
      <c r="A1235" s="23"/>
      <c r="B1235" s="40"/>
      <c r="C1235" s="40"/>
      <c r="D1235" s="23"/>
      <c r="E1235" s="23"/>
      <c r="F1235" s="23"/>
      <c r="G1235" s="40"/>
      <c r="H1235" s="40"/>
      <c r="I1235" s="40"/>
      <c r="J1235" s="70"/>
      <c r="K1235" s="40"/>
      <c r="L1235" s="70"/>
      <c r="M1235" s="70"/>
      <c r="N1235" s="40"/>
      <c r="O1235" s="40"/>
      <c r="P1235" s="40"/>
      <c r="Q1235" s="40"/>
      <c r="R1235" s="72"/>
      <c r="S1235" s="40"/>
      <c r="T1235" s="40"/>
      <c r="U1235" s="40"/>
      <c r="V1235" s="40"/>
      <c r="W1235" s="40"/>
      <c r="X1235" s="40"/>
      <c r="Y1235" s="40"/>
      <c r="Z1235" s="40"/>
      <c r="AA1235" s="40"/>
      <c r="AB1235" s="40"/>
      <c r="AC1235" s="40"/>
      <c r="AD1235" s="40"/>
      <c r="AE1235" s="23"/>
    </row>
    <row r="1236" spans="1:31">
      <c r="A1236" s="23"/>
      <c r="B1236" s="40"/>
      <c r="C1236" s="40"/>
      <c r="D1236" s="23"/>
      <c r="E1236" s="23"/>
      <c r="F1236" s="23"/>
      <c r="G1236" s="40"/>
      <c r="H1236" s="40"/>
      <c r="I1236" s="40"/>
      <c r="J1236" s="70"/>
      <c r="K1236" s="40"/>
      <c r="L1236" s="70"/>
      <c r="M1236" s="70"/>
      <c r="N1236" s="40"/>
      <c r="O1236" s="40"/>
      <c r="P1236" s="40"/>
      <c r="Q1236" s="40"/>
      <c r="R1236" s="72"/>
      <c r="S1236" s="40"/>
      <c r="T1236" s="40"/>
      <c r="U1236" s="40"/>
      <c r="V1236" s="40"/>
      <c r="W1236" s="40"/>
      <c r="X1236" s="40"/>
      <c r="Y1236" s="40"/>
      <c r="Z1236" s="40"/>
      <c r="AA1236" s="40"/>
      <c r="AB1236" s="40"/>
      <c r="AC1236" s="40"/>
      <c r="AD1236" s="40"/>
      <c r="AE1236" s="23"/>
    </row>
    <row r="1237" spans="1:31">
      <c r="A1237" s="23"/>
      <c r="B1237" s="40"/>
      <c r="C1237" s="40"/>
      <c r="D1237" s="23"/>
      <c r="E1237" s="23"/>
      <c r="F1237" s="23"/>
      <c r="G1237" s="40"/>
      <c r="H1237" s="40"/>
      <c r="I1237" s="40"/>
      <c r="J1237" s="70"/>
      <c r="K1237" s="40"/>
      <c r="L1237" s="70"/>
      <c r="M1237" s="70"/>
      <c r="N1237" s="40"/>
      <c r="O1237" s="40"/>
      <c r="P1237" s="40"/>
      <c r="Q1237" s="40"/>
      <c r="R1237" s="72"/>
      <c r="S1237" s="40"/>
      <c r="T1237" s="40"/>
      <c r="U1237" s="40"/>
      <c r="V1237" s="40"/>
      <c r="W1237" s="40"/>
      <c r="X1237" s="40"/>
      <c r="Y1237" s="40"/>
      <c r="Z1237" s="40"/>
      <c r="AA1237" s="40"/>
      <c r="AB1237" s="40"/>
      <c r="AC1237" s="40"/>
      <c r="AD1237" s="40"/>
      <c r="AE1237" s="23"/>
    </row>
    <row r="1238" spans="1:31">
      <c r="A1238" s="23"/>
      <c r="B1238" s="40"/>
      <c r="C1238" s="40"/>
      <c r="D1238" s="23"/>
      <c r="E1238" s="23"/>
      <c r="F1238" s="23"/>
      <c r="G1238" s="40"/>
      <c r="H1238" s="40"/>
      <c r="I1238" s="40"/>
      <c r="J1238" s="70"/>
      <c r="K1238" s="40"/>
      <c r="L1238" s="70"/>
      <c r="M1238" s="70"/>
      <c r="N1238" s="40"/>
      <c r="O1238" s="40"/>
      <c r="P1238" s="40"/>
      <c r="Q1238" s="40"/>
      <c r="R1238" s="72"/>
      <c r="S1238" s="40"/>
      <c r="T1238" s="40"/>
      <c r="U1238" s="40"/>
      <c r="V1238" s="40"/>
      <c r="W1238" s="40"/>
      <c r="X1238" s="40"/>
      <c r="Y1238" s="40"/>
      <c r="Z1238" s="40"/>
      <c r="AA1238" s="40"/>
      <c r="AB1238" s="40"/>
      <c r="AC1238" s="40"/>
      <c r="AD1238" s="40"/>
      <c r="AE1238" s="23"/>
    </row>
    <row r="1239" spans="1:31" ht="24" customHeight="1">
      <c r="A1239" s="23"/>
      <c r="B1239" s="40"/>
      <c r="C1239" s="40"/>
      <c r="D1239" s="23"/>
      <c r="E1239" s="23"/>
      <c r="F1239" s="23"/>
      <c r="G1239" s="40"/>
      <c r="H1239" s="40"/>
      <c r="I1239" s="40"/>
      <c r="J1239" s="70"/>
      <c r="K1239" s="40"/>
      <c r="L1239" s="70"/>
      <c r="M1239" s="70"/>
      <c r="N1239" s="40"/>
      <c r="O1239" s="40"/>
      <c r="P1239" s="40"/>
      <c r="Q1239" s="40"/>
      <c r="R1239" s="72"/>
      <c r="S1239" s="40"/>
      <c r="T1239" s="40"/>
      <c r="U1239" s="40"/>
      <c r="V1239" s="40"/>
      <c r="W1239" s="40"/>
      <c r="X1239" s="40"/>
      <c r="Y1239" s="40"/>
      <c r="Z1239" s="40"/>
      <c r="AA1239" s="40"/>
      <c r="AB1239" s="40"/>
      <c r="AC1239" s="40"/>
      <c r="AD1239" s="40"/>
      <c r="AE1239" s="23"/>
    </row>
    <row r="1240" spans="1:31">
      <c r="A1240" s="23"/>
      <c r="B1240" s="40"/>
      <c r="C1240" s="40"/>
      <c r="D1240" s="23"/>
      <c r="E1240" s="23"/>
      <c r="F1240" s="23"/>
      <c r="G1240" s="40"/>
      <c r="H1240" s="40"/>
      <c r="I1240" s="40"/>
      <c r="J1240" s="70"/>
      <c r="K1240" s="40"/>
      <c r="L1240" s="70"/>
      <c r="M1240" s="70"/>
      <c r="N1240" s="40"/>
      <c r="O1240" s="40"/>
      <c r="P1240" s="40"/>
      <c r="Q1240" s="40"/>
      <c r="R1240" s="72"/>
      <c r="S1240" s="40"/>
      <c r="T1240" s="40"/>
      <c r="U1240" s="40"/>
      <c r="V1240" s="40"/>
      <c r="W1240" s="40"/>
      <c r="X1240" s="40"/>
      <c r="Y1240" s="40"/>
      <c r="Z1240" s="40"/>
      <c r="AA1240" s="40"/>
      <c r="AB1240" s="40"/>
      <c r="AC1240" s="40"/>
      <c r="AD1240" s="40"/>
      <c r="AE1240" s="23"/>
    </row>
    <row r="1241" spans="1:31">
      <c r="A1241" s="23"/>
      <c r="B1241" s="40"/>
      <c r="C1241" s="40"/>
      <c r="D1241" s="23"/>
      <c r="E1241" s="23"/>
      <c r="F1241" s="23"/>
      <c r="G1241" s="40"/>
      <c r="H1241" s="40"/>
      <c r="I1241" s="40"/>
      <c r="J1241" s="70"/>
      <c r="K1241" s="40"/>
      <c r="L1241" s="70"/>
      <c r="M1241" s="70"/>
      <c r="N1241" s="40"/>
      <c r="O1241" s="40"/>
      <c r="P1241" s="40"/>
      <c r="Q1241" s="40"/>
      <c r="R1241" s="72"/>
      <c r="S1241" s="40"/>
      <c r="T1241" s="40"/>
      <c r="U1241" s="40"/>
      <c r="V1241" s="40"/>
      <c r="W1241" s="40"/>
      <c r="X1241" s="40"/>
      <c r="Y1241" s="40"/>
      <c r="Z1241" s="40"/>
      <c r="AA1241" s="40"/>
      <c r="AB1241" s="40"/>
      <c r="AC1241" s="40"/>
      <c r="AD1241" s="40"/>
      <c r="AE1241" s="23"/>
    </row>
    <row r="1242" spans="1:31">
      <c r="A1242" s="23"/>
      <c r="B1242" s="40"/>
      <c r="C1242" s="40"/>
      <c r="D1242" s="23"/>
      <c r="E1242" s="23"/>
      <c r="F1242" s="23"/>
      <c r="G1242" s="40"/>
      <c r="H1242" s="40"/>
      <c r="I1242" s="40"/>
      <c r="J1242" s="70"/>
      <c r="K1242" s="40"/>
      <c r="L1242" s="70"/>
      <c r="M1242" s="70"/>
      <c r="N1242" s="40"/>
      <c r="O1242" s="40"/>
      <c r="P1242" s="40"/>
      <c r="Q1242" s="40"/>
      <c r="R1242" s="72"/>
      <c r="S1242" s="40"/>
      <c r="T1242" s="40"/>
      <c r="U1242" s="40"/>
      <c r="V1242" s="40"/>
      <c r="W1242" s="40"/>
      <c r="X1242" s="40"/>
      <c r="Y1242" s="40"/>
      <c r="Z1242" s="40"/>
      <c r="AA1242" s="40"/>
      <c r="AB1242" s="40"/>
      <c r="AC1242" s="40"/>
      <c r="AD1242" s="40"/>
      <c r="AE1242" s="23"/>
    </row>
    <row r="1243" spans="1:31">
      <c r="A1243" s="23"/>
      <c r="B1243" s="40"/>
      <c r="C1243" s="40"/>
      <c r="D1243" s="23"/>
      <c r="E1243" s="23"/>
      <c r="F1243" s="23"/>
      <c r="G1243" s="40"/>
      <c r="H1243" s="40"/>
      <c r="I1243" s="40"/>
      <c r="J1243" s="70"/>
      <c r="K1243" s="40"/>
      <c r="L1243" s="70"/>
      <c r="M1243" s="70"/>
      <c r="N1243" s="40"/>
      <c r="O1243" s="40"/>
      <c r="P1243" s="40"/>
      <c r="Q1243" s="40"/>
      <c r="R1243" s="72"/>
      <c r="S1243" s="40"/>
      <c r="T1243" s="40"/>
      <c r="U1243" s="40"/>
      <c r="V1243" s="40"/>
      <c r="W1243" s="40"/>
      <c r="X1243" s="40"/>
      <c r="Y1243" s="40"/>
      <c r="Z1243" s="40"/>
      <c r="AA1243" s="40"/>
      <c r="AB1243" s="40"/>
      <c r="AC1243" s="40"/>
      <c r="AD1243" s="40"/>
      <c r="AE1243" s="23"/>
    </row>
    <row r="1244" spans="1:31">
      <c r="A1244" s="23"/>
      <c r="B1244" s="40"/>
      <c r="C1244" s="40"/>
      <c r="D1244" s="23"/>
      <c r="E1244" s="23"/>
      <c r="F1244" s="23"/>
      <c r="G1244" s="40"/>
      <c r="H1244" s="40"/>
      <c r="I1244" s="40"/>
      <c r="J1244" s="70"/>
      <c r="K1244" s="40"/>
      <c r="L1244" s="70"/>
      <c r="M1244" s="70"/>
      <c r="N1244" s="40"/>
      <c r="O1244" s="40"/>
      <c r="P1244" s="40"/>
      <c r="Q1244" s="40"/>
      <c r="R1244" s="72"/>
      <c r="S1244" s="40"/>
      <c r="T1244" s="40"/>
      <c r="U1244" s="40"/>
      <c r="V1244" s="40"/>
      <c r="W1244" s="40"/>
      <c r="X1244" s="40"/>
      <c r="Y1244" s="40"/>
      <c r="Z1244" s="40"/>
      <c r="AA1244" s="40"/>
      <c r="AB1244" s="40"/>
      <c r="AC1244" s="40"/>
      <c r="AD1244" s="40"/>
      <c r="AE1244" s="23"/>
    </row>
    <row r="1245" spans="1:31">
      <c r="A1245" s="23"/>
      <c r="B1245" s="40"/>
      <c r="C1245" s="40"/>
      <c r="D1245" s="23"/>
      <c r="E1245" s="23"/>
      <c r="F1245" s="23"/>
      <c r="G1245" s="40"/>
      <c r="H1245" s="40"/>
      <c r="I1245" s="40"/>
      <c r="J1245" s="70"/>
      <c r="K1245" s="40"/>
      <c r="L1245" s="70"/>
      <c r="M1245" s="70"/>
      <c r="N1245" s="40"/>
      <c r="O1245" s="40"/>
      <c r="P1245" s="40"/>
      <c r="Q1245" s="40"/>
      <c r="R1245" s="72"/>
      <c r="S1245" s="40"/>
      <c r="T1245" s="40"/>
      <c r="U1245" s="40"/>
      <c r="V1245" s="40"/>
      <c r="W1245" s="40"/>
      <c r="X1245" s="40"/>
      <c r="Y1245" s="40"/>
      <c r="Z1245" s="40"/>
      <c r="AA1245" s="40"/>
      <c r="AB1245" s="40"/>
      <c r="AC1245" s="40"/>
      <c r="AD1245" s="40"/>
      <c r="AE1245" s="23"/>
    </row>
    <row r="1246" spans="1:31">
      <c r="A1246" s="23"/>
      <c r="B1246" s="40"/>
      <c r="C1246" s="40"/>
      <c r="D1246" s="23"/>
      <c r="E1246" s="23"/>
      <c r="F1246" s="23"/>
      <c r="G1246" s="40"/>
      <c r="H1246" s="40"/>
      <c r="I1246" s="40"/>
      <c r="J1246" s="70"/>
      <c r="K1246" s="40"/>
      <c r="L1246" s="70"/>
      <c r="M1246" s="70"/>
      <c r="N1246" s="40"/>
      <c r="O1246" s="40"/>
      <c r="P1246" s="40"/>
      <c r="Q1246" s="40"/>
      <c r="R1246" s="72"/>
      <c r="S1246" s="40"/>
      <c r="T1246" s="40"/>
      <c r="U1246" s="40"/>
      <c r="V1246" s="40"/>
      <c r="W1246" s="40"/>
      <c r="X1246" s="40"/>
      <c r="Y1246" s="40"/>
      <c r="Z1246" s="40"/>
      <c r="AA1246" s="40"/>
      <c r="AB1246" s="40"/>
      <c r="AC1246" s="40"/>
      <c r="AD1246" s="40"/>
      <c r="AE1246" s="23"/>
    </row>
    <row r="1247" spans="1:31">
      <c r="A1247" s="23"/>
      <c r="B1247" s="40"/>
      <c r="C1247" s="40"/>
      <c r="D1247" s="23"/>
      <c r="E1247" s="23"/>
      <c r="F1247" s="23"/>
      <c r="G1247" s="40"/>
      <c r="H1247" s="40"/>
      <c r="I1247" s="40"/>
      <c r="J1247" s="70"/>
      <c r="K1247" s="40"/>
      <c r="L1247" s="70"/>
      <c r="M1247" s="70"/>
      <c r="N1247" s="40"/>
      <c r="O1247" s="40"/>
      <c r="P1247" s="40"/>
      <c r="Q1247" s="40"/>
      <c r="R1247" s="72"/>
      <c r="S1247" s="40"/>
      <c r="T1247" s="40"/>
      <c r="U1247" s="40"/>
      <c r="V1247" s="40"/>
      <c r="W1247" s="40"/>
      <c r="X1247" s="40"/>
      <c r="Y1247" s="40"/>
      <c r="Z1247" s="40"/>
      <c r="AA1247" s="40"/>
      <c r="AB1247" s="40"/>
      <c r="AC1247" s="40"/>
      <c r="AD1247" s="40"/>
      <c r="AE1247" s="23"/>
    </row>
    <row r="1248" spans="1:31">
      <c r="A1248" s="23"/>
      <c r="B1248" s="40"/>
      <c r="C1248" s="40"/>
      <c r="D1248" s="23"/>
      <c r="E1248" s="23"/>
      <c r="F1248" s="23"/>
      <c r="G1248" s="40"/>
      <c r="H1248" s="40"/>
      <c r="I1248" s="40"/>
      <c r="J1248" s="70"/>
      <c r="K1248" s="40"/>
      <c r="L1248" s="70"/>
      <c r="M1248" s="70"/>
      <c r="N1248" s="40"/>
      <c r="O1248" s="40"/>
      <c r="P1248" s="40"/>
      <c r="Q1248" s="40"/>
      <c r="R1248" s="72"/>
      <c r="S1248" s="40"/>
      <c r="T1248" s="40"/>
      <c r="U1248" s="40"/>
      <c r="V1248" s="40"/>
      <c r="W1248" s="40"/>
      <c r="X1248" s="40"/>
      <c r="Y1248" s="40"/>
      <c r="Z1248" s="40"/>
      <c r="AA1248" s="40"/>
      <c r="AB1248" s="40"/>
      <c r="AC1248" s="40"/>
      <c r="AD1248" s="40"/>
      <c r="AE1248" s="23"/>
    </row>
    <row r="1249" spans="1:31">
      <c r="A1249" s="23"/>
      <c r="B1249" s="40"/>
      <c r="C1249" s="40"/>
      <c r="D1249" s="23"/>
      <c r="E1249" s="23"/>
      <c r="F1249" s="23"/>
      <c r="G1249" s="40"/>
      <c r="H1249" s="40"/>
      <c r="I1249" s="40"/>
      <c r="J1249" s="70"/>
      <c r="K1249" s="40"/>
      <c r="L1249" s="70"/>
      <c r="M1249" s="70"/>
      <c r="N1249" s="40"/>
      <c r="O1249" s="40"/>
      <c r="P1249" s="40"/>
      <c r="Q1249" s="40"/>
      <c r="R1249" s="72"/>
      <c r="S1249" s="40"/>
      <c r="T1249" s="40"/>
      <c r="U1249" s="40"/>
      <c r="V1249" s="40"/>
      <c r="W1249" s="40"/>
      <c r="X1249" s="40"/>
      <c r="Y1249" s="40"/>
      <c r="Z1249" s="40"/>
      <c r="AA1249" s="40"/>
      <c r="AB1249" s="40"/>
      <c r="AC1249" s="40"/>
      <c r="AD1249" s="40"/>
      <c r="AE1249" s="23"/>
    </row>
    <row r="1250" spans="1:31" ht="24" customHeight="1">
      <c r="A1250" s="23"/>
      <c r="B1250" s="40"/>
      <c r="C1250" s="40"/>
      <c r="D1250" s="23"/>
      <c r="E1250" s="23"/>
      <c r="F1250" s="23"/>
      <c r="G1250" s="40"/>
      <c r="H1250" s="40"/>
      <c r="I1250" s="40"/>
      <c r="J1250" s="70"/>
      <c r="K1250" s="40"/>
      <c r="L1250" s="70"/>
      <c r="M1250" s="70"/>
      <c r="N1250" s="40"/>
      <c r="O1250" s="40"/>
      <c r="P1250" s="40"/>
      <c r="Q1250" s="40"/>
      <c r="R1250" s="72"/>
      <c r="S1250" s="40"/>
      <c r="T1250" s="40"/>
      <c r="U1250" s="40"/>
      <c r="V1250" s="40"/>
      <c r="W1250" s="40"/>
      <c r="X1250" s="40"/>
      <c r="Y1250" s="40"/>
      <c r="Z1250" s="40"/>
      <c r="AA1250" s="40"/>
      <c r="AB1250" s="40"/>
      <c r="AC1250" s="40"/>
      <c r="AD1250" s="40"/>
      <c r="AE1250" s="23"/>
    </row>
    <row r="1251" spans="1:31">
      <c r="A1251" s="23"/>
      <c r="B1251" s="40"/>
      <c r="C1251" s="40"/>
      <c r="D1251" s="23"/>
      <c r="E1251" s="23"/>
      <c r="F1251" s="23"/>
      <c r="G1251" s="40"/>
      <c r="H1251" s="40"/>
      <c r="I1251" s="40"/>
      <c r="J1251" s="70"/>
      <c r="K1251" s="40"/>
      <c r="L1251" s="70"/>
      <c r="M1251" s="70"/>
      <c r="N1251" s="40"/>
      <c r="O1251" s="40"/>
      <c r="P1251" s="40"/>
      <c r="Q1251" s="40"/>
      <c r="R1251" s="72"/>
      <c r="S1251" s="40"/>
      <c r="T1251" s="40"/>
      <c r="U1251" s="40"/>
      <c r="V1251" s="40"/>
      <c r="W1251" s="40"/>
      <c r="X1251" s="40"/>
      <c r="Y1251" s="40"/>
      <c r="Z1251" s="40"/>
      <c r="AA1251" s="40"/>
      <c r="AB1251" s="40"/>
      <c r="AC1251" s="40"/>
      <c r="AD1251" s="40"/>
      <c r="AE1251" s="23"/>
    </row>
    <row r="1252" spans="1:31">
      <c r="A1252" s="23"/>
      <c r="B1252" s="40"/>
      <c r="C1252" s="40"/>
      <c r="D1252" s="23"/>
      <c r="E1252" s="23"/>
      <c r="F1252" s="23"/>
      <c r="G1252" s="40"/>
      <c r="H1252" s="40"/>
      <c r="I1252" s="40"/>
      <c r="J1252" s="70"/>
      <c r="K1252" s="40"/>
      <c r="L1252" s="70"/>
      <c r="M1252" s="70"/>
      <c r="N1252" s="40"/>
      <c r="O1252" s="40"/>
      <c r="P1252" s="40"/>
      <c r="Q1252" s="40"/>
      <c r="R1252" s="72"/>
      <c r="S1252" s="40"/>
      <c r="T1252" s="40"/>
      <c r="U1252" s="40"/>
      <c r="V1252" s="40"/>
      <c r="W1252" s="40"/>
      <c r="X1252" s="40"/>
      <c r="Y1252" s="40"/>
      <c r="Z1252" s="40"/>
      <c r="AA1252" s="40"/>
      <c r="AB1252" s="40"/>
      <c r="AC1252" s="40"/>
      <c r="AD1252" s="40"/>
      <c r="AE1252" s="23"/>
    </row>
    <row r="1253" spans="1:31">
      <c r="A1253" s="23"/>
      <c r="B1253" s="40"/>
      <c r="C1253" s="40"/>
      <c r="D1253" s="23"/>
      <c r="E1253" s="23"/>
      <c r="F1253" s="23"/>
      <c r="G1253" s="40"/>
      <c r="H1253" s="40"/>
      <c r="I1253" s="40"/>
      <c r="J1253" s="70"/>
      <c r="K1253" s="40"/>
      <c r="L1253" s="70"/>
      <c r="M1253" s="70"/>
      <c r="N1253" s="40"/>
      <c r="O1253" s="40"/>
      <c r="P1253" s="40"/>
      <c r="Q1253" s="40"/>
      <c r="R1253" s="72"/>
      <c r="S1253" s="40"/>
      <c r="T1253" s="40"/>
      <c r="U1253" s="40"/>
      <c r="V1253" s="40"/>
      <c r="W1253" s="40"/>
      <c r="X1253" s="40"/>
      <c r="Y1253" s="40"/>
      <c r="Z1253" s="40"/>
      <c r="AA1253" s="40"/>
      <c r="AB1253" s="40"/>
      <c r="AC1253" s="40"/>
      <c r="AD1253" s="40"/>
      <c r="AE1253" s="23"/>
    </row>
    <row r="1254" spans="1:31">
      <c r="A1254" s="23"/>
      <c r="B1254" s="40"/>
      <c r="C1254" s="40"/>
      <c r="D1254" s="23"/>
      <c r="E1254" s="23"/>
      <c r="F1254" s="23"/>
      <c r="G1254" s="40"/>
      <c r="H1254" s="40"/>
      <c r="I1254" s="40"/>
      <c r="J1254" s="70"/>
      <c r="K1254" s="40"/>
      <c r="L1254" s="70"/>
      <c r="M1254" s="70"/>
      <c r="N1254" s="40"/>
      <c r="O1254" s="40"/>
      <c r="P1254" s="40"/>
      <c r="Q1254" s="40"/>
      <c r="R1254" s="72"/>
      <c r="S1254" s="40"/>
      <c r="T1254" s="40"/>
      <c r="U1254" s="40"/>
      <c r="V1254" s="40"/>
      <c r="W1254" s="40"/>
      <c r="X1254" s="40"/>
      <c r="Y1254" s="40"/>
      <c r="Z1254" s="40"/>
      <c r="AA1254" s="40"/>
      <c r="AB1254" s="40"/>
      <c r="AC1254" s="40"/>
      <c r="AD1254" s="40"/>
      <c r="AE1254" s="23"/>
    </row>
    <row r="1255" spans="1:31" ht="24" customHeight="1">
      <c r="A1255" s="23"/>
      <c r="B1255" s="40"/>
      <c r="C1255" s="40"/>
      <c r="D1255" s="23"/>
      <c r="E1255" s="23"/>
      <c r="F1255" s="23"/>
      <c r="G1255" s="40"/>
      <c r="H1255" s="40"/>
      <c r="I1255" s="40"/>
      <c r="J1255" s="70"/>
      <c r="K1255" s="40"/>
      <c r="L1255" s="70"/>
      <c r="M1255" s="70"/>
      <c r="N1255" s="40"/>
      <c r="O1255" s="40"/>
      <c r="P1255" s="40"/>
      <c r="Q1255" s="40"/>
      <c r="R1255" s="72"/>
      <c r="S1255" s="40"/>
      <c r="T1255" s="40"/>
      <c r="U1255" s="40"/>
      <c r="V1255" s="40"/>
      <c r="W1255" s="40"/>
      <c r="X1255" s="40"/>
      <c r="Y1255" s="40"/>
      <c r="Z1255" s="40"/>
      <c r="AA1255" s="40"/>
      <c r="AB1255" s="40"/>
      <c r="AC1255" s="40"/>
      <c r="AD1255" s="40"/>
      <c r="AE1255" s="23"/>
    </row>
    <row r="1256" spans="1:31">
      <c r="A1256" s="23"/>
      <c r="B1256" s="40"/>
      <c r="C1256" s="40"/>
      <c r="D1256" s="23"/>
      <c r="E1256" s="23"/>
      <c r="F1256" s="23"/>
      <c r="G1256" s="40"/>
      <c r="H1256" s="40"/>
      <c r="I1256" s="40"/>
      <c r="J1256" s="70"/>
      <c r="K1256" s="40"/>
      <c r="L1256" s="70"/>
      <c r="M1256" s="70"/>
      <c r="N1256" s="40"/>
      <c r="O1256" s="40"/>
      <c r="P1256" s="40"/>
      <c r="Q1256" s="40"/>
      <c r="R1256" s="72"/>
      <c r="S1256" s="40"/>
      <c r="T1256" s="40"/>
      <c r="U1256" s="40"/>
      <c r="V1256" s="40"/>
      <c r="W1256" s="40"/>
      <c r="X1256" s="40"/>
      <c r="Y1256" s="40"/>
      <c r="Z1256" s="40"/>
      <c r="AA1256" s="40"/>
      <c r="AB1256" s="40"/>
      <c r="AC1256" s="40"/>
      <c r="AD1256" s="40"/>
      <c r="AE1256" s="23"/>
    </row>
    <row r="1257" spans="1:31">
      <c r="A1257" s="23"/>
      <c r="B1257" s="40"/>
      <c r="C1257" s="40"/>
      <c r="D1257" s="23"/>
      <c r="E1257" s="23"/>
      <c r="F1257" s="23"/>
      <c r="G1257" s="40"/>
      <c r="H1257" s="40"/>
      <c r="I1257" s="40"/>
      <c r="J1257" s="70"/>
      <c r="K1257" s="40"/>
      <c r="L1257" s="70"/>
      <c r="M1257" s="70"/>
      <c r="N1257" s="40"/>
      <c r="O1257" s="40"/>
      <c r="P1257" s="40"/>
      <c r="Q1257" s="40"/>
      <c r="R1257" s="72"/>
      <c r="S1257" s="40"/>
      <c r="T1257" s="40"/>
      <c r="U1257" s="40"/>
      <c r="V1257" s="40"/>
      <c r="W1257" s="40"/>
      <c r="X1257" s="40"/>
      <c r="Y1257" s="40"/>
      <c r="Z1257" s="40"/>
      <c r="AA1257" s="40"/>
      <c r="AB1257" s="40"/>
      <c r="AC1257" s="40"/>
      <c r="AD1257" s="40"/>
      <c r="AE1257" s="23"/>
    </row>
    <row r="1258" spans="1:31">
      <c r="A1258" s="23"/>
      <c r="B1258" s="40"/>
      <c r="C1258" s="40"/>
      <c r="D1258" s="23"/>
      <c r="E1258" s="23"/>
      <c r="F1258" s="23"/>
      <c r="G1258" s="40"/>
      <c r="H1258" s="40"/>
      <c r="I1258" s="40"/>
      <c r="J1258" s="70"/>
      <c r="K1258" s="40"/>
      <c r="L1258" s="70"/>
      <c r="M1258" s="70"/>
      <c r="N1258" s="40"/>
      <c r="O1258" s="40"/>
      <c r="P1258" s="40"/>
      <c r="Q1258" s="40"/>
      <c r="R1258" s="72"/>
      <c r="S1258" s="40"/>
      <c r="T1258" s="40"/>
      <c r="U1258" s="40"/>
      <c r="V1258" s="40"/>
      <c r="W1258" s="40"/>
      <c r="X1258" s="40"/>
      <c r="Y1258" s="40"/>
      <c r="Z1258" s="40"/>
      <c r="AA1258" s="40"/>
      <c r="AB1258" s="40"/>
      <c r="AC1258" s="40"/>
      <c r="AD1258" s="40"/>
      <c r="AE1258" s="23"/>
    </row>
    <row r="1259" spans="1:31">
      <c r="A1259" s="23"/>
      <c r="B1259" s="40"/>
      <c r="C1259" s="40"/>
      <c r="D1259" s="23"/>
      <c r="E1259" s="23"/>
      <c r="F1259" s="23"/>
      <c r="G1259" s="40"/>
      <c r="H1259" s="40"/>
      <c r="I1259" s="40"/>
      <c r="J1259" s="70"/>
      <c r="K1259" s="40"/>
      <c r="L1259" s="70"/>
      <c r="M1259" s="70"/>
      <c r="N1259" s="40"/>
      <c r="O1259" s="40"/>
      <c r="P1259" s="40"/>
      <c r="Q1259" s="40"/>
      <c r="R1259" s="72"/>
      <c r="S1259" s="40"/>
      <c r="T1259" s="40"/>
      <c r="U1259" s="40"/>
      <c r="V1259" s="40"/>
      <c r="W1259" s="40"/>
      <c r="X1259" s="40"/>
      <c r="Y1259" s="40"/>
      <c r="Z1259" s="40"/>
      <c r="AA1259" s="40"/>
      <c r="AB1259" s="40"/>
      <c r="AC1259" s="40"/>
      <c r="AD1259" s="40"/>
      <c r="AE1259" s="23"/>
    </row>
    <row r="1260" spans="1:31" ht="24" customHeight="1">
      <c r="A1260" s="23"/>
      <c r="B1260" s="40"/>
      <c r="C1260" s="40"/>
      <c r="D1260" s="23"/>
      <c r="E1260" s="23"/>
      <c r="F1260" s="23"/>
      <c r="G1260" s="40"/>
      <c r="H1260" s="40"/>
      <c r="I1260" s="40"/>
      <c r="J1260" s="70"/>
      <c r="K1260" s="40"/>
      <c r="L1260" s="70"/>
      <c r="M1260" s="70"/>
      <c r="N1260" s="40"/>
      <c r="O1260" s="40"/>
      <c r="P1260" s="40"/>
      <c r="Q1260" s="40"/>
      <c r="R1260" s="72"/>
      <c r="S1260" s="40"/>
      <c r="T1260" s="40"/>
      <c r="U1260" s="40"/>
      <c r="V1260" s="40"/>
      <c r="W1260" s="40"/>
      <c r="X1260" s="40"/>
      <c r="Y1260" s="40"/>
      <c r="Z1260" s="40"/>
      <c r="AA1260" s="40"/>
      <c r="AB1260" s="40"/>
      <c r="AC1260" s="40"/>
      <c r="AD1260" s="40"/>
      <c r="AE1260" s="23"/>
    </row>
    <row r="1261" spans="1:31">
      <c r="A1261" s="23"/>
      <c r="B1261" s="40"/>
      <c r="C1261" s="40"/>
      <c r="D1261" s="23"/>
      <c r="E1261" s="23"/>
      <c r="F1261" s="23"/>
      <c r="G1261" s="40"/>
      <c r="H1261" s="40"/>
      <c r="I1261" s="40"/>
      <c r="J1261" s="70"/>
      <c r="K1261" s="40"/>
      <c r="L1261" s="70"/>
      <c r="M1261" s="70"/>
      <c r="N1261" s="40"/>
      <c r="O1261" s="40"/>
      <c r="P1261" s="40"/>
      <c r="Q1261" s="40"/>
      <c r="R1261" s="72"/>
      <c r="S1261" s="40"/>
      <c r="T1261" s="40"/>
      <c r="U1261" s="40"/>
      <c r="V1261" s="40"/>
      <c r="W1261" s="40"/>
      <c r="X1261" s="40"/>
      <c r="Y1261" s="40"/>
      <c r="Z1261" s="40"/>
      <c r="AA1261" s="40"/>
      <c r="AB1261" s="40"/>
      <c r="AC1261" s="40"/>
      <c r="AD1261" s="40"/>
      <c r="AE1261" s="23"/>
    </row>
    <row r="1262" spans="1:31">
      <c r="A1262" s="23"/>
      <c r="B1262" s="40"/>
      <c r="C1262" s="40"/>
      <c r="D1262" s="23"/>
      <c r="E1262" s="23"/>
      <c r="F1262" s="23"/>
      <c r="G1262" s="40"/>
      <c r="H1262" s="40"/>
      <c r="I1262" s="40"/>
      <c r="J1262" s="70"/>
      <c r="K1262" s="40"/>
      <c r="L1262" s="70"/>
      <c r="M1262" s="70"/>
      <c r="N1262" s="40"/>
      <c r="O1262" s="40"/>
      <c r="P1262" s="40"/>
      <c r="Q1262" s="40"/>
      <c r="R1262" s="72"/>
      <c r="S1262" s="40"/>
      <c r="T1262" s="40"/>
      <c r="U1262" s="40"/>
      <c r="V1262" s="40"/>
      <c r="W1262" s="40"/>
      <c r="X1262" s="40"/>
      <c r="Y1262" s="40"/>
      <c r="Z1262" s="40"/>
      <c r="AA1262" s="40"/>
      <c r="AB1262" s="40"/>
      <c r="AC1262" s="40"/>
      <c r="AD1262" s="40"/>
      <c r="AE1262" s="23"/>
    </row>
    <row r="1263" spans="1:31">
      <c r="A1263" s="23"/>
      <c r="B1263" s="40"/>
      <c r="C1263" s="40"/>
      <c r="D1263" s="23"/>
      <c r="E1263" s="23"/>
      <c r="F1263" s="23"/>
      <c r="G1263" s="40"/>
      <c r="H1263" s="40"/>
      <c r="I1263" s="40"/>
      <c r="J1263" s="70"/>
      <c r="K1263" s="40"/>
      <c r="L1263" s="70"/>
      <c r="M1263" s="70"/>
      <c r="N1263" s="40"/>
      <c r="O1263" s="40"/>
      <c r="P1263" s="40"/>
      <c r="Q1263" s="40"/>
      <c r="R1263" s="72"/>
      <c r="S1263" s="40"/>
      <c r="T1263" s="40"/>
      <c r="U1263" s="40"/>
      <c r="V1263" s="40"/>
      <c r="W1263" s="40"/>
      <c r="X1263" s="40"/>
      <c r="Y1263" s="40"/>
      <c r="Z1263" s="40"/>
      <c r="AA1263" s="40"/>
      <c r="AB1263" s="40"/>
      <c r="AC1263" s="40"/>
      <c r="AD1263" s="40"/>
      <c r="AE1263" s="23"/>
    </row>
    <row r="1264" spans="1:31">
      <c r="A1264" s="23"/>
      <c r="B1264" s="40"/>
      <c r="C1264" s="40"/>
      <c r="D1264" s="23"/>
      <c r="E1264" s="23"/>
      <c r="F1264" s="23"/>
      <c r="G1264" s="40"/>
      <c r="H1264" s="40"/>
      <c r="I1264" s="40"/>
      <c r="J1264" s="70"/>
      <c r="K1264" s="40"/>
      <c r="L1264" s="70"/>
      <c r="M1264" s="70"/>
      <c r="N1264" s="40"/>
      <c r="O1264" s="40"/>
      <c r="P1264" s="40"/>
      <c r="Q1264" s="40"/>
      <c r="R1264" s="72"/>
      <c r="S1264" s="40"/>
      <c r="T1264" s="40"/>
      <c r="U1264" s="40"/>
      <c r="V1264" s="40"/>
      <c r="W1264" s="40"/>
      <c r="X1264" s="40"/>
      <c r="Y1264" s="40"/>
      <c r="Z1264" s="40"/>
      <c r="AA1264" s="40"/>
      <c r="AB1264" s="40"/>
      <c r="AC1264" s="40"/>
      <c r="AD1264" s="40"/>
      <c r="AE1264" s="23"/>
    </row>
    <row r="1265" spans="1:31">
      <c r="A1265" s="23"/>
      <c r="B1265" s="40"/>
      <c r="C1265" s="40"/>
      <c r="D1265" s="23"/>
      <c r="E1265" s="23"/>
      <c r="F1265" s="23"/>
      <c r="G1265" s="40"/>
      <c r="H1265" s="40"/>
      <c r="I1265" s="40"/>
      <c r="J1265" s="70"/>
      <c r="K1265" s="40"/>
      <c r="L1265" s="70"/>
      <c r="M1265" s="70"/>
      <c r="N1265" s="40"/>
      <c r="O1265" s="40"/>
      <c r="P1265" s="40"/>
      <c r="Q1265" s="40"/>
      <c r="R1265" s="72"/>
      <c r="S1265" s="40"/>
      <c r="T1265" s="40"/>
      <c r="U1265" s="40"/>
      <c r="V1265" s="40"/>
      <c r="W1265" s="40"/>
      <c r="X1265" s="40"/>
      <c r="Y1265" s="40"/>
      <c r="Z1265" s="40"/>
      <c r="AA1265" s="40"/>
      <c r="AB1265" s="40"/>
      <c r="AC1265" s="40"/>
      <c r="AD1265" s="40"/>
      <c r="AE1265" s="23"/>
    </row>
    <row r="1266" spans="1:31">
      <c r="A1266" s="23"/>
      <c r="B1266" s="40"/>
      <c r="C1266" s="40"/>
      <c r="D1266" s="23"/>
      <c r="E1266" s="23"/>
      <c r="F1266" s="23"/>
      <c r="G1266" s="40"/>
      <c r="H1266" s="40"/>
      <c r="I1266" s="40"/>
      <c r="J1266" s="70"/>
      <c r="K1266" s="40"/>
      <c r="L1266" s="70"/>
      <c r="M1266" s="70"/>
      <c r="N1266" s="40"/>
      <c r="O1266" s="40"/>
      <c r="P1266" s="40"/>
      <c r="Q1266" s="40"/>
      <c r="R1266" s="72"/>
      <c r="S1266" s="40"/>
      <c r="T1266" s="40"/>
      <c r="U1266" s="40"/>
      <c r="V1266" s="40"/>
      <c r="W1266" s="40"/>
      <c r="X1266" s="40"/>
      <c r="Y1266" s="40"/>
      <c r="Z1266" s="40"/>
      <c r="AA1266" s="40"/>
      <c r="AB1266" s="40"/>
      <c r="AC1266" s="40"/>
      <c r="AD1266" s="40"/>
      <c r="AE1266" s="23"/>
    </row>
    <row r="1267" spans="1:31">
      <c r="A1267" s="23"/>
      <c r="B1267" s="40"/>
      <c r="C1267" s="40"/>
      <c r="D1267" s="23"/>
      <c r="E1267" s="23"/>
      <c r="F1267" s="23"/>
      <c r="G1267" s="40"/>
      <c r="H1267" s="40"/>
      <c r="I1267" s="40"/>
      <c r="J1267" s="70"/>
      <c r="K1267" s="40"/>
      <c r="L1267" s="70"/>
      <c r="M1267" s="70"/>
      <c r="N1267" s="40"/>
      <c r="O1267" s="40"/>
      <c r="P1267" s="40"/>
      <c r="Q1267" s="40"/>
      <c r="R1267" s="72"/>
      <c r="S1267" s="40"/>
      <c r="T1267" s="40"/>
      <c r="U1267" s="40"/>
      <c r="V1267" s="40"/>
      <c r="W1267" s="40"/>
      <c r="X1267" s="40"/>
      <c r="Y1267" s="40"/>
      <c r="Z1267" s="40"/>
      <c r="AA1267" s="40"/>
      <c r="AB1267" s="40"/>
      <c r="AC1267" s="40"/>
      <c r="AD1267" s="40"/>
      <c r="AE1267" s="23"/>
    </row>
    <row r="1268" spans="1:31">
      <c r="A1268" s="23"/>
      <c r="B1268" s="40"/>
      <c r="C1268" s="40"/>
      <c r="D1268" s="23"/>
      <c r="E1268" s="23"/>
      <c r="F1268" s="23"/>
      <c r="G1268" s="40"/>
      <c r="H1268" s="40"/>
      <c r="I1268" s="40"/>
      <c r="J1268" s="70"/>
      <c r="K1268" s="40"/>
      <c r="L1268" s="70"/>
      <c r="M1268" s="70"/>
      <c r="N1268" s="40"/>
      <c r="O1268" s="40"/>
      <c r="P1268" s="40"/>
      <c r="Q1268" s="40"/>
      <c r="R1268" s="72"/>
      <c r="S1268" s="40"/>
      <c r="T1268" s="40"/>
      <c r="U1268" s="40"/>
      <c r="V1268" s="40"/>
      <c r="W1268" s="40"/>
      <c r="X1268" s="40"/>
      <c r="Y1268" s="40"/>
      <c r="Z1268" s="40"/>
      <c r="AA1268" s="40"/>
      <c r="AB1268" s="40"/>
      <c r="AC1268" s="40"/>
      <c r="AD1268" s="40"/>
      <c r="AE1268" s="23"/>
    </row>
    <row r="1269" spans="1:31">
      <c r="A1269" s="23"/>
      <c r="B1269" s="40"/>
      <c r="C1269" s="40"/>
      <c r="D1269" s="23"/>
      <c r="E1269" s="23"/>
      <c r="F1269" s="23"/>
      <c r="G1269" s="40"/>
      <c r="H1269" s="40"/>
      <c r="I1269" s="40"/>
      <c r="J1269" s="70"/>
      <c r="K1269" s="40"/>
      <c r="L1269" s="70"/>
      <c r="M1269" s="70"/>
      <c r="N1269" s="40"/>
      <c r="O1269" s="40"/>
      <c r="P1269" s="40"/>
      <c r="Q1269" s="40"/>
      <c r="R1269" s="72"/>
      <c r="S1269" s="40"/>
      <c r="T1269" s="40"/>
      <c r="U1269" s="40"/>
      <c r="V1269" s="40"/>
      <c r="W1269" s="40"/>
      <c r="X1269" s="40"/>
      <c r="Y1269" s="40"/>
      <c r="Z1269" s="40"/>
      <c r="AA1269" s="40"/>
      <c r="AB1269" s="40"/>
      <c r="AC1269" s="40"/>
      <c r="AD1269" s="40"/>
      <c r="AE1269" s="23"/>
    </row>
    <row r="1270" spans="1:31">
      <c r="A1270" s="23"/>
      <c r="B1270" s="40"/>
      <c r="C1270" s="40"/>
      <c r="D1270" s="23"/>
      <c r="E1270" s="23"/>
      <c r="F1270" s="23"/>
      <c r="G1270" s="40"/>
      <c r="H1270" s="40"/>
      <c r="I1270" s="40"/>
      <c r="J1270" s="70"/>
      <c r="K1270" s="40"/>
      <c r="L1270" s="70"/>
      <c r="M1270" s="70"/>
      <c r="N1270" s="40"/>
      <c r="O1270" s="40"/>
      <c r="P1270" s="40"/>
      <c r="Q1270" s="40"/>
      <c r="R1270" s="72"/>
      <c r="S1270" s="40"/>
      <c r="T1270" s="40"/>
      <c r="U1270" s="40"/>
      <c r="V1270" s="40"/>
      <c r="W1270" s="40"/>
      <c r="X1270" s="40"/>
      <c r="Y1270" s="40"/>
      <c r="Z1270" s="40"/>
      <c r="AA1270" s="40"/>
      <c r="AB1270" s="40"/>
      <c r="AC1270" s="40"/>
      <c r="AD1270" s="40"/>
      <c r="AE1270" s="23"/>
    </row>
    <row r="1271" spans="1:31">
      <c r="A1271" s="23"/>
      <c r="B1271" s="40"/>
      <c r="C1271" s="40"/>
      <c r="D1271" s="23"/>
      <c r="E1271" s="23"/>
      <c r="F1271" s="23"/>
      <c r="G1271" s="40"/>
      <c r="H1271" s="40"/>
      <c r="I1271" s="40"/>
      <c r="J1271" s="70"/>
      <c r="K1271" s="40"/>
      <c r="L1271" s="70"/>
      <c r="M1271" s="70"/>
      <c r="N1271" s="40"/>
      <c r="O1271" s="40"/>
      <c r="P1271" s="40"/>
      <c r="Q1271" s="40"/>
      <c r="R1271" s="72"/>
      <c r="S1271" s="40"/>
      <c r="T1271" s="40"/>
      <c r="U1271" s="40"/>
      <c r="V1271" s="40"/>
      <c r="W1271" s="40"/>
      <c r="X1271" s="40"/>
      <c r="Y1271" s="40"/>
      <c r="Z1271" s="40"/>
      <c r="AA1271" s="40"/>
      <c r="AB1271" s="40"/>
      <c r="AC1271" s="40"/>
      <c r="AD1271" s="40"/>
      <c r="AE1271" s="23"/>
    </row>
    <row r="1272" spans="1:31">
      <c r="A1272" s="23"/>
      <c r="B1272" s="40"/>
      <c r="C1272" s="40"/>
      <c r="D1272" s="23"/>
      <c r="E1272" s="23"/>
      <c r="F1272" s="23"/>
      <c r="G1272" s="40"/>
      <c r="H1272" s="40"/>
      <c r="I1272" s="40"/>
      <c r="J1272" s="70"/>
      <c r="K1272" s="40"/>
      <c r="L1272" s="70"/>
      <c r="M1272" s="70"/>
      <c r="N1272" s="40"/>
      <c r="O1272" s="40"/>
      <c r="P1272" s="40"/>
      <c r="Q1272" s="40"/>
      <c r="R1272" s="72"/>
      <c r="S1272" s="40"/>
      <c r="T1272" s="40"/>
      <c r="U1272" s="40"/>
      <c r="V1272" s="40"/>
      <c r="W1272" s="40"/>
      <c r="X1272" s="40"/>
      <c r="Y1272" s="40"/>
      <c r="Z1272" s="40"/>
      <c r="AA1272" s="40"/>
      <c r="AB1272" s="40"/>
      <c r="AC1272" s="40"/>
      <c r="AD1272" s="40"/>
      <c r="AE1272" s="23"/>
    </row>
    <row r="1273" spans="1:31">
      <c r="A1273" s="23"/>
      <c r="B1273" s="40"/>
      <c r="C1273" s="40"/>
      <c r="D1273" s="23"/>
      <c r="E1273" s="23"/>
      <c r="F1273" s="23"/>
      <c r="G1273" s="40"/>
      <c r="H1273" s="40"/>
      <c r="I1273" s="40"/>
      <c r="J1273" s="70"/>
      <c r="K1273" s="40"/>
      <c r="L1273" s="70"/>
      <c r="M1273" s="70"/>
      <c r="N1273" s="40"/>
      <c r="O1273" s="40"/>
      <c r="P1273" s="40"/>
      <c r="Q1273" s="40"/>
      <c r="R1273" s="72"/>
      <c r="S1273" s="40"/>
      <c r="T1273" s="40"/>
      <c r="U1273" s="40"/>
      <c r="V1273" s="40"/>
      <c r="W1273" s="40"/>
      <c r="X1273" s="40"/>
      <c r="Y1273" s="40"/>
      <c r="Z1273" s="40"/>
      <c r="AA1273" s="40"/>
      <c r="AB1273" s="40"/>
      <c r="AC1273" s="40"/>
      <c r="AD1273" s="40"/>
      <c r="AE1273" s="23"/>
    </row>
    <row r="1274" spans="1:31" ht="24" customHeight="1">
      <c r="A1274" s="23"/>
      <c r="B1274" s="40"/>
      <c r="C1274" s="40"/>
      <c r="D1274" s="23"/>
      <c r="E1274" s="23"/>
      <c r="F1274" s="23"/>
      <c r="G1274" s="40"/>
      <c r="H1274" s="40"/>
      <c r="I1274" s="40"/>
      <c r="J1274" s="70"/>
      <c r="K1274" s="40"/>
      <c r="L1274" s="70"/>
      <c r="M1274" s="70"/>
      <c r="N1274" s="40"/>
      <c r="O1274" s="40"/>
      <c r="P1274" s="40"/>
      <c r="Q1274" s="40"/>
      <c r="R1274" s="72"/>
      <c r="S1274" s="40"/>
      <c r="T1274" s="40"/>
      <c r="U1274" s="40"/>
      <c r="V1274" s="40"/>
      <c r="W1274" s="40"/>
      <c r="X1274" s="40"/>
      <c r="Y1274" s="40"/>
      <c r="Z1274" s="40"/>
      <c r="AA1274" s="40"/>
      <c r="AB1274" s="40"/>
      <c r="AC1274" s="40"/>
      <c r="AD1274" s="40"/>
      <c r="AE1274" s="23"/>
    </row>
    <row r="1275" spans="1:31">
      <c r="A1275" s="23"/>
      <c r="B1275" s="40"/>
      <c r="C1275" s="40"/>
      <c r="D1275" s="23"/>
      <c r="E1275" s="23"/>
      <c r="F1275" s="23"/>
      <c r="G1275" s="40"/>
      <c r="H1275" s="40"/>
      <c r="I1275" s="40"/>
      <c r="J1275" s="70"/>
      <c r="K1275" s="40"/>
      <c r="L1275" s="70"/>
      <c r="M1275" s="70"/>
      <c r="N1275" s="40"/>
      <c r="O1275" s="70"/>
      <c r="P1275" s="23"/>
      <c r="Q1275" s="23"/>
      <c r="R1275" s="72"/>
      <c r="S1275" s="23"/>
      <c r="T1275" s="23"/>
      <c r="U1275" s="23"/>
      <c r="V1275" s="23"/>
      <c r="W1275" s="23"/>
      <c r="X1275" s="23"/>
      <c r="Y1275" s="23"/>
      <c r="Z1275" s="23"/>
      <c r="AA1275" s="23"/>
      <c r="AB1275" s="23"/>
      <c r="AC1275" s="23"/>
      <c r="AD1275" s="23"/>
      <c r="AE1275" s="23"/>
    </row>
    <row r="1276" spans="1:31">
      <c r="A1276" s="23"/>
      <c r="B1276" s="40"/>
      <c r="C1276" s="40"/>
      <c r="D1276" s="23"/>
      <c r="E1276" s="23"/>
      <c r="F1276" s="23"/>
      <c r="G1276" s="40"/>
      <c r="H1276" s="40"/>
      <c r="I1276" s="40"/>
      <c r="J1276" s="70"/>
      <c r="K1276" s="40"/>
      <c r="L1276" s="70"/>
      <c r="M1276" s="70"/>
      <c r="N1276" s="40"/>
      <c r="O1276" s="70"/>
      <c r="P1276" s="23"/>
      <c r="Q1276" s="23"/>
      <c r="R1276" s="72"/>
      <c r="S1276" s="23"/>
      <c r="T1276" s="23"/>
      <c r="U1276" s="23"/>
      <c r="V1276" s="23"/>
      <c r="W1276" s="23"/>
      <c r="X1276" s="23"/>
      <c r="Y1276" s="23"/>
      <c r="Z1276" s="23"/>
      <c r="AA1276" s="23"/>
      <c r="AB1276" s="23"/>
      <c r="AC1276" s="23"/>
      <c r="AD1276" s="23"/>
      <c r="AE1276" s="23"/>
    </row>
    <row r="1277" spans="1:31">
      <c r="A1277" s="23"/>
      <c r="B1277" s="40"/>
      <c r="C1277" s="40"/>
      <c r="D1277" s="23"/>
      <c r="E1277" s="23"/>
      <c r="F1277" s="23"/>
      <c r="G1277" s="40"/>
      <c r="H1277" s="40"/>
      <c r="I1277" s="40"/>
      <c r="J1277" s="70"/>
      <c r="K1277" s="40"/>
      <c r="L1277" s="70"/>
      <c r="M1277" s="70"/>
      <c r="N1277" s="40"/>
      <c r="O1277" s="70"/>
      <c r="P1277" s="23"/>
      <c r="Q1277" s="23"/>
      <c r="R1277" s="72"/>
      <c r="S1277" s="23"/>
      <c r="T1277" s="23"/>
      <c r="U1277" s="23"/>
      <c r="V1277" s="23"/>
      <c r="W1277" s="23"/>
      <c r="X1277" s="23"/>
      <c r="Y1277" s="23"/>
      <c r="Z1277" s="23"/>
      <c r="AA1277" s="23"/>
      <c r="AB1277" s="23"/>
      <c r="AC1277" s="23"/>
      <c r="AD1277" s="23"/>
      <c r="AE1277" s="23"/>
    </row>
    <row r="1278" spans="1:31">
      <c r="A1278" s="23"/>
      <c r="B1278" s="40"/>
      <c r="C1278" s="40"/>
      <c r="D1278" s="23"/>
      <c r="E1278" s="23"/>
      <c r="F1278" s="23"/>
      <c r="G1278" s="40"/>
      <c r="H1278" s="40"/>
      <c r="I1278" s="40"/>
      <c r="J1278" s="70"/>
      <c r="K1278" s="40"/>
      <c r="L1278" s="70"/>
      <c r="M1278" s="70"/>
      <c r="N1278" s="40"/>
      <c r="O1278" s="70"/>
      <c r="P1278" s="23"/>
      <c r="Q1278" s="23"/>
      <c r="R1278" s="72"/>
      <c r="S1278" s="23"/>
      <c r="T1278" s="23"/>
      <c r="U1278" s="23"/>
      <c r="V1278" s="23"/>
      <c r="W1278" s="23"/>
      <c r="X1278" s="23"/>
      <c r="Y1278" s="23"/>
      <c r="Z1278" s="23"/>
      <c r="AA1278" s="23"/>
      <c r="AB1278" s="23"/>
      <c r="AC1278" s="23"/>
      <c r="AD1278" s="23"/>
      <c r="AE1278" s="23"/>
    </row>
    <row r="1279" spans="1:31" ht="24" customHeight="1">
      <c r="A1279" s="23"/>
      <c r="B1279" s="40"/>
      <c r="C1279" s="40"/>
      <c r="D1279" s="23"/>
      <c r="E1279" s="23"/>
      <c r="F1279" s="23"/>
      <c r="G1279" s="40"/>
      <c r="H1279" s="40"/>
      <c r="I1279" s="40"/>
      <c r="J1279" s="70"/>
      <c r="K1279" s="40"/>
      <c r="L1279" s="70"/>
      <c r="M1279" s="70"/>
      <c r="N1279" s="40"/>
      <c r="O1279" s="70"/>
      <c r="P1279" s="23"/>
      <c r="Q1279" s="23"/>
      <c r="R1279" s="72"/>
      <c r="S1279" s="23"/>
      <c r="T1279" s="23"/>
      <c r="U1279" s="23"/>
      <c r="V1279" s="23"/>
      <c r="W1279" s="23"/>
      <c r="X1279" s="23"/>
      <c r="Y1279" s="23"/>
      <c r="Z1279" s="23"/>
      <c r="AA1279" s="23"/>
      <c r="AB1279" s="23"/>
      <c r="AC1279" s="23"/>
      <c r="AD1279" s="23"/>
      <c r="AE1279" s="23"/>
    </row>
    <row r="1280" spans="1:31">
      <c r="A1280" s="23"/>
      <c r="B1280" s="40"/>
      <c r="C1280" s="40"/>
      <c r="D1280" s="23"/>
      <c r="E1280" s="23"/>
      <c r="F1280" s="23"/>
      <c r="G1280" s="40"/>
      <c r="H1280" s="40"/>
      <c r="I1280" s="40"/>
      <c r="J1280" s="70"/>
      <c r="K1280" s="40"/>
      <c r="L1280" s="70"/>
      <c r="M1280" s="70"/>
      <c r="N1280" s="40"/>
      <c r="O1280" s="70"/>
      <c r="P1280" s="23"/>
      <c r="Q1280" s="23"/>
      <c r="R1280" s="72"/>
      <c r="S1280" s="23"/>
      <c r="T1280" s="23"/>
      <c r="U1280" s="23"/>
      <c r="V1280" s="23"/>
      <c r="W1280" s="23"/>
      <c r="X1280" s="23"/>
      <c r="Y1280" s="23"/>
      <c r="Z1280" s="23"/>
      <c r="AA1280" s="23"/>
      <c r="AB1280" s="23"/>
      <c r="AC1280" s="23"/>
      <c r="AD1280" s="23"/>
      <c r="AE1280" s="23"/>
    </row>
    <row r="1281" spans="1:31">
      <c r="A1281" s="23"/>
      <c r="B1281" s="40"/>
      <c r="C1281" s="40"/>
      <c r="D1281" s="23"/>
      <c r="E1281" s="23"/>
      <c r="F1281" s="23"/>
      <c r="G1281" s="40"/>
      <c r="H1281" s="40"/>
      <c r="I1281" s="40"/>
      <c r="J1281" s="70"/>
      <c r="K1281" s="40"/>
      <c r="L1281" s="70"/>
      <c r="M1281" s="70"/>
      <c r="N1281" s="40"/>
      <c r="O1281" s="70"/>
      <c r="P1281" s="23"/>
      <c r="Q1281" s="23"/>
      <c r="R1281" s="72"/>
      <c r="S1281" s="23"/>
      <c r="T1281" s="23"/>
      <c r="U1281" s="23"/>
      <c r="V1281" s="23"/>
      <c r="W1281" s="23"/>
      <c r="X1281" s="23"/>
      <c r="Y1281" s="23"/>
      <c r="Z1281" s="23"/>
      <c r="AA1281" s="23"/>
      <c r="AB1281" s="23"/>
      <c r="AC1281" s="23"/>
      <c r="AD1281" s="23"/>
      <c r="AE1281" s="23"/>
    </row>
    <row r="1282" spans="1:31">
      <c r="A1282" s="23"/>
      <c r="B1282" s="40"/>
      <c r="C1282" s="40"/>
      <c r="D1282" s="23"/>
      <c r="E1282" s="23"/>
      <c r="F1282" s="23"/>
      <c r="G1282" s="40"/>
      <c r="H1282" s="40"/>
      <c r="I1282" s="40"/>
      <c r="J1282" s="70"/>
      <c r="K1282" s="40"/>
      <c r="L1282" s="70"/>
      <c r="M1282" s="70"/>
      <c r="N1282" s="40"/>
      <c r="O1282" s="70"/>
      <c r="P1282" s="23"/>
      <c r="Q1282" s="23"/>
      <c r="R1282" s="72"/>
      <c r="S1282" s="23"/>
      <c r="T1282" s="23"/>
      <c r="U1282" s="23"/>
      <c r="V1282" s="23"/>
      <c r="W1282" s="23"/>
      <c r="X1282" s="23"/>
      <c r="Y1282" s="23"/>
      <c r="Z1282" s="23"/>
      <c r="AA1282" s="23"/>
      <c r="AB1282" s="23"/>
      <c r="AC1282" s="23"/>
      <c r="AD1282" s="23"/>
      <c r="AE1282" s="23"/>
    </row>
    <row r="1283" spans="1:31">
      <c r="A1283" s="23"/>
      <c r="B1283" s="40"/>
      <c r="C1283" s="40"/>
      <c r="D1283" s="23"/>
      <c r="E1283" s="23"/>
      <c r="F1283" s="23"/>
      <c r="G1283" s="40"/>
      <c r="H1283" s="40"/>
      <c r="I1283" s="40"/>
      <c r="J1283" s="70"/>
      <c r="K1283" s="40"/>
      <c r="L1283" s="70"/>
      <c r="M1283" s="70"/>
      <c r="N1283" s="40"/>
      <c r="O1283" s="70"/>
      <c r="P1283" s="23"/>
      <c r="Q1283" s="23"/>
      <c r="R1283" s="72"/>
      <c r="S1283" s="23"/>
      <c r="T1283" s="23"/>
      <c r="U1283" s="23"/>
      <c r="V1283" s="23"/>
      <c r="W1283" s="23"/>
      <c r="X1283" s="23"/>
      <c r="Y1283" s="23"/>
      <c r="Z1283" s="23"/>
      <c r="AA1283" s="23"/>
      <c r="AB1283" s="23"/>
      <c r="AC1283" s="23"/>
      <c r="AD1283" s="23"/>
      <c r="AE1283" s="23"/>
    </row>
    <row r="1284" spans="1:31" ht="24" customHeight="1">
      <c r="A1284" s="23"/>
      <c r="B1284" s="40"/>
      <c r="C1284" s="40"/>
      <c r="D1284" s="23"/>
      <c r="E1284" s="23"/>
      <c r="F1284" s="23"/>
      <c r="G1284" s="40"/>
      <c r="H1284" s="40"/>
      <c r="I1284" s="40"/>
      <c r="J1284" s="70"/>
      <c r="K1284" s="40"/>
      <c r="L1284" s="70"/>
      <c r="M1284" s="70"/>
      <c r="N1284" s="40"/>
      <c r="O1284" s="70"/>
      <c r="P1284" s="23"/>
      <c r="Q1284" s="23"/>
      <c r="R1284" s="72"/>
      <c r="S1284" s="23"/>
      <c r="T1284" s="23"/>
      <c r="U1284" s="23"/>
      <c r="V1284" s="23"/>
      <c r="W1284" s="23"/>
      <c r="X1284" s="23"/>
      <c r="Y1284" s="23"/>
      <c r="Z1284" s="23"/>
      <c r="AA1284" s="23"/>
      <c r="AB1284" s="23"/>
      <c r="AC1284" s="23"/>
      <c r="AD1284" s="23"/>
      <c r="AE1284" s="23"/>
    </row>
    <row r="1285" spans="1:31">
      <c r="A1285" s="23"/>
      <c r="B1285" s="40"/>
      <c r="C1285" s="40"/>
      <c r="D1285" s="23"/>
      <c r="E1285" s="23"/>
      <c r="F1285" s="23"/>
      <c r="G1285" s="40"/>
      <c r="H1285" s="40"/>
      <c r="I1285" s="40"/>
      <c r="J1285" s="70"/>
      <c r="K1285" s="40"/>
      <c r="L1285" s="70"/>
      <c r="M1285" s="70"/>
      <c r="N1285" s="40"/>
      <c r="O1285" s="70"/>
      <c r="P1285" s="23"/>
      <c r="Q1285" s="23"/>
      <c r="R1285" s="72"/>
      <c r="S1285" s="23"/>
      <c r="T1285" s="23"/>
      <c r="U1285" s="23"/>
      <c r="V1285" s="23"/>
      <c r="W1285" s="23"/>
      <c r="X1285" s="23"/>
      <c r="Y1285" s="23"/>
      <c r="Z1285" s="23"/>
      <c r="AA1285" s="23"/>
      <c r="AB1285" s="23"/>
      <c r="AC1285" s="23"/>
      <c r="AD1285" s="23"/>
      <c r="AE1285" s="23"/>
    </row>
    <row r="1286" spans="1:31">
      <c r="A1286" s="23"/>
      <c r="B1286" s="40"/>
      <c r="C1286" s="40"/>
      <c r="D1286" s="23"/>
      <c r="E1286" s="23"/>
      <c r="F1286" s="23"/>
      <c r="G1286" s="40"/>
      <c r="H1286" s="40"/>
      <c r="I1286" s="40"/>
      <c r="J1286" s="70"/>
      <c r="K1286" s="40"/>
      <c r="L1286" s="70"/>
      <c r="M1286" s="70"/>
      <c r="N1286" s="40"/>
      <c r="O1286" s="70"/>
      <c r="P1286" s="23"/>
      <c r="Q1286" s="23"/>
      <c r="R1286" s="72"/>
      <c r="S1286" s="23"/>
      <c r="T1286" s="23"/>
      <c r="U1286" s="23"/>
      <c r="V1286" s="23"/>
      <c r="W1286" s="23"/>
      <c r="X1286" s="23"/>
      <c r="Y1286" s="23"/>
      <c r="Z1286" s="23"/>
      <c r="AA1286" s="23"/>
      <c r="AB1286" s="23"/>
      <c r="AC1286" s="23"/>
      <c r="AD1286" s="23"/>
      <c r="AE1286" s="23"/>
    </row>
    <row r="1287" spans="1:31">
      <c r="A1287" s="23"/>
      <c r="B1287" s="40"/>
      <c r="C1287" s="40"/>
      <c r="D1287" s="23"/>
      <c r="E1287" s="23"/>
      <c r="F1287" s="23"/>
      <c r="G1287" s="40"/>
      <c r="H1287" s="40"/>
      <c r="I1287" s="40"/>
      <c r="J1287" s="70"/>
      <c r="K1287" s="40"/>
      <c r="L1287" s="70"/>
      <c r="M1287" s="70"/>
      <c r="N1287" s="40"/>
      <c r="O1287" s="70"/>
      <c r="P1287" s="23"/>
      <c r="Q1287" s="23"/>
      <c r="R1287" s="72"/>
      <c r="S1287" s="23"/>
      <c r="T1287" s="23"/>
      <c r="U1287" s="23"/>
      <c r="V1287" s="23"/>
      <c r="W1287" s="23"/>
      <c r="X1287" s="23"/>
      <c r="Y1287" s="23"/>
      <c r="Z1287" s="23"/>
      <c r="AA1287" s="23"/>
      <c r="AB1287" s="23"/>
      <c r="AC1287" s="23"/>
      <c r="AD1287" s="23"/>
      <c r="AE1287" s="23"/>
    </row>
    <row r="1288" spans="1:31">
      <c r="A1288" s="23"/>
      <c r="B1288" s="40"/>
      <c r="C1288" s="40"/>
      <c r="D1288" s="23"/>
      <c r="E1288" s="23"/>
      <c r="F1288" s="23"/>
      <c r="G1288" s="40"/>
      <c r="H1288" s="40"/>
      <c r="I1288" s="40"/>
      <c r="J1288" s="70"/>
      <c r="K1288" s="40"/>
      <c r="L1288" s="70"/>
      <c r="M1288" s="70"/>
      <c r="N1288" s="40"/>
      <c r="O1288" s="70"/>
      <c r="P1288" s="23"/>
      <c r="Q1288" s="23"/>
      <c r="R1288" s="72"/>
      <c r="S1288" s="23"/>
      <c r="T1288" s="23"/>
      <c r="U1288" s="23"/>
      <c r="V1288" s="23"/>
      <c r="W1288" s="23"/>
      <c r="X1288" s="23"/>
      <c r="Y1288" s="23"/>
      <c r="Z1288" s="23"/>
      <c r="AA1288" s="23"/>
      <c r="AB1288" s="23"/>
      <c r="AC1288" s="23"/>
      <c r="AD1288" s="23"/>
      <c r="AE1288" s="23"/>
    </row>
    <row r="1289" spans="1:31">
      <c r="A1289" s="23"/>
      <c r="B1289" s="40"/>
      <c r="C1289" s="40"/>
      <c r="D1289" s="23"/>
      <c r="E1289" s="23"/>
      <c r="F1289" s="23"/>
      <c r="G1289" s="40"/>
      <c r="H1289" s="40"/>
      <c r="I1289" s="40"/>
      <c r="J1289" s="70"/>
      <c r="K1289" s="40"/>
      <c r="L1289" s="70"/>
      <c r="M1289" s="70"/>
      <c r="N1289" s="40"/>
      <c r="O1289" s="70"/>
      <c r="P1289" s="23"/>
      <c r="Q1289" s="23"/>
      <c r="R1289" s="72"/>
      <c r="S1289" s="23"/>
      <c r="T1289" s="23"/>
      <c r="U1289" s="23"/>
      <c r="V1289" s="23"/>
      <c r="W1289" s="23"/>
      <c r="X1289" s="23"/>
      <c r="Y1289" s="23"/>
      <c r="Z1289" s="23"/>
      <c r="AA1289" s="23"/>
      <c r="AB1289" s="23"/>
      <c r="AC1289" s="23"/>
      <c r="AD1289" s="23"/>
      <c r="AE1289" s="23"/>
    </row>
    <row r="1290" spans="1:31">
      <c r="A1290" s="23"/>
      <c r="B1290" s="40"/>
      <c r="C1290" s="40"/>
      <c r="D1290" s="23"/>
      <c r="E1290" s="23"/>
      <c r="F1290" s="23"/>
      <c r="G1290" s="40"/>
      <c r="H1290" s="40"/>
      <c r="I1290" s="40"/>
      <c r="J1290" s="70"/>
      <c r="K1290" s="40"/>
      <c r="L1290" s="70"/>
      <c r="M1290" s="70"/>
      <c r="N1290" s="40"/>
      <c r="O1290" s="70"/>
      <c r="P1290" s="23"/>
      <c r="Q1290" s="23"/>
      <c r="R1290" s="72"/>
      <c r="S1290" s="23"/>
      <c r="T1290" s="23"/>
      <c r="U1290" s="23"/>
      <c r="V1290" s="23"/>
      <c r="W1290" s="23"/>
      <c r="X1290" s="23"/>
      <c r="Y1290" s="23"/>
      <c r="Z1290" s="23"/>
      <c r="AA1290" s="23"/>
      <c r="AB1290" s="23"/>
      <c r="AC1290" s="23"/>
      <c r="AD1290" s="23"/>
      <c r="AE1290" s="23"/>
    </row>
    <row r="1291" spans="1:31">
      <c r="A1291" s="23"/>
      <c r="B1291" s="40"/>
      <c r="C1291" s="40"/>
      <c r="D1291" s="23"/>
      <c r="E1291" s="23"/>
      <c r="F1291" s="23"/>
      <c r="G1291" s="40"/>
      <c r="H1291" s="40"/>
      <c r="I1291" s="40"/>
      <c r="J1291" s="70"/>
      <c r="K1291" s="40"/>
      <c r="L1291" s="70"/>
      <c r="M1291" s="70"/>
      <c r="N1291" s="40"/>
      <c r="O1291" s="70"/>
      <c r="P1291" s="23"/>
      <c r="Q1291" s="23"/>
      <c r="R1291" s="72"/>
      <c r="S1291" s="23"/>
      <c r="T1291" s="23"/>
      <c r="U1291" s="23"/>
      <c r="V1291" s="23"/>
      <c r="W1291" s="23"/>
      <c r="X1291" s="23"/>
      <c r="Y1291" s="23"/>
      <c r="Z1291" s="23"/>
      <c r="AA1291" s="23"/>
      <c r="AB1291" s="23"/>
      <c r="AC1291" s="23"/>
      <c r="AD1291" s="23"/>
      <c r="AE1291" s="23"/>
    </row>
    <row r="1292" spans="1:31">
      <c r="A1292" s="23"/>
      <c r="B1292" s="40"/>
      <c r="C1292" s="40"/>
      <c r="D1292" s="23"/>
      <c r="E1292" s="23"/>
      <c r="F1292" s="23"/>
      <c r="G1292" s="40"/>
      <c r="H1292" s="40"/>
      <c r="I1292" s="40"/>
      <c r="J1292" s="70"/>
      <c r="K1292" s="40"/>
      <c r="L1292" s="70"/>
      <c r="M1292" s="70"/>
      <c r="N1292" s="40"/>
      <c r="O1292" s="70"/>
      <c r="P1292" s="23"/>
      <c r="Q1292" s="23"/>
      <c r="R1292" s="72"/>
      <c r="S1292" s="23"/>
      <c r="T1292" s="23"/>
      <c r="U1292" s="23"/>
      <c r="V1292" s="23"/>
      <c r="W1292" s="23"/>
      <c r="X1292" s="23"/>
      <c r="Y1292" s="23"/>
      <c r="Z1292" s="23"/>
      <c r="AA1292" s="23"/>
      <c r="AB1292" s="23"/>
      <c r="AC1292" s="23"/>
      <c r="AD1292" s="23"/>
      <c r="AE1292" s="23"/>
    </row>
    <row r="1293" spans="1:31">
      <c r="A1293" s="23"/>
      <c r="B1293" s="40"/>
      <c r="C1293" s="40"/>
      <c r="D1293" s="23"/>
      <c r="E1293" s="23"/>
      <c r="F1293" s="23"/>
      <c r="G1293" s="40"/>
      <c r="H1293" s="40"/>
      <c r="I1293" s="40"/>
      <c r="J1293" s="70"/>
      <c r="K1293" s="40"/>
      <c r="L1293" s="70"/>
      <c r="M1293" s="70"/>
      <c r="N1293" s="40"/>
      <c r="O1293" s="70"/>
      <c r="P1293" s="23"/>
      <c r="Q1293" s="23"/>
      <c r="R1293" s="72"/>
      <c r="S1293" s="23"/>
      <c r="T1293" s="23"/>
      <c r="U1293" s="23"/>
      <c r="V1293" s="23"/>
      <c r="W1293" s="23"/>
      <c r="X1293" s="23"/>
      <c r="Y1293" s="23"/>
      <c r="Z1293" s="23"/>
      <c r="AA1293" s="23"/>
      <c r="AB1293" s="23"/>
      <c r="AC1293" s="23"/>
      <c r="AD1293" s="23"/>
      <c r="AE1293" s="23"/>
    </row>
    <row r="1294" spans="1:31">
      <c r="A1294" s="23"/>
      <c r="B1294" s="40"/>
      <c r="C1294" s="40"/>
      <c r="D1294" s="23"/>
      <c r="E1294" s="23"/>
      <c r="F1294" s="23"/>
      <c r="G1294" s="40"/>
      <c r="H1294" s="40"/>
      <c r="I1294" s="40"/>
      <c r="J1294" s="70"/>
      <c r="K1294" s="40"/>
      <c r="L1294" s="70"/>
      <c r="M1294" s="70"/>
      <c r="N1294" s="40"/>
      <c r="O1294" s="70"/>
      <c r="P1294" s="23"/>
      <c r="Q1294" s="23"/>
      <c r="R1294" s="72"/>
      <c r="S1294" s="23"/>
      <c r="T1294" s="23"/>
      <c r="U1294" s="23"/>
      <c r="V1294" s="23"/>
      <c r="W1294" s="23"/>
      <c r="X1294" s="23"/>
      <c r="Y1294" s="23"/>
      <c r="Z1294" s="23"/>
      <c r="AA1294" s="23"/>
      <c r="AB1294" s="23"/>
      <c r="AC1294" s="23"/>
      <c r="AD1294" s="23"/>
      <c r="AE1294" s="23"/>
    </row>
    <row r="1295" spans="1:31" ht="24" customHeight="1">
      <c r="A1295" s="23"/>
      <c r="B1295" s="40"/>
      <c r="C1295" s="40"/>
      <c r="D1295" s="23"/>
      <c r="E1295" s="23"/>
      <c r="F1295" s="23"/>
      <c r="G1295" s="40"/>
      <c r="H1295" s="40"/>
      <c r="I1295" s="40"/>
      <c r="J1295" s="70"/>
      <c r="K1295" s="40"/>
      <c r="L1295" s="70"/>
      <c r="M1295" s="70"/>
      <c r="N1295" s="40"/>
      <c r="O1295" s="70"/>
      <c r="P1295" s="23"/>
      <c r="Q1295" s="23"/>
      <c r="R1295" s="72"/>
      <c r="S1295" s="23"/>
      <c r="T1295" s="23"/>
      <c r="U1295" s="23"/>
      <c r="V1295" s="23"/>
      <c r="W1295" s="23"/>
      <c r="X1295" s="23"/>
      <c r="Y1295" s="23"/>
      <c r="Z1295" s="23"/>
      <c r="AA1295" s="23"/>
      <c r="AB1295" s="23"/>
      <c r="AC1295" s="23"/>
      <c r="AD1295" s="23"/>
      <c r="AE1295" s="23"/>
    </row>
    <row r="1296" spans="1:31">
      <c r="A1296" s="23"/>
      <c r="B1296" s="40"/>
      <c r="C1296" s="40"/>
      <c r="D1296" s="23"/>
      <c r="E1296" s="23"/>
      <c r="F1296" s="23"/>
      <c r="G1296" s="40"/>
      <c r="H1296" s="40"/>
      <c r="I1296" s="40"/>
      <c r="J1296" s="70"/>
      <c r="K1296" s="40"/>
      <c r="L1296" s="70"/>
      <c r="M1296" s="70"/>
      <c r="N1296" s="40"/>
      <c r="O1296" s="70"/>
      <c r="P1296" s="23"/>
      <c r="Q1296" s="23"/>
      <c r="R1296" s="72"/>
      <c r="S1296" s="23"/>
      <c r="T1296" s="23"/>
      <c r="U1296" s="23"/>
      <c r="V1296" s="23"/>
      <c r="W1296" s="23"/>
      <c r="X1296" s="23"/>
      <c r="Y1296" s="23"/>
      <c r="Z1296" s="23"/>
      <c r="AA1296" s="23"/>
      <c r="AB1296" s="23"/>
      <c r="AC1296" s="23"/>
      <c r="AD1296" s="23"/>
      <c r="AE1296" s="23"/>
    </row>
    <row r="1297" spans="1:31">
      <c r="A1297" s="23"/>
      <c r="B1297" s="40"/>
      <c r="C1297" s="40"/>
      <c r="D1297" s="23"/>
      <c r="E1297" s="23"/>
      <c r="F1297" s="23"/>
      <c r="G1297" s="40"/>
      <c r="H1297" s="40"/>
      <c r="I1297" s="40"/>
      <c r="J1297" s="70"/>
      <c r="K1297" s="40"/>
      <c r="L1297" s="70"/>
      <c r="M1297" s="70"/>
      <c r="N1297" s="40"/>
      <c r="O1297" s="70"/>
      <c r="P1297" s="23"/>
      <c r="Q1297" s="23"/>
      <c r="R1297" s="72"/>
      <c r="S1297" s="23"/>
      <c r="T1297" s="23"/>
      <c r="U1297" s="23"/>
      <c r="V1297" s="23"/>
      <c r="W1297" s="23"/>
      <c r="X1297" s="23"/>
      <c r="Y1297" s="23"/>
      <c r="Z1297" s="23"/>
      <c r="AA1297" s="23"/>
      <c r="AB1297" s="23"/>
      <c r="AC1297" s="23"/>
      <c r="AD1297" s="23"/>
      <c r="AE1297" s="23"/>
    </row>
    <row r="1298" spans="1:31">
      <c r="A1298" s="23"/>
      <c r="B1298" s="40"/>
      <c r="C1298" s="40"/>
      <c r="D1298" s="23"/>
      <c r="E1298" s="23"/>
      <c r="F1298" s="23"/>
      <c r="G1298" s="40"/>
      <c r="H1298" s="40"/>
      <c r="I1298" s="40"/>
      <c r="J1298" s="70"/>
      <c r="K1298" s="40"/>
      <c r="L1298" s="70"/>
      <c r="M1298" s="70"/>
      <c r="N1298" s="40"/>
      <c r="O1298" s="70"/>
      <c r="P1298" s="23"/>
      <c r="Q1298" s="23"/>
      <c r="R1298" s="72"/>
      <c r="S1298" s="23"/>
      <c r="T1298" s="23"/>
      <c r="U1298" s="23"/>
      <c r="V1298" s="23"/>
      <c r="W1298" s="23"/>
      <c r="X1298" s="23"/>
      <c r="Y1298" s="23"/>
      <c r="Z1298" s="23"/>
      <c r="AA1298" s="23"/>
      <c r="AB1298" s="23"/>
      <c r="AC1298" s="23"/>
      <c r="AD1298" s="23"/>
      <c r="AE1298" s="23"/>
    </row>
    <row r="1299" spans="1:31">
      <c r="A1299" s="23"/>
      <c r="B1299" s="40"/>
      <c r="C1299" s="40"/>
      <c r="D1299" s="23"/>
      <c r="E1299" s="23"/>
      <c r="F1299" s="23"/>
      <c r="G1299" s="40"/>
      <c r="H1299" s="40"/>
      <c r="I1299" s="40"/>
      <c r="J1299" s="70"/>
      <c r="K1299" s="40"/>
      <c r="L1299" s="70"/>
      <c r="M1299" s="70"/>
      <c r="N1299" s="40"/>
      <c r="O1299" s="70"/>
      <c r="P1299" s="23"/>
      <c r="Q1299" s="23"/>
      <c r="R1299" s="72"/>
      <c r="S1299" s="23"/>
      <c r="T1299" s="23"/>
      <c r="U1299" s="23"/>
      <c r="V1299" s="23"/>
      <c r="W1299" s="23"/>
      <c r="X1299" s="23"/>
      <c r="Y1299" s="23"/>
      <c r="Z1299" s="23"/>
      <c r="AA1299" s="23"/>
      <c r="AB1299" s="23"/>
      <c r="AC1299" s="23"/>
      <c r="AD1299" s="23"/>
      <c r="AE1299" s="23"/>
    </row>
    <row r="1300" spans="1:31" ht="24" customHeight="1">
      <c r="A1300" s="23"/>
      <c r="B1300" s="40"/>
      <c r="C1300" s="40"/>
      <c r="D1300" s="23"/>
      <c r="E1300" s="23"/>
      <c r="F1300" s="23"/>
      <c r="G1300" s="40"/>
      <c r="H1300" s="40"/>
      <c r="I1300" s="40"/>
      <c r="J1300" s="70"/>
      <c r="K1300" s="40"/>
      <c r="L1300" s="70"/>
      <c r="M1300" s="70"/>
      <c r="N1300" s="40"/>
      <c r="O1300" s="70"/>
      <c r="P1300" s="23"/>
      <c r="Q1300" s="23"/>
      <c r="R1300" s="72"/>
      <c r="S1300" s="23"/>
      <c r="T1300" s="23"/>
      <c r="U1300" s="23"/>
      <c r="V1300" s="23"/>
      <c r="W1300" s="23"/>
      <c r="X1300" s="23"/>
      <c r="Y1300" s="23"/>
      <c r="Z1300" s="23"/>
      <c r="AA1300" s="23"/>
      <c r="AB1300" s="23"/>
      <c r="AC1300" s="23"/>
      <c r="AD1300" s="23"/>
      <c r="AE1300" s="23"/>
    </row>
    <row r="1301" spans="1:31">
      <c r="A1301" s="23"/>
      <c r="B1301" s="40"/>
      <c r="C1301" s="40"/>
      <c r="D1301" s="23"/>
      <c r="E1301" s="23"/>
      <c r="F1301" s="23"/>
      <c r="G1301" s="40"/>
      <c r="H1301" s="40"/>
      <c r="I1301" s="40"/>
      <c r="J1301" s="70"/>
      <c r="K1301" s="40"/>
      <c r="L1301" s="70"/>
      <c r="M1301" s="70"/>
      <c r="N1301" s="40"/>
      <c r="O1301" s="70"/>
      <c r="P1301" s="23"/>
      <c r="Q1301" s="23"/>
      <c r="R1301" s="72"/>
      <c r="S1301" s="23"/>
      <c r="T1301" s="23"/>
      <c r="U1301" s="23"/>
      <c r="V1301" s="23"/>
      <c r="W1301" s="23"/>
      <c r="X1301" s="23"/>
      <c r="Y1301" s="23"/>
      <c r="Z1301" s="23"/>
      <c r="AA1301" s="23"/>
      <c r="AB1301" s="23"/>
      <c r="AC1301" s="23"/>
      <c r="AD1301" s="23"/>
      <c r="AE1301" s="23"/>
    </row>
    <row r="1302" spans="1:31">
      <c r="A1302" s="23"/>
      <c r="B1302" s="40"/>
      <c r="C1302" s="40"/>
      <c r="D1302" s="23"/>
      <c r="E1302" s="23"/>
      <c r="F1302" s="23"/>
      <c r="G1302" s="40"/>
      <c r="H1302" s="40"/>
      <c r="I1302" s="40"/>
      <c r="J1302" s="70"/>
      <c r="K1302" s="40"/>
      <c r="L1302" s="70"/>
      <c r="M1302" s="70"/>
      <c r="N1302" s="40"/>
      <c r="O1302" s="70"/>
      <c r="P1302" s="23"/>
      <c r="Q1302" s="23"/>
      <c r="R1302" s="72"/>
      <c r="S1302" s="23"/>
      <c r="T1302" s="23"/>
      <c r="U1302" s="23"/>
      <c r="V1302" s="23"/>
      <c r="W1302" s="23"/>
      <c r="X1302" s="23"/>
      <c r="Y1302" s="23"/>
      <c r="Z1302" s="23"/>
      <c r="AA1302" s="23"/>
      <c r="AB1302" s="23"/>
      <c r="AC1302" s="23"/>
      <c r="AD1302" s="23"/>
      <c r="AE1302" s="23"/>
    </row>
    <row r="1303" spans="1:31">
      <c r="A1303" s="23"/>
      <c r="B1303" s="40"/>
      <c r="C1303" s="40"/>
      <c r="D1303" s="23"/>
      <c r="E1303" s="23"/>
      <c r="F1303" s="23"/>
      <c r="G1303" s="40"/>
      <c r="H1303" s="40"/>
      <c r="I1303" s="40"/>
      <c r="J1303" s="70"/>
      <c r="K1303" s="40"/>
      <c r="L1303" s="70"/>
      <c r="M1303" s="70"/>
      <c r="N1303" s="40"/>
      <c r="O1303" s="70"/>
      <c r="P1303" s="23"/>
      <c r="Q1303" s="23"/>
      <c r="R1303" s="72"/>
      <c r="S1303" s="23"/>
      <c r="T1303" s="23"/>
      <c r="U1303" s="23"/>
      <c r="V1303" s="23"/>
      <c r="W1303" s="23"/>
      <c r="X1303" s="23"/>
      <c r="Y1303" s="23"/>
      <c r="Z1303" s="23"/>
      <c r="AA1303" s="23"/>
      <c r="AB1303" s="23"/>
      <c r="AC1303" s="23"/>
      <c r="AD1303" s="23"/>
      <c r="AE1303" s="23"/>
    </row>
    <row r="1304" spans="1:31">
      <c r="A1304" s="23"/>
      <c r="B1304" s="40"/>
      <c r="C1304" s="40"/>
      <c r="D1304" s="23"/>
      <c r="E1304" s="23"/>
      <c r="F1304" s="23"/>
      <c r="G1304" s="40"/>
      <c r="H1304" s="40"/>
      <c r="I1304" s="40"/>
      <c r="J1304" s="70"/>
      <c r="K1304" s="40"/>
      <c r="L1304" s="70"/>
      <c r="M1304" s="70"/>
      <c r="N1304" s="40"/>
      <c r="O1304" s="70"/>
      <c r="P1304" s="23"/>
      <c r="Q1304" s="23"/>
      <c r="R1304" s="72"/>
      <c r="S1304" s="23"/>
      <c r="T1304" s="23"/>
      <c r="U1304" s="23"/>
      <c r="V1304" s="23"/>
      <c r="W1304" s="23"/>
      <c r="X1304" s="23"/>
      <c r="Y1304" s="23"/>
      <c r="Z1304" s="23"/>
      <c r="AA1304" s="23"/>
      <c r="AB1304" s="23"/>
      <c r="AC1304" s="23"/>
      <c r="AD1304" s="23"/>
      <c r="AE1304" s="23"/>
    </row>
    <row r="1305" spans="1:31" ht="24" customHeight="1">
      <c r="A1305" s="23"/>
      <c r="B1305" s="40"/>
      <c r="C1305" s="40"/>
      <c r="D1305" s="23"/>
      <c r="E1305" s="23"/>
      <c r="F1305" s="23"/>
      <c r="G1305" s="40"/>
      <c r="H1305" s="40"/>
      <c r="I1305" s="40"/>
      <c r="J1305" s="70"/>
      <c r="K1305" s="40"/>
      <c r="L1305" s="70"/>
      <c r="M1305" s="70"/>
      <c r="N1305" s="40"/>
      <c r="O1305" s="70"/>
      <c r="P1305" s="23"/>
      <c r="Q1305" s="23"/>
      <c r="R1305" s="72"/>
      <c r="S1305" s="23"/>
      <c r="T1305" s="23"/>
      <c r="U1305" s="23"/>
      <c r="V1305" s="23"/>
      <c r="W1305" s="23"/>
      <c r="X1305" s="23"/>
      <c r="Y1305" s="23"/>
      <c r="Z1305" s="23"/>
      <c r="AA1305" s="23"/>
      <c r="AB1305" s="23"/>
      <c r="AC1305" s="23"/>
      <c r="AD1305" s="23"/>
      <c r="AE1305" s="23"/>
    </row>
    <row r="1306" spans="1:31">
      <c r="A1306" s="23"/>
      <c r="B1306" s="40"/>
      <c r="C1306" s="40"/>
      <c r="D1306" s="23"/>
      <c r="E1306" s="23"/>
      <c r="F1306" s="23"/>
      <c r="G1306" s="40"/>
      <c r="H1306" s="40"/>
      <c r="I1306" s="40"/>
      <c r="J1306" s="70"/>
      <c r="K1306" s="40"/>
      <c r="L1306" s="70"/>
      <c r="M1306" s="70"/>
      <c r="N1306" s="40"/>
      <c r="O1306" s="70"/>
      <c r="P1306" s="23"/>
      <c r="Q1306" s="23"/>
      <c r="R1306" s="72"/>
      <c r="S1306" s="23"/>
      <c r="T1306" s="23"/>
      <c r="U1306" s="23"/>
      <c r="V1306" s="23"/>
      <c r="W1306" s="23"/>
      <c r="X1306" s="23"/>
      <c r="Y1306" s="23"/>
      <c r="Z1306" s="23"/>
      <c r="AA1306" s="23"/>
      <c r="AB1306" s="23"/>
      <c r="AC1306" s="23"/>
      <c r="AD1306" s="23"/>
      <c r="AE1306" s="23"/>
    </row>
    <row r="1307" spans="1:31">
      <c r="A1307" s="23"/>
      <c r="B1307" s="40"/>
      <c r="C1307" s="40"/>
      <c r="D1307" s="23"/>
      <c r="E1307" s="23"/>
      <c r="F1307" s="23"/>
      <c r="G1307" s="40"/>
      <c r="H1307" s="40"/>
      <c r="I1307" s="40"/>
      <c r="J1307" s="70"/>
      <c r="K1307" s="40"/>
      <c r="L1307" s="70"/>
      <c r="M1307" s="70"/>
      <c r="N1307" s="40"/>
      <c r="O1307" s="70"/>
      <c r="P1307" s="23"/>
      <c r="Q1307" s="23"/>
      <c r="R1307" s="72"/>
      <c r="S1307" s="23"/>
      <c r="T1307" s="23"/>
      <c r="U1307" s="23"/>
      <c r="V1307" s="23"/>
      <c r="W1307" s="23"/>
      <c r="X1307" s="23"/>
      <c r="Y1307" s="23"/>
      <c r="Z1307" s="23"/>
      <c r="AA1307" s="23"/>
      <c r="AB1307" s="23"/>
      <c r="AC1307" s="23"/>
      <c r="AD1307" s="23"/>
      <c r="AE1307" s="23"/>
    </row>
    <row r="1308" spans="1:31">
      <c r="A1308" s="23"/>
      <c r="B1308" s="40"/>
      <c r="C1308" s="40"/>
      <c r="D1308" s="23"/>
      <c r="E1308" s="23"/>
      <c r="F1308" s="23"/>
      <c r="G1308" s="40"/>
      <c r="H1308" s="40"/>
      <c r="I1308" s="40"/>
      <c r="J1308" s="70"/>
      <c r="K1308" s="40"/>
      <c r="L1308" s="70"/>
      <c r="M1308" s="70"/>
      <c r="N1308" s="40"/>
      <c r="O1308" s="70"/>
      <c r="P1308" s="23"/>
      <c r="Q1308" s="23"/>
      <c r="R1308" s="72"/>
      <c r="S1308" s="23"/>
      <c r="T1308" s="23"/>
      <c r="U1308" s="23"/>
      <c r="V1308" s="23"/>
      <c r="W1308" s="23"/>
      <c r="X1308" s="23"/>
      <c r="Y1308" s="23"/>
      <c r="Z1308" s="23"/>
      <c r="AA1308" s="23"/>
      <c r="AB1308" s="23"/>
      <c r="AC1308" s="23"/>
      <c r="AD1308" s="23"/>
      <c r="AE1308" s="23"/>
    </row>
    <row r="1309" spans="1:31">
      <c r="A1309" s="23"/>
      <c r="B1309" s="40"/>
      <c r="C1309" s="40"/>
      <c r="D1309" s="23"/>
      <c r="E1309" s="23"/>
      <c r="F1309" s="23"/>
      <c r="G1309" s="40"/>
      <c r="H1309" s="40"/>
      <c r="I1309" s="40"/>
      <c r="J1309" s="70"/>
      <c r="K1309" s="40"/>
      <c r="L1309" s="70"/>
      <c r="M1309" s="70"/>
      <c r="N1309" s="40"/>
      <c r="O1309" s="70"/>
      <c r="P1309" s="23"/>
      <c r="Q1309" s="23"/>
      <c r="R1309" s="72"/>
      <c r="S1309" s="23"/>
      <c r="T1309" s="23"/>
      <c r="U1309" s="23"/>
      <c r="V1309" s="23"/>
      <c r="W1309" s="23"/>
      <c r="X1309" s="23"/>
      <c r="Y1309" s="23"/>
      <c r="Z1309" s="23"/>
      <c r="AA1309" s="23"/>
      <c r="AB1309" s="23"/>
      <c r="AC1309" s="23"/>
      <c r="AD1309" s="23"/>
      <c r="AE1309" s="23"/>
    </row>
    <row r="1310" spans="1:31">
      <c r="A1310" s="23"/>
      <c r="B1310" s="40"/>
      <c r="C1310" s="40"/>
      <c r="D1310" s="23"/>
      <c r="E1310" s="23"/>
      <c r="F1310" s="23"/>
      <c r="G1310" s="40"/>
      <c r="H1310" s="40"/>
      <c r="I1310" s="40"/>
      <c r="J1310" s="70"/>
      <c r="K1310" s="40"/>
      <c r="L1310" s="70"/>
      <c r="M1310" s="70"/>
      <c r="N1310" s="40"/>
      <c r="O1310" s="70"/>
      <c r="P1310" s="23"/>
      <c r="Q1310" s="23"/>
      <c r="R1310" s="72"/>
      <c r="S1310" s="23"/>
      <c r="T1310" s="23"/>
      <c r="U1310" s="23"/>
      <c r="V1310" s="23"/>
      <c r="W1310" s="23"/>
      <c r="X1310" s="23"/>
      <c r="Y1310" s="23"/>
      <c r="Z1310" s="23"/>
      <c r="AA1310" s="23"/>
      <c r="AB1310" s="23"/>
      <c r="AC1310" s="23"/>
      <c r="AD1310" s="23"/>
      <c r="AE1310" s="23"/>
    </row>
    <row r="1311" spans="1:31">
      <c r="A1311" s="23"/>
      <c r="B1311" s="40"/>
      <c r="C1311" s="40"/>
      <c r="D1311" s="23"/>
      <c r="E1311" s="23"/>
      <c r="F1311" s="23"/>
      <c r="G1311" s="40"/>
      <c r="H1311" s="40"/>
      <c r="I1311" s="40"/>
      <c r="J1311" s="70"/>
      <c r="K1311" s="40"/>
      <c r="L1311" s="70"/>
      <c r="M1311" s="70"/>
      <c r="N1311" s="40"/>
      <c r="O1311" s="70"/>
      <c r="P1311" s="23"/>
      <c r="Q1311" s="23"/>
      <c r="R1311" s="72"/>
      <c r="S1311" s="23"/>
      <c r="T1311" s="23"/>
      <c r="U1311" s="23"/>
      <c r="V1311" s="23"/>
      <c r="W1311" s="23"/>
      <c r="X1311" s="23"/>
      <c r="Y1311" s="23"/>
      <c r="Z1311" s="23"/>
      <c r="AA1311" s="23"/>
      <c r="AB1311" s="23"/>
      <c r="AC1311" s="23"/>
      <c r="AD1311" s="23"/>
      <c r="AE1311" s="23"/>
    </row>
    <row r="1312" spans="1:31">
      <c r="A1312" s="23"/>
      <c r="B1312" s="40"/>
      <c r="C1312" s="40"/>
      <c r="D1312" s="23"/>
      <c r="E1312" s="23"/>
      <c r="F1312" s="23"/>
      <c r="G1312" s="40"/>
      <c r="H1312" s="40"/>
      <c r="I1312" s="40"/>
      <c r="J1312" s="70"/>
      <c r="K1312" s="40"/>
      <c r="L1312" s="70"/>
      <c r="M1312" s="70"/>
      <c r="N1312" s="40"/>
      <c r="O1312" s="70"/>
      <c r="P1312" s="23"/>
      <c r="Q1312" s="23"/>
      <c r="R1312" s="72"/>
      <c r="S1312" s="23"/>
      <c r="T1312" s="23"/>
      <c r="U1312" s="23"/>
      <c r="V1312" s="23"/>
      <c r="W1312" s="23"/>
      <c r="X1312" s="23"/>
      <c r="Y1312" s="23"/>
      <c r="Z1312" s="23"/>
      <c r="AA1312" s="23"/>
      <c r="AB1312" s="23"/>
      <c r="AC1312" s="23"/>
      <c r="AD1312" s="23"/>
      <c r="AE1312" s="23"/>
    </row>
    <row r="1313" spans="1:31">
      <c r="A1313" s="23"/>
      <c r="B1313" s="40"/>
      <c r="C1313" s="40"/>
      <c r="D1313" s="23"/>
      <c r="E1313" s="23"/>
      <c r="F1313" s="23"/>
      <c r="G1313" s="40"/>
      <c r="H1313" s="40"/>
      <c r="I1313" s="40"/>
      <c r="J1313" s="70"/>
      <c r="K1313" s="40"/>
      <c r="L1313" s="70"/>
      <c r="M1313" s="70"/>
      <c r="N1313" s="40"/>
      <c r="O1313" s="70"/>
      <c r="P1313" s="23"/>
      <c r="Q1313" s="23"/>
      <c r="R1313" s="72"/>
      <c r="S1313" s="23"/>
      <c r="T1313" s="23"/>
      <c r="U1313" s="23"/>
      <c r="V1313" s="23"/>
      <c r="W1313" s="23"/>
      <c r="X1313" s="23"/>
      <c r="Y1313" s="23"/>
      <c r="Z1313" s="23"/>
      <c r="AA1313" s="23"/>
      <c r="AB1313" s="23"/>
      <c r="AC1313" s="23"/>
      <c r="AD1313" s="23"/>
      <c r="AE1313" s="23"/>
    </row>
    <row r="1314" spans="1:31">
      <c r="A1314" s="23"/>
      <c r="B1314" s="40"/>
      <c r="C1314" s="40"/>
      <c r="D1314" s="23"/>
      <c r="E1314" s="23"/>
      <c r="F1314" s="23"/>
      <c r="G1314" s="40"/>
      <c r="H1314" s="40"/>
      <c r="I1314" s="40"/>
      <c r="J1314" s="70"/>
      <c r="K1314" s="40"/>
      <c r="L1314" s="70"/>
      <c r="M1314" s="70"/>
      <c r="N1314" s="40"/>
      <c r="O1314" s="70"/>
      <c r="P1314" s="23"/>
      <c r="Q1314" s="23"/>
      <c r="R1314" s="72"/>
      <c r="S1314" s="23"/>
      <c r="T1314" s="23"/>
      <c r="U1314" s="23"/>
      <c r="V1314" s="23"/>
      <c r="W1314" s="23"/>
      <c r="X1314" s="23"/>
      <c r="Y1314" s="23"/>
      <c r="Z1314" s="23"/>
      <c r="AA1314" s="23"/>
      <c r="AB1314" s="23"/>
      <c r="AC1314" s="23"/>
      <c r="AD1314" s="23"/>
      <c r="AE1314" s="23"/>
    </row>
    <row r="1315" spans="1:31">
      <c r="A1315" s="23"/>
      <c r="B1315" s="40"/>
      <c r="C1315" s="40"/>
      <c r="D1315" s="23"/>
      <c r="E1315" s="23"/>
      <c r="F1315" s="23"/>
      <c r="G1315" s="40"/>
      <c r="H1315" s="40"/>
      <c r="I1315" s="40"/>
      <c r="J1315" s="70"/>
      <c r="K1315" s="40"/>
      <c r="L1315" s="70"/>
      <c r="M1315" s="70"/>
      <c r="N1315" s="40"/>
      <c r="O1315" s="70"/>
      <c r="P1315" s="23"/>
      <c r="Q1315" s="23"/>
      <c r="R1315" s="72"/>
      <c r="S1315" s="23"/>
      <c r="T1315" s="23"/>
      <c r="U1315" s="23"/>
      <c r="V1315" s="23"/>
      <c r="W1315" s="23"/>
      <c r="X1315" s="23"/>
      <c r="Y1315" s="23"/>
      <c r="Z1315" s="23"/>
      <c r="AA1315" s="23"/>
      <c r="AB1315" s="23"/>
      <c r="AC1315" s="23"/>
      <c r="AD1315" s="23"/>
      <c r="AE1315" s="23"/>
    </row>
    <row r="1316" spans="1:31" ht="24" customHeight="1">
      <c r="A1316" s="23"/>
      <c r="B1316" s="40"/>
      <c r="C1316" s="40"/>
      <c r="D1316" s="23"/>
      <c r="E1316" s="23"/>
      <c r="F1316" s="23"/>
      <c r="G1316" s="40"/>
      <c r="H1316" s="40"/>
      <c r="I1316" s="40"/>
      <c r="J1316" s="70"/>
      <c r="K1316" s="40"/>
      <c r="L1316" s="70"/>
      <c r="M1316" s="70"/>
      <c r="N1316" s="40"/>
      <c r="O1316" s="70"/>
      <c r="P1316" s="23"/>
      <c r="Q1316" s="23"/>
      <c r="R1316" s="72"/>
      <c r="S1316" s="23"/>
      <c r="T1316" s="23"/>
      <c r="U1316" s="23"/>
      <c r="V1316" s="23"/>
      <c r="W1316" s="23"/>
      <c r="X1316" s="23"/>
      <c r="Y1316" s="23"/>
      <c r="Z1316" s="23"/>
      <c r="AA1316" s="23"/>
      <c r="AB1316" s="23"/>
      <c r="AC1316" s="23"/>
      <c r="AD1316" s="23"/>
      <c r="AE1316" s="23"/>
    </row>
    <row r="1317" spans="1:31">
      <c r="A1317" s="23"/>
      <c r="B1317" s="40"/>
      <c r="C1317" s="40"/>
      <c r="D1317" s="23"/>
      <c r="E1317" s="23"/>
      <c r="F1317" s="23"/>
      <c r="G1317" s="40"/>
      <c r="H1317" s="40"/>
      <c r="I1317" s="40"/>
      <c r="J1317" s="70"/>
      <c r="K1317" s="40"/>
      <c r="L1317" s="70"/>
      <c r="M1317" s="70"/>
      <c r="N1317" s="40"/>
      <c r="O1317" s="70"/>
      <c r="P1317" s="23"/>
      <c r="Q1317" s="23"/>
      <c r="R1317" s="72"/>
      <c r="S1317" s="23"/>
      <c r="T1317" s="23"/>
      <c r="U1317" s="23"/>
      <c r="V1317" s="23"/>
      <c r="W1317" s="23"/>
      <c r="X1317" s="23"/>
      <c r="Y1317" s="23"/>
      <c r="Z1317" s="23"/>
      <c r="AA1317" s="23"/>
      <c r="AB1317" s="23"/>
      <c r="AC1317" s="23"/>
      <c r="AD1317" s="23"/>
      <c r="AE1317" s="23"/>
    </row>
    <row r="1318" spans="1:31">
      <c r="A1318" s="23"/>
      <c r="B1318" s="40"/>
      <c r="C1318" s="40"/>
      <c r="D1318" s="23"/>
      <c r="E1318" s="23"/>
      <c r="F1318" s="23"/>
      <c r="G1318" s="40"/>
      <c r="H1318" s="40"/>
      <c r="I1318" s="40"/>
      <c r="J1318" s="70"/>
      <c r="K1318" s="40"/>
      <c r="L1318" s="70"/>
      <c r="M1318" s="70"/>
      <c r="N1318" s="40"/>
      <c r="O1318" s="70"/>
      <c r="P1318" s="23"/>
      <c r="Q1318" s="23"/>
      <c r="R1318" s="72"/>
      <c r="S1318" s="23"/>
      <c r="T1318" s="23"/>
      <c r="U1318" s="23"/>
      <c r="V1318" s="23"/>
      <c r="W1318" s="23"/>
      <c r="X1318" s="23"/>
      <c r="Y1318" s="23"/>
      <c r="Z1318" s="23"/>
      <c r="AA1318" s="23"/>
      <c r="AB1318" s="23"/>
      <c r="AC1318" s="23"/>
      <c r="AD1318" s="23"/>
      <c r="AE1318" s="23"/>
    </row>
    <row r="1319" spans="1:31">
      <c r="A1319" s="23"/>
      <c r="B1319" s="40"/>
      <c r="C1319" s="40"/>
      <c r="D1319" s="23"/>
      <c r="E1319" s="23"/>
      <c r="F1319" s="23"/>
      <c r="G1319" s="40"/>
      <c r="H1319" s="40"/>
      <c r="I1319" s="40"/>
      <c r="J1319" s="70"/>
      <c r="K1319" s="40"/>
      <c r="L1319" s="70"/>
      <c r="M1319" s="70"/>
      <c r="N1319" s="40"/>
      <c r="O1319" s="70"/>
      <c r="P1319" s="23"/>
      <c r="Q1319" s="23"/>
      <c r="R1319" s="72"/>
      <c r="S1319" s="23"/>
      <c r="T1319" s="23"/>
      <c r="U1319" s="23"/>
      <c r="V1319" s="23"/>
      <c r="W1319" s="23"/>
      <c r="X1319" s="23"/>
      <c r="Y1319" s="23"/>
      <c r="Z1319" s="23"/>
      <c r="AA1319" s="23"/>
      <c r="AB1319" s="23"/>
      <c r="AC1319" s="23"/>
      <c r="AD1319" s="23"/>
      <c r="AE1319" s="23"/>
    </row>
    <row r="1320" spans="1:31">
      <c r="A1320" s="23"/>
      <c r="B1320" s="40"/>
      <c r="C1320" s="40"/>
      <c r="D1320" s="23"/>
      <c r="E1320" s="23"/>
      <c r="F1320" s="23"/>
      <c r="G1320" s="40"/>
      <c r="H1320" s="40"/>
      <c r="I1320" s="40"/>
      <c r="J1320" s="70"/>
      <c r="K1320" s="40"/>
      <c r="L1320" s="70"/>
      <c r="M1320" s="70"/>
      <c r="N1320" s="40"/>
      <c r="O1320" s="70"/>
      <c r="P1320" s="23"/>
      <c r="Q1320" s="23"/>
      <c r="R1320" s="72"/>
      <c r="S1320" s="23"/>
      <c r="T1320" s="23"/>
      <c r="U1320" s="23"/>
      <c r="V1320" s="23"/>
      <c r="W1320" s="23"/>
      <c r="X1320" s="23"/>
      <c r="Y1320" s="23"/>
      <c r="Z1320" s="23"/>
      <c r="AA1320" s="23"/>
      <c r="AB1320" s="23"/>
      <c r="AC1320" s="23"/>
      <c r="AD1320" s="23"/>
      <c r="AE1320" s="23"/>
    </row>
    <row r="1321" spans="1:31" ht="24" customHeight="1">
      <c r="A1321" s="23"/>
      <c r="B1321" s="40"/>
      <c r="C1321" s="40"/>
      <c r="D1321" s="23"/>
      <c r="E1321" s="23"/>
      <c r="F1321" s="23"/>
      <c r="G1321" s="40"/>
      <c r="H1321" s="40"/>
      <c r="I1321" s="40"/>
      <c r="J1321" s="70"/>
      <c r="K1321" s="40"/>
      <c r="L1321" s="70"/>
      <c r="M1321" s="70"/>
      <c r="N1321" s="40"/>
      <c r="O1321" s="70"/>
      <c r="P1321" s="23"/>
      <c r="Q1321" s="23"/>
      <c r="R1321" s="72"/>
      <c r="S1321" s="23"/>
      <c r="T1321" s="23"/>
      <c r="U1321" s="23"/>
      <c r="V1321" s="23"/>
      <c r="W1321" s="23"/>
      <c r="X1321" s="23"/>
      <c r="Y1321" s="23"/>
      <c r="Z1321" s="23"/>
      <c r="AA1321" s="23"/>
      <c r="AB1321" s="23"/>
      <c r="AC1321" s="23"/>
      <c r="AD1321" s="23"/>
      <c r="AE1321" s="23"/>
    </row>
    <row r="1322" spans="1:31">
      <c r="A1322" s="23"/>
      <c r="B1322" s="40"/>
      <c r="C1322" s="40"/>
      <c r="D1322" s="23"/>
      <c r="E1322" s="23"/>
      <c r="F1322" s="23"/>
      <c r="G1322" s="40"/>
      <c r="H1322" s="40"/>
      <c r="I1322" s="40"/>
      <c r="J1322" s="70"/>
      <c r="K1322" s="40"/>
      <c r="L1322" s="70"/>
      <c r="M1322" s="70"/>
      <c r="N1322" s="40"/>
      <c r="O1322" s="70"/>
      <c r="P1322" s="23"/>
      <c r="Q1322" s="23"/>
      <c r="R1322" s="72"/>
      <c r="S1322" s="23"/>
      <c r="T1322" s="23"/>
      <c r="U1322" s="23"/>
      <c r="V1322" s="23"/>
      <c r="W1322" s="23"/>
      <c r="X1322" s="23"/>
      <c r="Y1322" s="23"/>
      <c r="Z1322" s="23"/>
      <c r="AA1322" s="23"/>
      <c r="AB1322" s="23"/>
      <c r="AC1322" s="23"/>
      <c r="AD1322" s="23"/>
      <c r="AE1322" s="23"/>
    </row>
    <row r="1323" spans="1:31">
      <c r="A1323" s="23"/>
      <c r="B1323" s="40"/>
      <c r="C1323" s="40"/>
      <c r="D1323" s="23"/>
      <c r="E1323" s="23"/>
      <c r="F1323" s="23"/>
      <c r="G1323" s="40"/>
      <c r="H1323" s="40"/>
      <c r="I1323" s="40"/>
      <c r="J1323" s="70"/>
      <c r="K1323" s="40"/>
      <c r="L1323" s="70"/>
      <c r="M1323" s="70"/>
      <c r="N1323" s="40"/>
      <c r="O1323" s="70"/>
      <c r="P1323" s="23"/>
      <c r="Q1323" s="23"/>
      <c r="R1323" s="72"/>
      <c r="S1323" s="23"/>
      <c r="T1323" s="23"/>
      <c r="U1323" s="23"/>
      <c r="V1323" s="23"/>
      <c r="W1323" s="23"/>
      <c r="X1323" s="23"/>
      <c r="Y1323" s="23"/>
      <c r="Z1323" s="23"/>
      <c r="AA1323" s="23"/>
      <c r="AB1323" s="23"/>
      <c r="AC1323" s="23"/>
      <c r="AD1323" s="23"/>
      <c r="AE1323" s="23"/>
    </row>
    <row r="1324" spans="1:31">
      <c r="A1324" s="23"/>
      <c r="B1324" s="40"/>
      <c r="C1324" s="40"/>
      <c r="D1324" s="23"/>
      <c r="E1324" s="23"/>
      <c r="F1324" s="23"/>
      <c r="G1324" s="40"/>
      <c r="H1324" s="40"/>
      <c r="I1324" s="40"/>
      <c r="J1324" s="70"/>
      <c r="K1324" s="40"/>
      <c r="L1324" s="70"/>
      <c r="M1324" s="70"/>
      <c r="N1324" s="40"/>
      <c r="O1324" s="70"/>
      <c r="P1324" s="23"/>
      <c r="Q1324" s="23"/>
      <c r="R1324" s="72"/>
      <c r="S1324" s="23"/>
      <c r="T1324" s="23"/>
      <c r="U1324" s="23"/>
      <c r="V1324" s="23"/>
      <c r="W1324" s="23"/>
      <c r="X1324" s="23"/>
      <c r="Y1324" s="23"/>
      <c r="Z1324" s="23"/>
      <c r="AA1324" s="23"/>
      <c r="AB1324" s="23"/>
      <c r="AC1324" s="23"/>
      <c r="AD1324" s="23"/>
      <c r="AE1324" s="23"/>
    </row>
    <row r="1325" spans="1:31">
      <c r="A1325" s="23"/>
      <c r="B1325" s="40"/>
      <c r="C1325" s="40"/>
      <c r="D1325" s="23"/>
      <c r="E1325" s="23"/>
      <c r="F1325" s="23"/>
      <c r="G1325" s="40"/>
      <c r="H1325" s="40"/>
      <c r="I1325" s="40"/>
      <c r="J1325" s="70"/>
      <c r="K1325" s="40"/>
      <c r="L1325" s="70"/>
      <c r="M1325" s="70"/>
      <c r="N1325" s="40"/>
      <c r="O1325" s="70"/>
      <c r="P1325" s="23"/>
      <c r="Q1325" s="23"/>
      <c r="R1325" s="72"/>
      <c r="S1325" s="23"/>
      <c r="T1325" s="23"/>
      <c r="U1325" s="23"/>
      <c r="V1325" s="23"/>
      <c r="W1325" s="23"/>
      <c r="X1325" s="23"/>
      <c r="Y1325" s="23"/>
      <c r="Z1325" s="23"/>
      <c r="AA1325" s="23"/>
      <c r="AB1325" s="23"/>
      <c r="AC1325" s="23"/>
      <c r="AD1325" s="23"/>
      <c r="AE1325" s="23"/>
    </row>
    <row r="1326" spans="1:31" ht="24" customHeight="1">
      <c r="A1326" s="23"/>
      <c r="B1326" s="40"/>
      <c r="C1326" s="40"/>
      <c r="D1326" s="23"/>
      <c r="E1326" s="23"/>
      <c r="F1326" s="23"/>
      <c r="G1326" s="40"/>
      <c r="H1326" s="40"/>
      <c r="I1326" s="40"/>
      <c r="J1326" s="70"/>
      <c r="K1326" s="40"/>
      <c r="L1326" s="70"/>
      <c r="M1326" s="70"/>
      <c r="N1326" s="40"/>
      <c r="O1326" s="70"/>
      <c r="P1326" s="23"/>
      <c r="Q1326" s="23"/>
      <c r="R1326" s="72"/>
      <c r="S1326" s="23"/>
      <c r="T1326" s="23"/>
      <c r="U1326" s="23"/>
      <c r="V1326" s="23"/>
      <c r="W1326" s="23"/>
      <c r="X1326" s="23"/>
      <c r="Y1326" s="23"/>
      <c r="Z1326" s="23"/>
      <c r="AA1326" s="23"/>
      <c r="AB1326" s="23"/>
      <c r="AC1326" s="23"/>
      <c r="AD1326" s="23"/>
      <c r="AE1326" s="23"/>
    </row>
    <row r="1327" spans="1:31">
      <c r="A1327" s="23"/>
      <c r="B1327" s="40"/>
      <c r="C1327" s="40"/>
      <c r="D1327" s="23"/>
      <c r="E1327" s="23"/>
      <c r="F1327" s="23"/>
      <c r="G1327" s="40"/>
      <c r="H1327" s="40"/>
      <c r="I1327" s="40"/>
      <c r="J1327" s="70"/>
      <c r="K1327" s="40"/>
      <c r="L1327" s="70"/>
      <c r="M1327" s="70"/>
      <c r="N1327" s="40"/>
      <c r="O1327" s="70"/>
      <c r="P1327" s="23"/>
      <c r="Q1327" s="23"/>
      <c r="R1327" s="72"/>
      <c r="S1327" s="23"/>
      <c r="T1327" s="23"/>
      <c r="U1327" s="23"/>
      <c r="V1327" s="23"/>
      <c r="W1327" s="23"/>
      <c r="X1327" s="23"/>
      <c r="Y1327" s="23"/>
      <c r="Z1327" s="23"/>
      <c r="AA1327" s="23"/>
      <c r="AB1327" s="23"/>
      <c r="AC1327" s="23"/>
      <c r="AD1327" s="23"/>
      <c r="AE1327" s="23"/>
    </row>
    <row r="1328" spans="1:31">
      <c r="A1328" s="23"/>
      <c r="B1328" s="40"/>
      <c r="C1328" s="40"/>
      <c r="D1328" s="23"/>
      <c r="E1328" s="23"/>
      <c r="F1328" s="23"/>
      <c r="G1328" s="40"/>
      <c r="H1328" s="40"/>
      <c r="I1328" s="40"/>
      <c r="J1328" s="70"/>
      <c r="K1328" s="40"/>
      <c r="L1328" s="70"/>
      <c r="M1328" s="70"/>
      <c r="N1328" s="40"/>
      <c r="O1328" s="70"/>
      <c r="P1328" s="23"/>
      <c r="Q1328" s="23"/>
      <c r="R1328" s="72"/>
      <c r="S1328" s="23"/>
      <c r="T1328" s="23"/>
      <c r="U1328" s="23"/>
      <c r="V1328" s="23"/>
      <c r="W1328" s="23"/>
      <c r="X1328" s="23"/>
      <c r="Y1328" s="23"/>
      <c r="Z1328" s="23"/>
      <c r="AA1328" s="23"/>
      <c r="AB1328" s="23"/>
      <c r="AC1328" s="23"/>
      <c r="AD1328" s="23"/>
      <c r="AE1328" s="23"/>
    </row>
    <row r="1329" spans="1:31">
      <c r="A1329" s="23"/>
      <c r="B1329" s="40"/>
      <c r="C1329" s="40"/>
      <c r="D1329" s="23"/>
      <c r="E1329" s="23"/>
      <c r="F1329" s="23"/>
      <c r="G1329" s="40"/>
      <c r="H1329" s="40"/>
      <c r="I1329" s="40"/>
      <c r="J1329" s="70"/>
      <c r="K1329" s="40"/>
      <c r="L1329" s="70"/>
      <c r="M1329" s="70"/>
      <c r="N1329" s="40"/>
      <c r="O1329" s="70"/>
      <c r="P1329" s="23"/>
      <c r="Q1329" s="23"/>
      <c r="R1329" s="72"/>
      <c r="S1329" s="23"/>
      <c r="T1329" s="23"/>
      <c r="U1329" s="23"/>
      <c r="V1329" s="23"/>
      <c r="W1329" s="23"/>
      <c r="X1329" s="23"/>
      <c r="Y1329" s="23"/>
      <c r="Z1329" s="23"/>
      <c r="AA1329" s="23"/>
      <c r="AB1329" s="23"/>
      <c r="AC1329" s="23"/>
      <c r="AD1329" s="23"/>
      <c r="AE1329" s="23"/>
    </row>
    <row r="1330" spans="1:31">
      <c r="A1330" s="23"/>
      <c r="B1330" s="40"/>
      <c r="C1330" s="40"/>
      <c r="D1330" s="23"/>
      <c r="E1330" s="23"/>
      <c r="F1330" s="23"/>
      <c r="G1330" s="40"/>
      <c r="H1330" s="40"/>
      <c r="I1330" s="40"/>
      <c r="J1330" s="70"/>
      <c r="K1330" s="40"/>
      <c r="L1330" s="70"/>
      <c r="M1330" s="70"/>
      <c r="N1330" s="40"/>
      <c r="O1330" s="70"/>
      <c r="P1330" s="23"/>
      <c r="Q1330" s="23"/>
      <c r="R1330" s="72"/>
      <c r="S1330" s="23"/>
      <c r="T1330" s="23"/>
      <c r="U1330" s="23"/>
      <c r="V1330" s="23"/>
      <c r="W1330" s="23"/>
      <c r="X1330" s="23"/>
      <c r="Y1330" s="23"/>
      <c r="Z1330" s="23"/>
      <c r="AA1330" s="23"/>
      <c r="AB1330" s="23"/>
      <c r="AC1330" s="23"/>
      <c r="AD1330" s="23"/>
      <c r="AE1330" s="23"/>
    </row>
    <row r="1331" spans="1:31">
      <c r="A1331" s="23"/>
      <c r="B1331" s="40"/>
      <c r="C1331" s="40"/>
      <c r="D1331" s="23"/>
      <c r="E1331" s="23"/>
      <c r="F1331" s="23"/>
      <c r="G1331" s="40"/>
      <c r="H1331" s="40"/>
      <c r="I1331" s="40"/>
      <c r="J1331" s="70"/>
      <c r="K1331" s="40"/>
      <c r="L1331" s="70"/>
      <c r="M1331" s="70"/>
      <c r="N1331" s="40"/>
      <c r="O1331" s="70"/>
      <c r="P1331" s="23"/>
      <c r="Q1331" s="23"/>
      <c r="R1331" s="72"/>
      <c r="S1331" s="23"/>
      <c r="T1331" s="23"/>
      <c r="U1331" s="23"/>
      <c r="V1331" s="23"/>
      <c r="W1331" s="23"/>
      <c r="X1331" s="23"/>
      <c r="Y1331" s="23"/>
      <c r="Z1331" s="23"/>
      <c r="AA1331" s="23"/>
      <c r="AB1331" s="23"/>
      <c r="AC1331" s="23"/>
      <c r="AD1331" s="23"/>
      <c r="AE1331" s="23"/>
    </row>
    <row r="1332" spans="1:31">
      <c r="A1332" s="23"/>
      <c r="B1332" s="40"/>
      <c r="C1332" s="40"/>
      <c r="D1332" s="23"/>
      <c r="E1332" s="23"/>
      <c r="F1332" s="23"/>
      <c r="G1332" s="40"/>
      <c r="H1332" s="40"/>
      <c r="I1332" s="40"/>
      <c r="J1332" s="70"/>
      <c r="K1332" s="40"/>
      <c r="L1332" s="70"/>
      <c r="M1332" s="70"/>
      <c r="N1332" s="40"/>
      <c r="O1332" s="70"/>
      <c r="P1332" s="23"/>
      <c r="Q1332" s="23"/>
      <c r="R1332" s="72"/>
      <c r="S1332" s="23"/>
      <c r="T1332" s="23"/>
      <c r="U1332" s="23"/>
      <c r="V1332" s="23"/>
      <c r="W1332" s="23"/>
      <c r="X1332" s="23"/>
      <c r="Y1332" s="23"/>
      <c r="Z1332" s="23"/>
      <c r="AA1332" s="23"/>
      <c r="AB1332" s="23"/>
      <c r="AC1332" s="23"/>
      <c r="AD1332" s="23"/>
      <c r="AE1332" s="23"/>
    </row>
    <row r="1333" spans="1:31">
      <c r="A1333" s="23"/>
      <c r="B1333" s="40"/>
      <c r="C1333" s="40"/>
      <c r="D1333" s="23"/>
      <c r="E1333" s="23"/>
      <c r="F1333" s="23"/>
      <c r="G1333" s="40"/>
      <c r="H1333" s="40"/>
      <c r="I1333" s="40"/>
      <c r="J1333" s="70"/>
      <c r="K1333" s="40"/>
      <c r="L1333" s="70"/>
      <c r="M1333" s="70"/>
      <c r="N1333" s="40"/>
      <c r="O1333" s="70"/>
      <c r="P1333" s="23"/>
      <c r="Q1333" s="23"/>
      <c r="R1333" s="72"/>
      <c r="S1333" s="23"/>
      <c r="T1333" s="23"/>
      <c r="U1333" s="23"/>
      <c r="V1333" s="23"/>
      <c r="W1333" s="23"/>
      <c r="X1333" s="23"/>
      <c r="Y1333" s="23"/>
      <c r="Z1333" s="23"/>
      <c r="AA1333" s="23"/>
      <c r="AB1333" s="23"/>
      <c r="AC1333" s="23"/>
      <c r="AD1333" s="23"/>
      <c r="AE1333" s="23"/>
    </row>
    <row r="1334" spans="1:31">
      <c r="A1334" s="23"/>
      <c r="B1334" s="40"/>
      <c r="C1334" s="40"/>
      <c r="D1334" s="23"/>
      <c r="E1334" s="23"/>
      <c r="F1334" s="23"/>
      <c r="G1334" s="40"/>
      <c r="H1334" s="40"/>
      <c r="I1334" s="40"/>
      <c r="J1334" s="70"/>
      <c r="K1334" s="40"/>
      <c r="L1334" s="70"/>
      <c r="M1334" s="70"/>
      <c r="N1334" s="40"/>
      <c r="O1334" s="70"/>
      <c r="P1334" s="23"/>
      <c r="Q1334" s="23"/>
      <c r="R1334" s="72"/>
      <c r="S1334" s="23"/>
      <c r="T1334" s="23"/>
      <c r="U1334" s="23"/>
      <c r="V1334" s="23"/>
      <c r="W1334" s="23"/>
      <c r="X1334" s="23"/>
      <c r="Y1334" s="23"/>
      <c r="Z1334" s="23"/>
      <c r="AA1334" s="23"/>
      <c r="AB1334" s="23"/>
      <c r="AC1334" s="23"/>
      <c r="AD1334" s="23"/>
      <c r="AE1334" s="23"/>
    </row>
    <row r="1335" spans="1:31">
      <c r="A1335" s="23"/>
      <c r="B1335" s="40"/>
      <c r="C1335" s="40"/>
      <c r="D1335" s="23"/>
      <c r="E1335" s="23"/>
      <c r="F1335" s="23"/>
      <c r="G1335" s="40"/>
      <c r="H1335" s="40"/>
      <c r="I1335" s="40"/>
      <c r="J1335" s="70"/>
      <c r="K1335" s="70"/>
      <c r="L1335" s="70"/>
      <c r="M1335" s="70"/>
      <c r="N1335" s="70"/>
      <c r="O1335" s="70"/>
      <c r="P1335" s="23"/>
      <c r="Q1335" s="23"/>
      <c r="R1335" s="72"/>
      <c r="S1335" s="23"/>
      <c r="T1335" s="23"/>
      <c r="U1335" s="23"/>
      <c r="V1335" s="23"/>
      <c r="W1335" s="23"/>
      <c r="X1335" s="23"/>
      <c r="Y1335" s="23"/>
      <c r="Z1335" s="23"/>
      <c r="AA1335" s="23"/>
      <c r="AB1335" s="23"/>
      <c r="AC1335" s="23"/>
      <c r="AD1335" s="23"/>
      <c r="AE1335" s="23"/>
    </row>
    <row r="1336" spans="1:31">
      <c r="A1336" s="23"/>
      <c r="B1336" s="40"/>
      <c r="C1336" s="40"/>
      <c r="D1336" s="23"/>
      <c r="E1336" s="23"/>
      <c r="F1336" s="23"/>
      <c r="G1336" s="40"/>
      <c r="H1336" s="40"/>
      <c r="I1336" s="40"/>
      <c r="J1336" s="70"/>
      <c r="K1336" s="70"/>
      <c r="L1336" s="70"/>
      <c r="M1336" s="70"/>
      <c r="N1336" s="70"/>
      <c r="O1336" s="70"/>
      <c r="P1336" s="23"/>
      <c r="Q1336" s="23"/>
      <c r="R1336" s="72"/>
      <c r="S1336" s="23"/>
      <c r="T1336" s="23"/>
      <c r="U1336" s="23"/>
      <c r="V1336" s="23"/>
      <c r="W1336" s="23"/>
      <c r="X1336" s="23"/>
      <c r="Y1336" s="23"/>
      <c r="Z1336" s="23"/>
      <c r="AA1336" s="23"/>
      <c r="AB1336" s="23"/>
      <c r="AC1336" s="23"/>
      <c r="AD1336" s="23"/>
      <c r="AE1336" s="23"/>
    </row>
    <row r="1337" spans="1:31">
      <c r="A1337" s="23"/>
      <c r="B1337" s="40"/>
      <c r="C1337" s="40"/>
      <c r="D1337" s="23"/>
      <c r="E1337" s="23"/>
      <c r="F1337" s="23"/>
      <c r="G1337" s="40"/>
      <c r="H1337" s="40"/>
      <c r="I1337" s="40"/>
      <c r="J1337" s="70"/>
      <c r="K1337" s="70"/>
      <c r="L1337" s="70"/>
      <c r="M1337" s="70"/>
      <c r="N1337" s="70"/>
      <c r="O1337" s="70"/>
      <c r="P1337" s="23"/>
      <c r="Q1337" s="23"/>
      <c r="R1337" s="72"/>
      <c r="S1337" s="23"/>
      <c r="T1337" s="23"/>
      <c r="U1337" s="23"/>
      <c r="V1337" s="23"/>
      <c r="W1337" s="23"/>
      <c r="X1337" s="23"/>
      <c r="Y1337" s="23"/>
      <c r="Z1337" s="23"/>
      <c r="AA1337" s="23"/>
      <c r="AB1337" s="23"/>
      <c r="AC1337" s="23"/>
      <c r="AD1337" s="23"/>
      <c r="AE1337" s="23"/>
    </row>
    <row r="1338" spans="1:31">
      <c r="A1338" s="23"/>
      <c r="B1338" s="40"/>
      <c r="C1338" s="40"/>
      <c r="D1338" s="23"/>
      <c r="E1338" s="23"/>
      <c r="F1338" s="23"/>
      <c r="G1338" s="40"/>
      <c r="H1338" s="40"/>
      <c r="I1338" s="40"/>
      <c r="J1338" s="70"/>
      <c r="K1338" s="70"/>
      <c r="L1338" s="70"/>
      <c r="M1338" s="70"/>
      <c r="N1338" s="70"/>
      <c r="O1338" s="70"/>
      <c r="P1338" s="23"/>
      <c r="Q1338" s="23"/>
      <c r="R1338" s="72"/>
      <c r="S1338" s="23"/>
      <c r="T1338" s="23"/>
      <c r="U1338" s="23"/>
      <c r="V1338" s="23"/>
      <c r="W1338" s="23"/>
      <c r="X1338" s="23"/>
      <c r="Y1338" s="23"/>
      <c r="Z1338" s="23"/>
      <c r="AA1338" s="23"/>
      <c r="AB1338" s="23"/>
      <c r="AC1338" s="23"/>
      <c r="AD1338" s="23"/>
      <c r="AE1338" s="23"/>
    </row>
    <row r="1339" spans="1:31">
      <c r="A1339" s="23"/>
      <c r="B1339" s="40"/>
      <c r="C1339" s="40"/>
      <c r="D1339" s="23"/>
      <c r="E1339" s="23"/>
      <c r="F1339" s="23"/>
      <c r="G1339" s="40"/>
      <c r="H1339" s="40"/>
      <c r="I1339" s="40"/>
      <c r="J1339" s="70"/>
      <c r="K1339" s="70"/>
      <c r="L1339" s="70"/>
      <c r="M1339" s="70"/>
      <c r="N1339" s="70"/>
      <c r="O1339" s="70"/>
      <c r="P1339" s="23"/>
      <c r="Q1339" s="23"/>
      <c r="R1339" s="72"/>
      <c r="S1339" s="23"/>
      <c r="T1339" s="23"/>
      <c r="U1339" s="23"/>
      <c r="V1339" s="23"/>
      <c r="W1339" s="23"/>
      <c r="X1339" s="23"/>
      <c r="Y1339" s="23"/>
      <c r="Z1339" s="23"/>
      <c r="AA1339" s="23"/>
      <c r="AB1339" s="23"/>
      <c r="AC1339" s="23"/>
      <c r="AD1339" s="23"/>
      <c r="AE1339" s="23"/>
    </row>
    <row r="1340" spans="1:31">
      <c r="A1340" s="23"/>
      <c r="B1340" s="40"/>
      <c r="C1340" s="40"/>
      <c r="D1340" s="23"/>
      <c r="E1340" s="23"/>
      <c r="F1340" s="23"/>
      <c r="G1340" s="40"/>
      <c r="H1340" s="40"/>
      <c r="I1340" s="40"/>
      <c r="J1340" s="70"/>
      <c r="K1340" s="70"/>
      <c r="L1340" s="70"/>
      <c r="M1340" s="70"/>
      <c r="N1340" s="70"/>
      <c r="O1340" s="70"/>
      <c r="P1340" s="23"/>
      <c r="Q1340" s="23"/>
      <c r="R1340" s="72"/>
      <c r="S1340" s="23"/>
      <c r="T1340" s="23"/>
      <c r="U1340" s="23"/>
      <c r="V1340" s="23"/>
      <c r="W1340" s="23"/>
      <c r="X1340" s="23"/>
      <c r="Y1340" s="23"/>
      <c r="Z1340" s="23"/>
      <c r="AA1340" s="23"/>
      <c r="AB1340" s="23"/>
      <c r="AC1340" s="23"/>
      <c r="AD1340" s="23"/>
      <c r="AE1340" s="23"/>
    </row>
    <row r="1341" spans="1:31">
      <c r="A1341" s="23"/>
      <c r="B1341" s="40"/>
      <c r="C1341" s="40"/>
      <c r="D1341" s="23"/>
      <c r="E1341" s="23"/>
      <c r="F1341" s="23"/>
      <c r="G1341" s="40"/>
      <c r="H1341" s="40"/>
      <c r="I1341" s="40"/>
      <c r="J1341" s="70"/>
      <c r="K1341" s="70"/>
      <c r="L1341" s="70"/>
      <c r="M1341" s="70"/>
      <c r="N1341" s="70"/>
      <c r="O1341" s="70"/>
      <c r="P1341" s="23"/>
      <c r="Q1341" s="23"/>
      <c r="R1341" s="72"/>
      <c r="S1341" s="23"/>
      <c r="T1341" s="23"/>
      <c r="U1341" s="23"/>
      <c r="V1341" s="23"/>
      <c r="W1341" s="23"/>
      <c r="X1341" s="23"/>
      <c r="Y1341" s="23"/>
      <c r="Z1341" s="23"/>
      <c r="AA1341" s="23"/>
      <c r="AB1341" s="23"/>
      <c r="AC1341" s="23"/>
      <c r="AD1341" s="23"/>
      <c r="AE1341" s="23"/>
    </row>
    <row r="1342" spans="1:31">
      <c r="A1342" s="23"/>
      <c r="B1342" s="40"/>
      <c r="C1342" s="40"/>
      <c r="D1342" s="23"/>
      <c r="E1342" s="23"/>
      <c r="F1342" s="23"/>
      <c r="G1342" s="40"/>
      <c r="H1342" s="40"/>
      <c r="I1342" s="40"/>
      <c r="J1342" s="70"/>
      <c r="K1342" s="70"/>
      <c r="L1342" s="70"/>
      <c r="M1342" s="70"/>
      <c r="N1342" s="70"/>
      <c r="O1342" s="70"/>
      <c r="P1342" s="23"/>
      <c r="Q1342" s="23"/>
      <c r="R1342" s="72"/>
      <c r="S1342" s="23"/>
      <c r="T1342" s="23"/>
      <c r="U1342" s="23"/>
      <c r="V1342" s="23"/>
      <c r="W1342" s="23"/>
      <c r="X1342" s="23"/>
      <c r="Y1342" s="23"/>
      <c r="Z1342" s="23"/>
      <c r="AA1342" s="23"/>
      <c r="AB1342" s="23"/>
      <c r="AC1342" s="23"/>
      <c r="AD1342" s="23"/>
      <c r="AE1342" s="23"/>
    </row>
    <row r="1343" spans="1:31">
      <c r="A1343" s="23"/>
      <c r="B1343" s="40"/>
      <c r="C1343" s="40"/>
      <c r="D1343" s="23"/>
      <c r="E1343" s="23"/>
      <c r="F1343" s="23"/>
      <c r="G1343" s="40"/>
      <c r="H1343" s="40"/>
      <c r="I1343" s="40"/>
      <c r="J1343" s="70"/>
      <c r="K1343" s="70"/>
      <c r="L1343" s="70"/>
      <c r="M1343" s="70"/>
      <c r="N1343" s="70"/>
      <c r="O1343" s="70"/>
      <c r="P1343" s="23"/>
      <c r="Q1343" s="23"/>
      <c r="R1343" s="72"/>
      <c r="S1343" s="23"/>
      <c r="T1343" s="23"/>
      <c r="U1343" s="23"/>
      <c r="V1343" s="23"/>
      <c r="W1343" s="23"/>
      <c r="X1343" s="23"/>
      <c r="Y1343" s="23"/>
      <c r="Z1343" s="23"/>
      <c r="AA1343" s="23"/>
      <c r="AB1343" s="23"/>
      <c r="AC1343" s="23"/>
      <c r="AD1343" s="23"/>
      <c r="AE1343" s="23"/>
    </row>
    <row r="1344" spans="1:31">
      <c r="A1344" s="23"/>
      <c r="B1344" s="40"/>
      <c r="C1344" s="40"/>
      <c r="D1344" s="23"/>
      <c r="E1344" s="23"/>
      <c r="F1344" s="23"/>
      <c r="G1344" s="40"/>
      <c r="H1344" s="40"/>
      <c r="I1344" s="40"/>
      <c r="J1344" s="70"/>
      <c r="K1344" s="70"/>
      <c r="L1344" s="70"/>
      <c r="M1344" s="70"/>
      <c r="N1344" s="70"/>
      <c r="O1344" s="70"/>
      <c r="P1344" s="23"/>
      <c r="Q1344" s="23"/>
      <c r="R1344" s="72"/>
      <c r="S1344" s="23"/>
      <c r="T1344" s="23"/>
      <c r="U1344" s="23"/>
      <c r="V1344" s="23"/>
      <c r="W1344" s="23"/>
      <c r="X1344" s="23"/>
      <c r="Y1344" s="23"/>
      <c r="Z1344" s="23"/>
      <c r="AA1344" s="23"/>
      <c r="AB1344" s="23"/>
      <c r="AC1344" s="23"/>
      <c r="AD1344" s="23"/>
      <c r="AE1344" s="23"/>
    </row>
    <row r="1345" spans="1:31">
      <c r="A1345" s="23"/>
      <c r="B1345" s="40"/>
      <c r="C1345" s="40"/>
      <c r="D1345" s="23"/>
      <c r="E1345" s="23"/>
      <c r="F1345" s="23"/>
      <c r="G1345" s="40"/>
      <c r="H1345" s="40"/>
      <c r="I1345" s="40"/>
      <c r="J1345" s="70"/>
      <c r="K1345" s="70"/>
      <c r="L1345" s="70"/>
      <c r="M1345" s="70"/>
      <c r="N1345" s="70"/>
      <c r="O1345" s="70"/>
      <c r="P1345" s="23"/>
      <c r="Q1345" s="23"/>
      <c r="R1345" s="72"/>
      <c r="S1345" s="23"/>
      <c r="T1345" s="23"/>
      <c r="U1345" s="23"/>
      <c r="V1345" s="23"/>
      <c r="W1345" s="23"/>
      <c r="X1345" s="23"/>
      <c r="Y1345" s="23"/>
      <c r="Z1345" s="23"/>
      <c r="AA1345" s="23"/>
      <c r="AB1345" s="23"/>
      <c r="AC1345" s="23"/>
      <c r="AD1345" s="23"/>
      <c r="AE1345" s="23"/>
    </row>
    <row r="1346" spans="1:31" ht="24" customHeight="1">
      <c r="A1346" s="23"/>
      <c r="B1346" s="40"/>
      <c r="C1346" s="40"/>
      <c r="D1346" s="23"/>
      <c r="E1346" s="23"/>
      <c r="F1346" s="23"/>
      <c r="G1346" s="40"/>
      <c r="H1346" s="40"/>
      <c r="I1346" s="40"/>
      <c r="J1346" s="70"/>
      <c r="K1346" s="70"/>
      <c r="L1346" s="70"/>
      <c r="M1346" s="70"/>
      <c r="N1346" s="70"/>
      <c r="O1346" s="70"/>
      <c r="P1346" s="23"/>
      <c r="Q1346" s="23"/>
      <c r="R1346" s="72"/>
      <c r="S1346" s="23"/>
      <c r="T1346" s="23"/>
      <c r="U1346" s="23"/>
      <c r="V1346" s="23"/>
      <c r="W1346" s="23"/>
      <c r="X1346" s="23"/>
      <c r="Y1346" s="23"/>
      <c r="Z1346" s="23"/>
      <c r="AA1346" s="23"/>
      <c r="AB1346" s="23"/>
      <c r="AC1346" s="23"/>
      <c r="AD1346" s="23"/>
      <c r="AE1346" s="23"/>
    </row>
    <row r="1347" spans="1:31">
      <c r="A1347" s="23"/>
      <c r="B1347" s="40"/>
      <c r="C1347" s="40"/>
      <c r="D1347" s="23"/>
      <c r="E1347" s="23"/>
      <c r="F1347" s="23"/>
      <c r="G1347" s="40"/>
      <c r="H1347" s="40"/>
      <c r="I1347" s="40"/>
      <c r="J1347" s="70"/>
      <c r="K1347" s="70"/>
      <c r="L1347" s="70"/>
      <c r="M1347" s="70"/>
      <c r="N1347" s="70"/>
      <c r="O1347" s="70"/>
      <c r="P1347" s="23"/>
      <c r="Q1347" s="23"/>
      <c r="R1347" s="72"/>
      <c r="S1347" s="23"/>
      <c r="T1347" s="23"/>
      <c r="U1347" s="23"/>
      <c r="V1347" s="23"/>
      <c r="W1347" s="23"/>
      <c r="X1347" s="23"/>
      <c r="Y1347" s="23"/>
      <c r="Z1347" s="23"/>
      <c r="AA1347" s="23"/>
      <c r="AB1347" s="23"/>
      <c r="AC1347" s="23"/>
      <c r="AD1347" s="23"/>
      <c r="AE1347" s="23"/>
    </row>
    <row r="1348" spans="1:31">
      <c r="A1348" s="23"/>
      <c r="B1348" s="40"/>
      <c r="C1348" s="40"/>
      <c r="D1348" s="23"/>
      <c r="E1348" s="23"/>
      <c r="F1348" s="23"/>
      <c r="G1348" s="40"/>
      <c r="H1348" s="40"/>
      <c r="I1348" s="40"/>
      <c r="J1348" s="70"/>
      <c r="K1348" s="70"/>
      <c r="L1348" s="70"/>
      <c r="M1348" s="70"/>
      <c r="N1348" s="70"/>
      <c r="O1348" s="70"/>
      <c r="P1348" s="23"/>
      <c r="Q1348" s="23"/>
      <c r="R1348" s="72"/>
      <c r="S1348" s="23"/>
      <c r="T1348" s="23"/>
      <c r="U1348" s="23"/>
      <c r="V1348" s="23"/>
      <c r="W1348" s="23"/>
      <c r="X1348" s="23"/>
      <c r="Y1348" s="23"/>
      <c r="Z1348" s="23"/>
      <c r="AA1348" s="23"/>
      <c r="AB1348" s="23"/>
      <c r="AC1348" s="23"/>
      <c r="AD1348" s="23"/>
      <c r="AE1348" s="23"/>
    </row>
    <row r="1349" spans="1:31" ht="24" customHeight="1">
      <c r="A1349" s="23"/>
      <c r="B1349" s="40"/>
      <c r="C1349" s="40"/>
      <c r="D1349" s="23"/>
      <c r="E1349" s="23"/>
      <c r="F1349" s="23"/>
      <c r="G1349" s="40"/>
      <c r="H1349" s="40"/>
      <c r="I1349" s="40"/>
      <c r="J1349" s="70"/>
      <c r="K1349" s="70"/>
      <c r="L1349" s="70"/>
      <c r="M1349" s="70"/>
      <c r="N1349" s="70"/>
      <c r="O1349" s="70"/>
      <c r="P1349" s="23"/>
      <c r="Q1349" s="23"/>
      <c r="R1349" s="72"/>
      <c r="S1349" s="23"/>
      <c r="T1349" s="23"/>
      <c r="U1349" s="23"/>
      <c r="V1349" s="23"/>
      <c r="W1349" s="23"/>
      <c r="X1349" s="23"/>
      <c r="Y1349" s="23"/>
      <c r="Z1349" s="23"/>
      <c r="AA1349" s="23"/>
      <c r="AB1349" s="23"/>
      <c r="AC1349" s="23"/>
      <c r="AD1349" s="23"/>
      <c r="AE1349" s="23"/>
    </row>
    <row r="1350" spans="1:31">
      <c r="A1350" s="23"/>
      <c r="B1350" s="40"/>
      <c r="C1350" s="40"/>
      <c r="D1350" s="23"/>
      <c r="E1350" s="23"/>
      <c r="F1350" s="23"/>
      <c r="G1350" s="40"/>
      <c r="H1350" s="40"/>
      <c r="I1350" s="40"/>
      <c r="J1350" s="70"/>
      <c r="K1350" s="70"/>
      <c r="L1350" s="70"/>
      <c r="M1350" s="70"/>
      <c r="N1350" s="70"/>
      <c r="O1350" s="70"/>
      <c r="P1350" s="23"/>
      <c r="Q1350" s="23"/>
      <c r="R1350" s="72"/>
      <c r="S1350" s="23"/>
      <c r="T1350" s="23"/>
      <c r="U1350" s="23"/>
      <c r="V1350" s="23"/>
      <c r="W1350" s="23"/>
      <c r="X1350" s="23"/>
      <c r="Y1350" s="23"/>
      <c r="Z1350" s="23"/>
      <c r="AA1350" s="23"/>
      <c r="AB1350" s="23"/>
      <c r="AC1350" s="23"/>
      <c r="AD1350" s="23"/>
      <c r="AE1350" s="23"/>
    </row>
    <row r="1351" spans="1:31">
      <c r="A1351" s="23"/>
      <c r="B1351" s="40"/>
      <c r="C1351" s="40"/>
      <c r="D1351" s="23"/>
      <c r="E1351" s="23"/>
      <c r="F1351" s="23"/>
      <c r="G1351" s="40"/>
      <c r="H1351" s="40"/>
      <c r="I1351" s="40"/>
      <c r="J1351" s="70"/>
      <c r="K1351" s="70"/>
      <c r="L1351" s="70"/>
      <c r="M1351" s="70"/>
      <c r="N1351" s="70"/>
      <c r="O1351" s="70"/>
      <c r="P1351" s="23"/>
      <c r="Q1351" s="23"/>
      <c r="R1351" s="72"/>
      <c r="S1351" s="23"/>
      <c r="T1351" s="23"/>
      <c r="U1351" s="23"/>
      <c r="V1351" s="23"/>
      <c r="W1351" s="23"/>
      <c r="X1351" s="23"/>
      <c r="Y1351" s="23"/>
      <c r="Z1351" s="23"/>
      <c r="AA1351" s="23"/>
      <c r="AB1351" s="23"/>
      <c r="AC1351" s="23"/>
      <c r="AD1351" s="23"/>
      <c r="AE1351" s="23"/>
    </row>
    <row r="1352" spans="1:31">
      <c r="A1352" s="23"/>
      <c r="B1352" s="40"/>
      <c r="C1352" s="40"/>
      <c r="D1352" s="23"/>
      <c r="E1352" s="23"/>
      <c r="F1352" s="23"/>
      <c r="G1352" s="40"/>
      <c r="H1352" s="40"/>
      <c r="I1352" s="40"/>
      <c r="J1352" s="70"/>
      <c r="K1352" s="70"/>
      <c r="L1352" s="70"/>
      <c r="M1352" s="70"/>
      <c r="N1352" s="70"/>
      <c r="O1352" s="70"/>
      <c r="P1352" s="23"/>
      <c r="Q1352" s="23"/>
      <c r="R1352" s="72"/>
      <c r="S1352" s="23"/>
      <c r="T1352" s="23"/>
      <c r="U1352" s="23"/>
      <c r="V1352" s="23"/>
      <c r="W1352" s="23"/>
      <c r="X1352" s="23"/>
      <c r="Y1352" s="23"/>
      <c r="Z1352" s="23"/>
      <c r="AA1352" s="23"/>
      <c r="AB1352" s="23"/>
      <c r="AC1352" s="23"/>
      <c r="AD1352" s="23"/>
      <c r="AE1352" s="23"/>
    </row>
    <row r="1353" spans="1:31">
      <c r="A1353" s="23"/>
      <c r="B1353" s="40"/>
      <c r="C1353" s="40"/>
      <c r="D1353" s="23"/>
      <c r="E1353" s="23"/>
      <c r="F1353" s="23"/>
      <c r="G1353" s="40"/>
      <c r="H1353" s="40"/>
      <c r="I1353" s="40"/>
      <c r="J1353" s="70"/>
      <c r="K1353" s="70"/>
      <c r="L1353" s="70"/>
      <c r="M1353" s="70"/>
      <c r="N1353" s="70"/>
      <c r="O1353" s="70"/>
      <c r="P1353" s="23"/>
      <c r="Q1353" s="23"/>
      <c r="R1353" s="72"/>
      <c r="S1353" s="23"/>
      <c r="T1353" s="23"/>
      <c r="U1353" s="23"/>
      <c r="V1353" s="23"/>
      <c r="W1353" s="23"/>
      <c r="X1353" s="23"/>
      <c r="Y1353" s="23"/>
      <c r="Z1353" s="23"/>
      <c r="AA1353" s="23"/>
      <c r="AB1353" s="23"/>
      <c r="AC1353" s="23"/>
      <c r="AD1353" s="23"/>
      <c r="AE1353" s="23"/>
    </row>
    <row r="1354" spans="1:31">
      <c r="A1354" s="23"/>
      <c r="B1354" s="40"/>
      <c r="C1354" s="40"/>
      <c r="D1354" s="23"/>
      <c r="E1354" s="23"/>
      <c r="F1354" s="23"/>
      <c r="G1354" s="40"/>
      <c r="H1354" s="40"/>
      <c r="I1354" s="40"/>
      <c r="J1354" s="70"/>
      <c r="K1354" s="70"/>
      <c r="L1354" s="70"/>
      <c r="M1354" s="70"/>
      <c r="N1354" s="70"/>
      <c r="O1354" s="70"/>
      <c r="P1354" s="23"/>
      <c r="Q1354" s="23"/>
      <c r="R1354" s="72"/>
      <c r="S1354" s="23"/>
      <c r="T1354" s="23"/>
      <c r="U1354" s="23"/>
      <c r="V1354" s="23"/>
      <c r="W1354" s="23"/>
      <c r="X1354" s="23"/>
      <c r="Y1354" s="23"/>
      <c r="Z1354" s="23"/>
      <c r="AA1354" s="23"/>
      <c r="AB1354" s="23"/>
      <c r="AC1354" s="23"/>
      <c r="AD1354" s="23"/>
      <c r="AE1354" s="23"/>
    </row>
    <row r="1355" spans="1:31">
      <c r="A1355" s="23"/>
      <c r="B1355" s="40"/>
      <c r="C1355" s="40"/>
      <c r="D1355" s="23"/>
      <c r="E1355" s="23"/>
      <c r="F1355" s="23"/>
      <c r="G1355" s="40"/>
      <c r="H1355" s="40"/>
      <c r="I1355" s="40"/>
      <c r="J1355" s="70"/>
      <c r="K1355" s="70"/>
      <c r="L1355" s="70"/>
      <c r="M1355" s="70"/>
      <c r="N1355" s="70"/>
      <c r="O1355" s="70"/>
      <c r="P1355" s="23"/>
      <c r="Q1355" s="23"/>
      <c r="R1355" s="72"/>
      <c r="S1355" s="23"/>
      <c r="T1355" s="23"/>
      <c r="U1355" s="23"/>
      <c r="V1355" s="23"/>
      <c r="W1355" s="23"/>
      <c r="X1355" s="23"/>
      <c r="Y1355" s="23"/>
      <c r="Z1355" s="23"/>
      <c r="AA1355" s="23"/>
      <c r="AB1355" s="23"/>
      <c r="AC1355" s="23"/>
      <c r="AD1355" s="23"/>
      <c r="AE1355" s="23"/>
    </row>
    <row r="1356" spans="1:31">
      <c r="A1356" s="23"/>
      <c r="B1356" s="40"/>
      <c r="C1356" s="40"/>
      <c r="D1356" s="23"/>
      <c r="E1356" s="23"/>
      <c r="F1356" s="23"/>
      <c r="G1356" s="40"/>
      <c r="H1356" s="40"/>
      <c r="I1356" s="40"/>
      <c r="J1356" s="70"/>
      <c r="K1356" s="70"/>
      <c r="L1356" s="70"/>
      <c r="M1356" s="70"/>
      <c r="N1356" s="70"/>
      <c r="O1356" s="70"/>
      <c r="P1356" s="23"/>
      <c r="Q1356" s="23"/>
      <c r="R1356" s="72"/>
      <c r="S1356" s="23"/>
      <c r="T1356" s="23"/>
      <c r="U1356" s="23"/>
      <c r="V1356" s="23"/>
      <c r="W1356" s="23"/>
      <c r="X1356" s="23"/>
      <c r="Y1356" s="23"/>
      <c r="Z1356" s="23"/>
      <c r="AA1356" s="23"/>
      <c r="AB1356" s="23"/>
      <c r="AC1356" s="23"/>
      <c r="AD1356" s="23"/>
      <c r="AE1356" s="23"/>
    </row>
    <row r="1357" spans="1:31">
      <c r="A1357" s="23"/>
      <c r="B1357" s="40"/>
      <c r="C1357" s="40"/>
      <c r="D1357" s="23"/>
      <c r="E1357" s="23"/>
      <c r="F1357" s="23"/>
      <c r="G1357" s="40"/>
      <c r="H1357" s="40"/>
      <c r="I1357" s="40"/>
      <c r="J1357" s="70"/>
      <c r="K1357" s="70"/>
      <c r="L1357" s="70"/>
      <c r="M1357" s="70"/>
      <c r="N1357" s="70"/>
      <c r="O1357" s="70"/>
      <c r="P1357" s="23"/>
      <c r="Q1357" s="23"/>
      <c r="R1357" s="72"/>
      <c r="S1357" s="23"/>
      <c r="T1357" s="23"/>
      <c r="U1357" s="23"/>
      <c r="V1357" s="23"/>
      <c r="W1357" s="23"/>
      <c r="X1357" s="23"/>
      <c r="Y1357" s="23"/>
      <c r="Z1357" s="23"/>
      <c r="AA1357" s="23"/>
      <c r="AB1357" s="23"/>
      <c r="AC1357" s="23"/>
      <c r="AD1357" s="23"/>
      <c r="AE1357" s="23"/>
    </row>
    <row r="1358" spans="1:31" ht="24" customHeight="1">
      <c r="A1358" s="23"/>
      <c r="B1358" s="40"/>
      <c r="C1358" s="40"/>
      <c r="D1358" s="23"/>
      <c r="E1358" s="23"/>
      <c r="F1358" s="23"/>
      <c r="G1358" s="40"/>
      <c r="H1358" s="40"/>
      <c r="I1358" s="40"/>
      <c r="J1358" s="70"/>
      <c r="K1358" s="70"/>
      <c r="L1358" s="70"/>
      <c r="M1358" s="70"/>
      <c r="N1358" s="70"/>
      <c r="O1358" s="70"/>
      <c r="P1358" s="23"/>
      <c r="Q1358" s="23"/>
      <c r="R1358" s="72"/>
      <c r="S1358" s="23"/>
      <c r="T1358" s="23"/>
      <c r="U1358" s="23"/>
      <c r="V1358" s="23"/>
      <c r="W1358" s="23"/>
      <c r="X1358" s="23"/>
      <c r="Y1358" s="23"/>
      <c r="Z1358" s="23"/>
      <c r="AA1358" s="23"/>
      <c r="AB1358" s="23"/>
      <c r="AC1358" s="23"/>
      <c r="AD1358" s="23"/>
      <c r="AE1358" s="23"/>
    </row>
    <row r="1359" spans="1:31">
      <c r="A1359" s="23"/>
      <c r="B1359" s="40"/>
      <c r="C1359" s="40"/>
      <c r="D1359" s="23"/>
      <c r="E1359" s="23"/>
      <c r="F1359" s="23"/>
      <c r="G1359" s="40"/>
      <c r="H1359" s="40"/>
      <c r="I1359" s="40"/>
      <c r="J1359" s="70"/>
      <c r="K1359" s="70"/>
      <c r="L1359" s="70"/>
      <c r="M1359" s="70"/>
      <c r="N1359" s="70"/>
      <c r="O1359" s="70"/>
      <c r="P1359" s="23"/>
      <c r="Q1359" s="23"/>
      <c r="R1359" s="72"/>
      <c r="S1359" s="23"/>
      <c r="T1359" s="23"/>
      <c r="U1359" s="23"/>
      <c r="V1359" s="23"/>
      <c r="W1359" s="23"/>
      <c r="X1359" s="23"/>
      <c r="Y1359" s="23"/>
      <c r="Z1359" s="23"/>
      <c r="AA1359" s="23"/>
      <c r="AB1359" s="23"/>
      <c r="AC1359" s="23"/>
      <c r="AD1359" s="23"/>
      <c r="AE1359" s="23"/>
    </row>
    <row r="1360" spans="1:31">
      <c r="A1360" s="23"/>
      <c r="B1360" s="40"/>
      <c r="C1360" s="40"/>
      <c r="D1360" s="23"/>
      <c r="E1360" s="23"/>
      <c r="F1360" s="23"/>
      <c r="G1360" s="40"/>
      <c r="H1360" s="40"/>
      <c r="I1360" s="40"/>
      <c r="J1360" s="70"/>
      <c r="K1360" s="70"/>
      <c r="L1360" s="70"/>
      <c r="M1360" s="70"/>
      <c r="N1360" s="70"/>
      <c r="O1360" s="70"/>
      <c r="P1360" s="23"/>
      <c r="Q1360" s="23"/>
      <c r="R1360" s="72"/>
      <c r="S1360" s="23"/>
      <c r="T1360" s="23"/>
      <c r="U1360" s="23"/>
      <c r="V1360" s="23"/>
      <c r="W1360" s="23"/>
      <c r="X1360" s="23"/>
      <c r="Y1360" s="23"/>
      <c r="Z1360" s="23"/>
      <c r="AA1360" s="23"/>
      <c r="AB1360" s="23"/>
      <c r="AC1360" s="23"/>
      <c r="AD1360" s="23"/>
      <c r="AE1360" s="23"/>
    </row>
    <row r="1361" spans="1:31" ht="24" customHeight="1">
      <c r="A1361" s="23"/>
      <c r="B1361" s="40"/>
      <c r="C1361" s="40"/>
      <c r="D1361" s="23"/>
      <c r="E1361" s="23"/>
      <c r="F1361" s="23"/>
      <c r="G1361" s="40"/>
      <c r="H1361" s="40"/>
      <c r="I1361" s="40"/>
      <c r="J1361" s="70"/>
      <c r="K1361" s="70"/>
      <c r="L1361" s="70"/>
      <c r="M1361" s="70"/>
      <c r="N1361" s="70"/>
      <c r="O1361" s="70"/>
      <c r="P1361" s="23"/>
      <c r="Q1361" s="23"/>
      <c r="R1361" s="72"/>
      <c r="S1361" s="23"/>
      <c r="T1361" s="23"/>
      <c r="U1361" s="23"/>
      <c r="V1361" s="23"/>
      <c r="W1361" s="23"/>
      <c r="X1361" s="23"/>
      <c r="Y1361" s="23"/>
      <c r="Z1361" s="23"/>
      <c r="AA1361" s="23"/>
      <c r="AB1361" s="23"/>
      <c r="AC1361" s="23"/>
      <c r="AD1361" s="23"/>
      <c r="AE1361" s="23"/>
    </row>
    <row r="1362" spans="1:31">
      <c r="A1362" s="23"/>
      <c r="B1362" s="40"/>
      <c r="C1362" s="40"/>
      <c r="D1362" s="23"/>
      <c r="E1362" s="23"/>
      <c r="F1362" s="23"/>
      <c r="G1362" s="40"/>
      <c r="H1362" s="40"/>
      <c r="I1362" s="40"/>
      <c r="J1362" s="70"/>
      <c r="K1362" s="70"/>
      <c r="L1362" s="70"/>
      <c r="M1362" s="70"/>
      <c r="N1362" s="70"/>
      <c r="O1362" s="70"/>
      <c r="P1362" s="23"/>
      <c r="Q1362" s="23"/>
      <c r="R1362" s="72"/>
      <c r="S1362" s="23"/>
      <c r="T1362" s="23"/>
      <c r="U1362" s="23"/>
      <c r="V1362" s="23"/>
      <c r="W1362" s="23"/>
      <c r="X1362" s="23"/>
      <c r="Y1362" s="23"/>
      <c r="Z1362" s="23"/>
      <c r="AA1362" s="23"/>
      <c r="AB1362" s="23"/>
      <c r="AC1362" s="23"/>
      <c r="AD1362" s="23"/>
      <c r="AE1362" s="23"/>
    </row>
    <row r="1363" spans="1:31">
      <c r="A1363" s="23"/>
      <c r="B1363" s="40"/>
      <c r="C1363" s="40"/>
      <c r="D1363" s="23"/>
      <c r="E1363" s="23"/>
      <c r="F1363" s="23"/>
      <c r="G1363" s="40"/>
      <c r="H1363" s="40"/>
      <c r="I1363" s="40"/>
      <c r="J1363" s="70"/>
      <c r="K1363" s="70"/>
      <c r="L1363" s="70"/>
      <c r="M1363" s="70"/>
      <c r="N1363" s="70"/>
      <c r="O1363" s="70"/>
      <c r="P1363" s="23"/>
      <c r="Q1363" s="23"/>
      <c r="R1363" s="72"/>
      <c r="S1363" s="23"/>
      <c r="T1363" s="23"/>
      <c r="U1363" s="23"/>
      <c r="V1363" s="23"/>
      <c r="W1363" s="23"/>
      <c r="X1363" s="23"/>
      <c r="Y1363" s="23"/>
      <c r="Z1363" s="23"/>
      <c r="AA1363" s="23"/>
      <c r="AB1363" s="23"/>
      <c r="AC1363" s="23"/>
      <c r="AD1363" s="23"/>
      <c r="AE1363" s="23"/>
    </row>
    <row r="1364" spans="1:31">
      <c r="A1364" s="23"/>
      <c r="B1364" s="40"/>
      <c r="C1364" s="40"/>
      <c r="D1364" s="23"/>
      <c r="E1364" s="23"/>
      <c r="F1364" s="23"/>
      <c r="G1364" s="40"/>
      <c r="H1364" s="40"/>
      <c r="I1364" s="40"/>
      <c r="J1364" s="70"/>
      <c r="K1364" s="70"/>
      <c r="L1364" s="70"/>
      <c r="M1364" s="70"/>
      <c r="N1364" s="70"/>
      <c r="O1364" s="70"/>
      <c r="P1364" s="23"/>
      <c r="Q1364" s="23"/>
      <c r="R1364" s="72"/>
      <c r="S1364" s="23"/>
      <c r="T1364" s="23"/>
      <c r="U1364" s="23"/>
      <c r="V1364" s="23"/>
      <c r="W1364" s="23"/>
      <c r="X1364" s="23"/>
      <c r="Y1364" s="23"/>
      <c r="Z1364" s="23"/>
      <c r="AA1364" s="23"/>
      <c r="AB1364" s="23"/>
      <c r="AC1364" s="23"/>
      <c r="AD1364" s="23"/>
      <c r="AE1364" s="23"/>
    </row>
    <row r="1365" spans="1:31">
      <c r="A1365" s="23"/>
      <c r="B1365" s="40"/>
      <c r="C1365" s="40"/>
      <c r="D1365" s="23"/>
      <c r="E1365" s="23"/>
      <c r="F1365" s="23"/>
      <c r="G1365" s="40"/>
      <c r="H1365" s="40"/>
      <c r="I1365" s="40"/>
      <c r="J1365" s="70"/>
      <c r="K1365" s="70"/>
      <c r="L1365" s="70"/>
      <c r="M1365" s="70"/>
      <c r="N1365" s="70"/>
      <c r="O1365" s="70"/>
      <c r="P1365" s="23"/>
      <c r="Q1365" s="23"/>
      <c r="R1365" s="72"/>
      <c r="S1365" s="23"/>
      <c r="T1365" s="23"/>
      <c r="U1365" s="23"/>
      <c r="V1365" s="23"/>
      <c r="W1365" s="23"/>
      <c r="X1365" s="23"/>
      <c r="Y1365" s="23"/>
      <c r="Z1365" s="23"/>
      <c r="AA1365" s="23"/>
      <c r="AB1365" s="23"/>
      <c r="AC1365" s="23"/>
      <c r="AD1365" s="23"/>
      <c r="AE1365" s="23"/>
    </row>
    <row r="1366" spans="1:31">
      <c r="A1366" s="23"/>
      <c r="B1366" s="40"/>
      <c r="C1366" s="40"/>
      <c r="D1366" s="23"/>
      <c r="E1366" s="23"/>
      <c r="F1366" s="23"/>
      <c r="G1366" s="40"/>
      <c r="H1366" s="40"/>
      <c r="I1366" s="40"/>
      <c r="J1366" s="70"/>
      <c r="K1366" s="70"/>
      <c r="L1366" s="70"/>
      <c r="M1366" s="70"/>
      <c r="N1366" s="70"/>
      <c r="O1366" s="70"/>
      <c r="P1366" s="23"/>
      <c r="Q1366" s="23"/>
      <c r="R1366" s="72"/>
      <c r="S1366" s="23"/>
      <c r="T1366" s="23"/>
      <c r="U1366" s="23"/>
      <c r="V1366" s="23"/>
      <c r="W1366" s="23"/>
      <c r="X1366" s="23"/>
      <c r="Y1366" s="23"/>
      <c r="Z1366" s="23"/>
      <c r="AA1366" s="23"/>
      <c r="AB1366" s="23"/>
      <c r="AC1366" s="23"/>
      <c r="AD1366" s="23"/>
      <c r="AE1366" s="23"/>
    </row>
    <row r="1367" spans="1:31">
      <c r="A1367" s="23"/>
      <c r="B1367" s="40"/>
      <c r="C1367" s="40"/>
      <c r="D1367" s="23"/>
      <c r="E1367" s="23"/>
      <c r="F1367" s="23"/>
      <c r="G1367" s="40"/>
      <c r="H1367" s="40"/>
      <c r="I1367" s="40"/>
      <c r="J1367" s="70"/>
      <c r="K1367" s="70"/>
      <c r="L1367" s="70"/>
      <c r="M1367" s="70"/>
      <c r="N1367" s="70"/>
      <c r="O1367" s="70"/>
      <c r="P1367" s="23"/>
      <c r="Q1367" s="23"/>
      <c r="R1367" s="72"/>
      <c r="S1367" s="23"/>
      <c r="T1367" s="23"/>
      <c r="U1367" s="23"/>
      <c r="V1367" s="23"/>
      <c r="W1367" s="23"/>
      <c r="X1367" s="23"/>
      <c r="Y1367" s="23"/>
      <c r="Z1367" s="23"/>
      <c r="AA1367" s="23"/>
      <c r="AB1367" s="23"/>
      <c r="AC1367" s="23"/>
      <c r="AD1367" s="23"/>
      <c r="AE1367" s="23"/>
    </row>
    <row r="1368" spans="1:31">
      <c r="A1368" s="23"/>
      <c r="B1368" s="40"/>
      <c r="C1368" s="40"/>
      <c r="D1368" s="23"/>
      <c r="E1368" s="23"/>
      <c r="F1368" s="23"/>
      <c r="G1368" s="40"/>
      <c r="H1368" s="40"/>
      <c r="I1368" s="40"/>
      <c r="J1368" s="70"/>
      <c r="K1368" s="70"/>
      <c r="L1368" s="70"/>
      <c r="M1368" s="70"/>
      <c r="N1368" s="70"/>
      <c r="O1368" s="70"/>
      <c r="P1368" s="23"/>
      <c r="Q1368" s="23"/>
      <c r="R1368" s="72"/>
      <c r="S1368" s="23"/>
      <c r="T1368" s="23"/>
      <c r="U1368" s="23"/>
      <c r="V1368" s="23"/>
      <c r="W1368" s="23"/>
      <c r="X1368" s="23"/>
      <c r="Y1368" s="23"/>
      <c r="Z1368" s="23"/>
      <c r="AA1368" s="23"/>
      <c r="AB1368" s="23"/>
      <c r="AC1368" s="23"/>
      <c r="AD1368" s="23"/>
      <c r="AE1368" s="23"/>
    </row>
    <row r="1369" spans="1:31">
      <c r="A1369" s="23"/>
      <c r="B1369" s="40"/>
      <c r="C1369" s="40"/>
      <c r="D1369" s="23"/>
      <c r="E1369" s="23"/>
      <c r="F1369" s="40"/>
      <c r="G1369" s="40"/>
      <c r="H1369" s="40"/>
      <c r="I1369" s="40"/>
      <c r="J1369" s="70"/>
      <c r="K1369" s="70"/>
      <c r="L1369" s="70"/>
      <c r="M1369" s="70"/>
      <c r="N1369" s="70"/>
      <c r="O1369" s="70"/>
      <c r="P1369" s="23"/>
      <c r="Q1369" s="23"/>
      <c r="R1369" s="72"/>
      <c r="S1369" s="23"/>
      <c r="T1369" s="23"/>
      <c r="U1369" s="23"/>
      <c r="V1369" s="23"/>
      <c r="W1369" s="23"/>
      <c r="X1369" s="23"/>
      <c r="Y1369" s="23"/>
      <c r="Z1369" s="23"/>
      <c r="AA1369" s="23"/>
      <c r="AB1369" s="23"/>
      <c r="AC1369" s="23"/>
      <c r="AD1369" s="23"/>
      <c r="AE1369" s="23"/>
    </row>
    <row r="1370" spans="1:31" ht="24" customHeight="1">
      <c r="A1370" s="23"/>
      <c r="B1370" s="40"/>
      <c r="C1370" s="40"/>
      <c r="D1370" s="23"/>
      <c r="E1370" s="23"/>
      <c r="F1370" s="40"/>
      <c r="G1370" s="40"/>
      <c r="H1370" s="40"/>
      <c r="I1370" s="40"/>
      <c r="J1370" s="70"/>
      <c r="K1370" s="70"/>
      <c r="L1370" s="70"/>
      <c r="M1370" s="70"/>
      <c r="N1370" s="70"/>
      <c r="O1370" s="70"/>
      <c r="P1370" s="23"/>
      <c r="Q1370" s="23"/>
      <c r="R1370" s="72"/>
      <c r="S1370" s="23"/>
      <c r="T1370" s="23"/>
      <c r="U1370" s="23"/>
      <c r="V1370" s="23"/>
      <c r="W1370" s="23"/>
      <c r="X1370" s="23"/>
      <c r="Y1370" s="23"/>
      <c r="Z1370" s="23"/>
      <c r="AA1370" s="23"/>
      <c r="AB1370" s="23"/>
      <c r="AC1370" s="23"/>
      <c r="AD1370" s="23"/>
      <c r="AE1370" s="23"/>
    </row>
    <row r="1371" spans="1:31">
      <c r="A1371" s="23"/>
      <c r="B1371" s="40"/>
      <c r="C1371" s="40"/>
      <c r="D1371" s="23"/>
      <c r="E1371" s="23"/>
      <c r="F1371" s="40"/>
      <c r="G1371" s="40"/>
      <c r="H1371" s="40"/>
      <c r="I1371" s="40"/>
      <c r="J1371" s="70"/>
      <c r="K1371" s="70"/>
      <c r="L1371" s="70"/>
      <c r="M1371" s="70"/>
      <c r="N1371" s="70"/>
      <c r="O1371" s="70"/>
      <c r="P1371" s="23"/>
      <c r="Q1371" s="23"/>
      <c r="R1371" s="72"/>
      <c r="S1371" s="23"/>
      <c r="T1371" s="23"/>
      <c r="U1371" s="23"/>
      <c r="V1371" s="23"/>
      <c r="W1371" s="23"/>
      <c r="X1371" s="23"/>
      <c r="Y1371" s="23"/>
      <c r="Z1371" s="23"/>
      <c r="AA1371" s="23"/>
      <c r="AB1371" s="23"/>
      <c r="AC1371" s="23"/>
      <c r="AD1371" s="23"/>
      <c r="AE1371" s="23"/>
    </row>
    <row r="1372" spans="1:31">
      <c r="A1372" s="23"/>
      <c r="B1372" s="40"/>
      <c r="C1372" s="40"/>
      <c r="D1372" s="23"/>
      <c r="E1372" s="23"/>
      <c r="F1372" s="40"/>
      <c r="G1372" s="40"/>
      <c r="H1372" s="40"/>
      <c r="I1372" s="40"/>
      <c r="J1372" s="70"/>
      <c r="K1372" s="70"/>
      <c r="L1372" s="70"/>
      <c r="M1372" s="70"/>
      <c r="N1372" s="70"/>
      <c r="O1372" s="70"/>
      <c r="P1372" s="23"/>
      <c r="Q1372" s="23"/>
      <c r="R1372" s="72"/>
      <c r="S1372" s="23"/>
      <c r="T1372" s="23"/>
      <c r="U1372" s="23"/>
      <c r="V1372" s="23"/>
      <c r="W1372" s="23"/>
      <c r="X1372" s="23"/>
      <c r="Y1372" s="23"/>
      <c r="Z1372" s="23"/>
      <c r="AA1372" s="23"/>
      <c r="AB1372" s="23"/>
      <c r="AC1372" s="23"/>
      <c r="AD1372" s="23"/>
      <c r="AE1372" s="23"/>
    </row>
    <row r="1373" spans="1:31">
      <c r="A1373" s="23"/>
      <c r="B1373" s="40"/>
      <c r="C1373" s="40"/>
      <c r="D1373" s="23"/>
      <c r="E1373" s="23"/>
      <c r="F1373" s="40"/>
      <c r="G1373" s="40"/>
      <c r="H1373" s="40"/>
      <c r="I1373" s="40"/>
      <c r="J1373" s="70"/>
      <c r="K1373" s="70"/>
      <c r="L1373" s="70"/>
      <c r="M1373" s="70"/>
      <c r="N1373" s="70"/>
      <c r="O1373" s="70"/>
      <c r="P1373" s="23"/>
      <c r="Q1373" s="23"/>
      <c r="R1373" s="72"/>
      <c r="S1373" s="23"/>
      <c r="T1373" s="23"/>
      <c r="U1373" s="23"/>
      <c r="V1373" s="23"/>
      <c r="W1373" s="23"/>
      <c r="X1373" s="23"/>
      <c r="Y1373" s="23"/>
      <c r="Z1373" s="23"/>
      <c r="AA1373" s="23"/>
      <c r="AB1373" s="23"/>
      <c r="AC1373" s="23"/>
      <c r="AD1373" s="23"/>
      <c r="AE1373" s="23"/>
    </row>
    <row r="1374" spans="1:31">
      <c r="A1374" s="23"/>
      <c r="B1374" s="40"/>
      <c r="C1374" s="40"/>
      <c r="D1374" s="23"/>
      <c r="E1374" s="23"/>
      <c r="F1374" s="40"/>
      <c r="G1374" s="40"/>
      <c r="H1374" s="40"/>
      <c r="I1374" s="40"/>
      <c r="J1374" s="70"/>
      <c r="K1374" s="70"/>
      <c r="L1374" s="70"/>
      <c r="M1374" s="70"/>
      <c r="N1374" s="70"/>
      <c r="O1374" s="70"/>
      <c r="P1374" s="23"/>
      <c r="Q1374" s="23"/>
      <c r="R1374" s="72"/>
      <c r="S1374" s="23"/>
      <c r="T1374" s="23"/>
      <c r="U1374" s="23"/>
      <c r="V1374" s="23"/>
      <c r="W1374" s="23"/>
      <c r="X1374" s="23"/>
      <c r="Y1374" s="23"/>
      <c r="Z1374" s="23"/>
      <c r="AA1374" s="23"/>
      <c r="AB1374" s="23"/>
      <c r="AC1374" s="23"/>
      <c r="AD1374" s="23"/>
      <c r="AE1374" s="23"/>
    </row>
    <row r="1375" spans="1:31" ht="24" customHeight="1">
      <c r="A1375" s="23"/>
      <c r="B1375" s="40"/>
      <c r="C1375" s="40"/>
      <c r="D1375" s="23"/>
      <c r="E1375" s="23"/>
      <c r="F1375" s="40"/>
      <c r="G1375" s="40"/>
      <c r="H1375" s="40"/>
      <c r="I1375" s="40"/>
      <c r="J1375" s="70"/>
      <c r="K1375" s="70"/>
      <c r="L1375" s="70"/>
      <c r="M1375" s="70"/>
      <c r="N1375" s="70"/>
      <c r="O1375" s="70"/>
      <c r="P1375" s="23"/>
      <c r="Q1375" s="23"/>
      <c r="R1375" s="72"/>
      <c r="S1375" s="23"/>
      <c r="T1375" s="23"/>
      <c r="U1375" s="23"/>
      <c r="V1375" s="23"/>
      <c r="W1375" s="23"/>
      <c r="X1375" s="23"/>
      <c r="Y1375" s="23"/>
      <c r="Z1375" s="23"/>
      <c r="AA1375" s="23"/>
      <c r="AB1375" s="23"/>
      <c r="AC1375" s="23"/>
      <c r="AD1375" s="23"/>
      <c r="AE1375" s="23"/>
    </row>
    <row r="1376" spans="1:31">
      <c r="A1376" s="23"/>
      <c r="B1376" s="40"/>
      <c r="C1376" s="40"/>
      <c r="D1376" s="23"/>
      <c r="E1376" s="23"/>
      <c r="F1376" s="40"/>
      <c r="G1376" s="40"/>
      <c r="H1376" s="40"/>
      <c r="I1376" s="40"/>
      <c r="J1376" s="70"/>
      <c r="K1376" s="70"/>
      <c r="L1376" s="70"/>
      <c r="M1376" s="70"/>
      <c r="N1376" s="70"/>
      <c r="O1376" s="70"/>
      <c r="P1376" s="23"/>
      <c r="Q1376" s="23"/>
      <c r="R1376" s="72"/>
      <c r="S1376" s="23"/>
      <c r="T1376" s="23"/>
      <c r="U1376" s="23"/>
      <c r="V1376" s="23"/>
      <c r="W1376" s="23"/>
      <c r="X1376" s="23"/>
      <c r="Y1376" s="23"/>
      <c r="Z1376" s="23"/>
      <c r="AA1376" s="23"/>
      <c r="AB1376" s="23"/>
      <c r="AC1376" s="23"/>
      <c r="AD1376" s="23"/>
      <c r="AE1376" s="23"/>
    </row>
    <row r="1377" spans="1:32">
      <c r="A1377" s="23"/>
      <c r="B1377" s="40"/>
      <c r="C1377" s="40"/>
      <c r="D1377" s="23"/>
      <c r="E1377" s="23"/>
      <c r="F1377" s="40"/>
      <c r="G1377" s="40"/>
      <c r="H1377" s="40"/>
      <c r="I1377" s="40"/>
      <c r="J1377" s="70"/>
      <c r="K1377" s="70"/>
      <c r="L1377" s="70"/>
      <c r="M1377" s="70"/>
      <c r="N1377" s="70"/>
      <c r="O1377" s="70"/>
      <c r="P1377" s="23"/>
      <c r="Q1377" s="23"/>
      <c r="R1377" s="72"/>
      <c r="S1377" s="23"/>
      <c r="T1377" s="23"/>
      <c r="U1377" s="23"/>
      <c r="V1377" s="23"/>
      <c r="W1377" s="23"/>
      <c r="X1377" s="23"/>
      <c r="Y1377" s="23"/>
      <c r="Z1377" s="23"/>
      <c r="AA1377" s="23"/>
      <c r="AB1377" s="23"/>
      <c r="AC1377" s="23"/>
      <c r="AD1377" s="23"/>
      <c r="AE1377" s="23"/>
    </row>
    <row r="1378" spans="1:32">
      <c r="A1378" s="23"/>
      <c r="B1378" s="40"/>
      <c r="C1378" s="40"/>
      <c r="D1378" s="23"/>
      <c r="E1378" s="23"/>
      <c r="F1378" s="40"/>
      <c r="G1378" s="40"/>
      <c r="H1378" s="40"/>
      <c r="I1378" s="40"/>
      <c r="J1378" s="70"/>
      <c r="K1378" s="70"/>
      <c r="L1378" s="70"/>
      <c r="M1378" s="70"/>
      <c r="N1378" s="70"/>
      <c r="O1378" s="70"/>
      <c r="P1378" s="23"/>
      <c r="Q1378" s="23"/>
      <c r="R1378" s="72"/>
      <c r="S1378" s="23"/>
      <c r="T1378" s="23"/>
      <c r="U1378" s="23"/>
      <c r="V1378" s="23"/>
      <c r="W1378" s="23"/>
      <c r="X1378" s="23"/>
      <c r="Y1378" s="23"/>
      <c r="Z1378" s="23"/>
      <c r="AA1378" s="23"/>
      <c r="AB1378" s="23"/>
      <c r="AC1378" s="23"/>
      <c r="AD1378" s="23"/>
      <c r="AE1378" s="23"/>
    </row>
    <row r="1379" spans="1:32">
      <c r="A1379" s="23"/>
      <c r="B1379" s="40"/>
      <c r="C1379" s="40"/>
      <c r="D1379" s="23"/>
      <c r="E1379" s="23"/>
      <c r="F1379" s="40"/>
      <c r="G1379" s="40"/>
      <c r="H1379" s="40"/>
      <c r="I1379" s="40"/>
      <c r="J1379" s="70"/>
      <c r="K1379" s="70"/>
      <c r="L1379" s="70"/>
      <c r="M1379" s="70"/>
      <c r="N1379" s="70"/>
      <c r="O1379" s="70"/>
      <c r="P1379" s="23"/>
      <c r="Q1379" s="23"/>
      <c r="R1379" s="72"/>
      <c r="S1379" s="23"/>
      <c r="T1379" s="23"/>
      <c r="U1379" s="23"/>
      <c r="V1379" s="23"/>
      <c r="W1379" s="23"/>
      <c r="X1379" s="23"/>
      <c r="Y1379" s="23"/>
      <c r="Z1379" s="23"/>
      <c r="AA1379" s="23"/>
      <c r="AB1379" s="23"/>
      <c r="AC1379" s="23"/>
      <c r="AD1379" s="23"/>
      <c r="AE1379" s="23"/>
    </row>
    <row r="1380" spans="1:32">
      <c r="A1380" s="23"/>
      <c r="B1380" s="40"/>
      <c r="C1380" s="40"/>
      <c r="D1380" s="23"/>
      <c r="E1380" s="23"/>
      <c r="F1380" s="40"/>
      <c r="G1380" s="40"/>
      <c r="H1380" s="40"/>
      <c r="I1380" s="40"/>
      <c r="J1380" s="70"/>
      <c r="K1380" s="70"/>
      <c r="L1380" s="70"/>
      <c r="M1380" s="70"/>
      <c r="N1380" s="70"/>
      <c r="O1380" s="70"/>
      <c r="P1380" s="23"/>
      <c r="Q1380" s="23"/>
      <c r="R1380" s="72"/>
      <c r="S1380" s="23"/>
      <c r="T1380" s="23"/>
      <c r="U1380" s="23"/>
      <c r="V1380" s="23"/>
      <c r="W1380" s="23"/>
      <c r="X1380" s="23"/>
      <c r="Y1380" s="23"/>
      <c r="Z1380" s="23"/>
      <c r="AA1380" s="23"/>
      <c r="AB1380" s="23"/>
      <c r="AC1380" s="23"/>
      <c r="AD1380" s="23"/>
      <c r="AE1380" s="23"/>
    </row>
    <row r="1381" spans="1:32">
      <c r="A1381" s="23"/>
      <c r="B1381" s="40"/>
      <c r="C1381" s="40"/>
      <c r="D1381" s="23"/>
      <c r="E1381" s="23"/>
      <c r="F1381" s="40"/>
      <c r="G1381" s="40"/>
      <c r="H1381" s="40"/>
      <c r="I1381" s="40"/>
      <c r="J1381" s="70"/>
      <c r="K1381" s="70"/>
      <c r="L1381" s="70"/>
      <c r="M1381" s="70"/>
      <c r="N1381" s="70"/>
      <c r="O1381" s="70"/>
      <c r="P1381" s="23"/>
      <c r="Q1381" s="23"/>
      <c r="R1381" s="72"/>
      <c r="S1381" s="23"/>
      <c r="T1381" s="23"/>
      <c r="U1381" s="23"/>
      <c r="V1381" s="23"/>
      <c r="W1381" s="23"/>
      <c r="X1381" s="23"/>
      <c r="Y1381" s="23"/>
      <c r="Z1381" s="23"/>
      <c r="AA1381" s="23"/>
      <c r="AB1381" s="23"/>
      <c r="AC1381" s="23"/>
      <c r="AD1381" s="23"/>
      <c r="AE1381" s="23"/>
    </row>
    <row r="1382" spans="1:32">
      <c r="A1382" s="23"/>
      <c r="B1382" s="40"/>
      <c r="C1382" s="40"/>
      <c r="D1382" s="23"/>
      <c r="E1382" s="23"/>
      <c r="F1382" s="40"/>
      <c r="G1382" s="40"/>
      <c r="H1382" s="40"/>
      <c r="I1382" s="40"/>
      <c r="J1382" s="70"/>
      <c r="K1382" s="70"/>
      <c r="L1382" s="70"/>
      <c r="M1382" s="70"/>
      <c r="N1382" s="70"/>
      <c r="O1382" s="70"/>
      <c r="P1382" s="23"/>
      <c r="Q1382" s="23"/>
      <c r="R1382" s="72"/>
      <c r="S1382" s="23"/>
      <c r="T1382" s="23"/>
      <c r="U1382" s="23"/>
      <c r="V1382" s="23"/>
      <c r="W1382" s="23"/>
      <c r="X1382" s="23"/>
      <c r="Y1382" s="23"/>
      <c r="Z1382" s="23"/>
      <c r="AA1382" s="23"/>
      <c r="AB1382" s="23"/>
      <c r="AC1382" s="23"/>
      <c r="AD1382" s="23"/>
      <c r="AE1382" s="23"/>
    </row>
    <row r="1383" spans="1:32">
      <c r="A1383" s="23"/>
      <c r="B1383" s="40"/>
      <c r="C1383" s="40"/>
      <c r="D1383" s="23"/>
      <c r="E1383" s="23"/>
      <c r="F1383" s="40"/>
      <c r="G1383" s="40"/>
      <c r="H1383" s="40"/>
      <c r="I1383" s="40"/>
      <c r="J1383" s="70"/>
      <c r="K1383" s="70"/>
      <c r="L1383" s="70"/>
      <c r="M1383" s="70"/>
      <c r="N1383" s="70"/>
      <c r="O1383" s="70"/>
      <c r="P1383" s="23"/>
      <c r="Q1383" s="23"/>
      <c r="R1383" s="72"/>
      <c r="S1383" s="23"/>
      <c r="T1383" s="23"/>
      <c r="U1383" s="23"/>
      <c r="V1383" s="23"/>
      <c r="W1383" s="23"/>
      <c r="X1383" s="23"/>
      <c r="Y1383" s="23"/>
      <c r="Z1383" s="23"/>
      <c r="AA1383" s="23"/>
      <c r="AB1383" s="23"/>
      <c r="AC1383" s="23"/>
      <c r="AD1383" s="23"/>
      <c r="AE1383" s="23"/>
    </row>
    <row r="1384" spans="1:32">
      <c r="A1384" s="23"/>
      <c r="B1384" s="40"/>
      <c r="C1384" s="40"/>
      <c r="D1384" s="23"/>
      <c r="E1384" s="23"/>
      <c r="F1384" s="40"/>
      <c r="G1384" s="40"/>
      <c r="H1384" s="40"/>
      <c r="I1384" s="40"/>
      <c r="J1384" s="70"/>
      <c r="K1384" s="70"/>
      <c r="L1384" s="70"/>
      <c r="M1384" s="70"/>
      <c r="N1384" s="70"/>
      <c r="O1384" s="70"/>
      <c r="P1384" s="23"/>
      <c r="Q1384" s="23"/>
      <c r="R1384" s="72"/>
      <c r="S1384" s="23"/>
      <c r="T1384" s="23"/>
      <c r="U1384" s="23"/>
      <c r="V1384" s="23"/>
      <c r="W1384" s="23"/>
      <c r="X1384" s="23"/>
      <c r="Y1384" s="23"/>
      <c r="Z1384" s="23"/>
      <c r="AA1384" s="23"/>
      <c r="AB1384" s="23"/>
      <c r="AC1384" s="23"/>
      <c r="AD1384" s="23"/>
      <c r="AE1384" s="23"/>
    </row>
    <row r="1385" spans="1:32" s="23" customFormat="1">
      <c r="B1385" s="40"/>
      <c r="C1385" s="40"/>
      <c r="F1385" s="40"/>
      <c r="G1385" s="40"/>
      <c r="H1385" s="40"/>
      <c r="I1385" s="40"/>
      <c r="J1385" s="70"/>
      <c r="K1385" s="70"/>
      <c r="L1385" s="70"/>
      <c r="M1385" s="70"/>
      <c r="N1385" s="70"/>
      <c r="O1385" s="70"/>
      <c r="R1385" s="72"/>
      <c r="AF1385" s="93"/>
    </row>
    <row r="1386" spans="1:32" s="23" customFormat="1">
      <c r="B1386" s="40"/>
      <c r="C1386" s="40"/>
      <c r="F1386" s="40"/>
      <c r="G1386" s="40"/>
      <c r="H1386" s="40"/>
      <c r="I1386" s="40"/>
      <c r="J1386" s="70"/>
      <c r="K1386" s="70"/>
      <c r="L1386" s="70"/>
      <c r="M1386" s="70"/>
      <c r="N1386" s="70"/>
      <c r="O1386" s="70"/>
      <c r="R1386" s="72"/>
      <c r="AF1386" s="93"/>
    </row>
  </sheetData>
  <mergeCells count="4">
    <mergeCell ref="B2:P2"/>
    <mergeCell ref="S4:V4"/>
    <mergeCell ref="W4:Z4"/>
    <mergeCell ref="AA4:AD4"/>
  </mergeCells>
  <phoneticPr fontId="61" type="noConversion"/>
  <conditionalFormatting sqref="S4:AD9">
    <cfRule type="cellIs" dxfId="101" priority="535" stopIfTrue="1" operator="equal">
      <formula>"√"</formula>
    </cfRule>
  </conditionalFormatting>
  <conditionalFormatting sqref="J223 J225 J227 J454 J456 J458">
    <cfRule type="expression" priority="536" stopIfTrue="1">
      <formula>$Q222="删除"</formula>
    </cfRule>
  </conditionalFormatting>
  <conditionalFormatting sqref="J242 J450 J443 J473 J219 J212 J149 J140:J141 J143:J145">
    <cfRule type="expression" priority="537" stopIfTrue="1">
      <formula>#REF!="删除"</formula>
    </cfRule>
  </conditionalFormatting>
  <conditionalFormatting sqref="J154">
    <cfRule type="expression" priority="538" stopIfTrue="1">
      <formula>$Q213="删除"</formula>
    </cfRule>
  </conditionalFormatting>
  <conditionalFormatting sqref="N287 J112:J113 N292 N297 N518 N523 N528">
    <cfRule type="expression" priority="539" stopIfTrue="1">
      <formula>$Q114="删除"</formula>
    </cfRule>
  </conditionalFormatting>
  <conditionalFormatting sqref="H149">
    <cfRule type="expression" priority="540" stopIfTrue="1">
      <formula>$Q140="删除"</formula>
    </cfRule>
  </conditionalFormatting>
  <conditionalFormatting sqref="J233 J240 J464 J471">
    <cfRule type="expression" priority="541" stopIfTrue="1">
      <formula>$Q312="删除"</formula>
    </cfRule>
  </conditionalFormatting>
  <conditionalFormatting sqref="J235 J466">
    <cfRule type="expression" priority="542" stopIfTrue="1">
      <formula>$Q313="删除"</formula>
    </cfRule>
  </conditionalFormatting>
  <conditionalFormatting sqref="J142 J114:J115">
    <cfRule type="expression" priority="543" stopIfTrue="1">
      <formula>$Q186="删除"</formula>
    </cfRule>
  </conditionalFormatting>
  <conditionalFormatting sqref="J146:J148">
    <cfRule type="expression" priority="544" stopIfTrue="1">
      <formula>$Q215="删除"</formula>
    </cfRule>
  </conditionalFormatting>
  <conditionalFormatting sqref="J133 J122:J126">
    <cfRule type="expression" priority="545" stopIfTrue="1">
      <formula>$Q195="删除"</formula>
    </cfRule>
  </conditionalFormatting>
  <conditionalFormatting sqref="N290 N295 N300 N521 N526 N531">
    <cfRule type="expression" priority="546" stopIfTrue="1">
      <formula>$Q296="删除"</formula>
    </cfRule>
  </conditionalFormatting>
  <conditionalFormatting sqref="J120 J131 J138">
    <cfRule type="expression" priority="547" stopIfTrue="1">
      <formula>$Q194="删除"</formula>
    </cfRule>
  </conditionalFormatting>
  <conditionalFormatting sqref="J244:J245 J139 J111 J116:J119 J121 J127:J130 J132 J134:J137 J241 J221 J208 J229:J232 J234 J236:J239 N284 N288:N289 N293:N294 N298:N299 J475:J476 J472 J452 J439 J460:J463 J465 J467:J470 N515 N519:N520 N524:N525 N529:N530">
    <cfRule type="expression" priority="548" stopIfTrue="1">
      <formula>$Q112="删除"</formula>
    </cfRule>
  </conditionalFormatting>
  <conditionalFormatting sqref="AA637:AA642 S637:S642 W637:W642 AA593:AA605 W593:W605 AA362:AA374 S593:S605 S396:S586 AA396:AA586 S362:S374 W396:W586 W362:W374 W11 S11 AA11 AA84:AA104 S84:S104 W84:W104 W107:W355 S107:S355 AA107:AA355 AA13:AA81 S13:S81 W13:W81">
    <cfRule type="cellIs" dxfId="100" priority="549" stopIfTrue="1" operator="equal">
      <formula>"NG"</formula>
    </cfRule>
    <cfRule type="cellIs" dxfId="99" priority="550" stopIfTrue="1" operator="equal">
      <formula>"SKIP"</formula>
    </cfRule>
  </conditionalFormatting>
  <conditionalFormatting sqref="H643:H650 G641:I641 H396:H636 L154:P283 G149 G164:J180 G386:G627 G246:J380 L375:N388 N301:P355 O292:P295 O287:P290 O284:P285 N286:P286 J182:J186 G182:I185 G187:J207 G208:I208 G209:J211 G212:I212 G213:J218 G219:I219 G221:I242 J222 J228 G220:J220 J224 J226 G243:J243 G244:I245 L284:M359 N291:P291 O297:P300 N296:P296 N356:N359 L360:N361 G382:J385 H386:J388 G381:H381 J381 L362:P374 I477:J612 L606:N620 N532:P586 O523:P526 O518:P521 O515:P516 L396:P514 N517:P517 I396:J411 J413:J417 I413:I416 I418:J438 I439 I440:J442 I443 I444:J449 I450 I452:I473 J453 J459 I451:J451 J455 J457 I474:J474 I475:I476 L515:M590 N522:P522 O528:P531 N527:P527 N587:N590 L591:N592 L593:P605 I614:J620 J613 G629:G630 G181 G186 H389:H394 G154:I163 G150:I151 J155:J163 G152:P153 G637:P639 L640:P642 G642:J642 G640:K640 K641:K642 I111:I149 G111:H148 L111:P151 L37:N38 K36:K47 G19:G31 G36:G54 I52:I54 G58:N58 G56:J57 L54:N57 O11:P11 N93:N94 O84:P104 K92:K99 M97:M99 O107:P110 G92:G106 K19:K23 K11:K12 O13:P81 H12:H13">
    <cfRule type="expression" priority="551" stopIfTrue="1">
      <formula>$Q11="删除"</formula>
    </cfRule>
  </conditionalFormatting>
  <conditionalFormatting sqref="J68">
    <cfRule type="expression" priority="532" stopIfTrue="1">
      <formula>$Q68="删除"</formula>
    </cfRule>
  </conditionalFormatting>
  <conditionalFormatting sqref="J21">
    <cfRule type="expression" priority="475" stopIfTrue="1">
      <formula>$Q21="删除"</formula>
    </cfRule>
  </conditionalFormatting>
  <conditionalFormatting sqref="M68:N68">
    <cfRule type="expression" priority="534" stopIfTrue="1">
      <formula>$Q68="删除"</formula>
    </cfRule>
  </conditionalFormatting>
  <conditionalFormatting sqref="H68:I68 L68">
    <cfRule type="expression" priority="533" stopIfTrue="1">
      <formula>$Q68="删除"</formula>
    </cfRule>
  </conditionalFormatting>
  <conditionalFormatting sqref="L22">
    <cfRule type="expression" priority="469" stopIfTrue="1">
      <formula>$Q22="删除"</formula>
    </cfRule>
  </conditionalFormatting>
  <conditionalFormatting sqref="H19:I19">
    <cfRule type="expression" priority="467" stopIfTrue="1">
      <formula>$Q19="删除"</formula>
    </cfRule>
  </conditionalFormatting>
  <conditionalFormatting sqref="L108">
    <cfRule type="expression" priority="526" stopIfTrue="1">
      <formula>$Q108="删除"</formula>
    </cfRule>
  </conditionalFormatting>
  <conditionalFormatting sqref="H22:I22">
    <cfRule type="expression" priority="472" stopIfTrue="1">
      <formula>$Q22="删除"</formula>
    </cfRule>
  </conditionalFormatting>
  <conditionalFormatting sqref="G108:G110">
    <cfRule type="expression" priority="531" stopIfTrue="1">
      <formula>$Q108="删除"</formula>
    </cfRule>
  </conditionalFormatting>
  <conditionalFormatting sqref="J108">
    <cfRule type="expression" priority="525" stopIfTrue="1">
      <formula>$Q108="删除"</formula>
    </cfRule>
  </conditionalFormatting>
  <conditionalFormatting sqref="H110:I110">
    <cfRule type="expression" priority="519" stopIfTrue="1">
      <formula>$Q110="删除"</formula>
    </cfRule>
  </conditionalFormatting>
  <conditionalFormatting sqref="J109">
    <cfRule type="expression" priority="522" stopIfTrue="1">
      <formula>$Q109="删除"</formula>
    </cfRule>
  </conditionalFormatting>
  <conditionalFormatting sqref="L109">
    <cfRule type="expression" priority="521" stopIfTrue="1">
      <formula>$Q109="删除"</formula>
    </cfRule>
  </conditionalFormatting>
  <conditionalFormatting sqref="J110">
    <cfRule type="expression" priority="517" stopIfTrue="1">
      <formula>$Q110="删除"</formula>
    </cfRule>
  </conditionalFormatting>
  <conditionalFormatting sqref="L110">
    <cfRule type="expression" priority="516" stopIfTrue="1">
      <formula>$Q110="删除"</formula>
    </cfRule>
  </conditionalFormatting>
  <conditionalFormatting sqref="G107">
    <cfRule type="expression" priority="515" stopIfTrue="1">
      <formula>$Q107="删除"</formula>
    </cfRule>
  </conditionalFormatting>
  <conditionalFormatting sqref="K107">
    <cfRule type="expression" priority="514" stopIfTrue="1">
      <formula>$Q107="删除"</formula>
    </cfRule>
  </conditionalFormatting>
  <conditionalFormatting sqref="L21">
    <cfRule type="expression" priority="474" stopIfTrue="1">
      <formula>$Q21="删除"</formula>
    </cfRule>
  </conditionalFormatting>
  <conditionalFormatting sqref="M22:N22">
    <cfRule type="expression" priority="473" stopIfTrue="1">
      <formula>$Q22="删除"</formula>
    </cfRule>
  </conditionalFormatting>
  <conditionalFormatting sqref="J107 L107:N107">
    <cfRule type="expression" priority="513" stopIfTrue="1">
      <formula>$Q107="删除"</formula>
    </cfRule>
  </conditionalFormatting>
  <conditionalFormatting sqref="D22">
    <cfRule type="cellIs" dxfId="98" priority="471" stopIfTrue="1" operator="equal">
      <formula>"√"</formula>
    </cfRule>
  </conditionalFormatting>
  <conditionalFormatting sqref="L11">
    <cfRule type="expression" priority="509" stopIfTrue="1">
      <formula>$Q11="删除"</formula>
    </cfRule>
  </conditionalFormatting>
  <conditionalFormatting sqref="M108:N108">
    <cfRule type="expression" priority="527" stopIfTrue="1">
      <formula>$Q108="删除"</formula>
    </cfRule>
  </conditionalFormatting>
  <conditionalFormatting sqref="H108:I108 M109:N109">
    <cfRule type="expression" priority="529" stopIfTrue="1">
      <formula>$Q108="删除"</formula>
    </cfRule>
  </conditionalFormatting>
  <conditionalFormatting sqref="J20">
    <cfRule type="expression" priority="478" stopIfTrue="1">
      <formula>$Q20="删除"</formula>
    </cfRule>
  </conditionalFormatting>
  <conditionalFormatting sqref="K108:K110">
    <cfRule type="expression" priority="530" stopIfTrue="1">
      <formula>$Q108="删除"</formula>
    </cfRule>
  </conditionalFormatting>
  <conditionalFormatting sqref="D108">
    <cfRule type="cellIs" dxfId="97" priority="528" stopIfTrue="1" operator="equal">
      <formula>"√"</formula>
    </cfRule>
  </conditionalFormatting>
  <conditionalFormatting sqref="H109:I109">
    <cfRule type="expression" priority="524" stopIfTrue="1">
      <formula>$Q109="删除"</formula>
    </cfRule>
  </conditionalFormatting>
  <conditionalFormatting sqref="D109">
    <cfRule type="cellIs" dxfId="96" priority="523" stopIfTrue="1" operator="equal">
      <formula>"√"</formula>
    </cfRule>
  </conditionalFormatting>
  <conditionalFormatting sqref="J22">
    <cfRule type="expression" priority="470" stopIfTrue="1">
      <formula>$Q22="删除"</formula>
    </cfRule>
  </conditionalFormatting>
  <conditionalFormatting sqref="M110:N110">
    <cfRule type="expression" priority="520" stopIfTrue="1">
      <formula>$Q110="删除"</formula>
    </cfRule>
  </conditionalFormatting>
  <conditionalFormatting sqref="D110">
    <cfRule type="cellIs" dxfId="95" priority="518" stopIfTrue="1" operator="equal">
      <formula>"√"</formula>
    </cfRule>
  </conditionalFormatting>
  <conditionalFormatting sqref="H11:J11">
    <cfRule type="expression" priority="487" stopIfTrue="1">
      <formula>$Q11="删除"</formula>
    </cfRule>
  </conditionalFormatting>
  <conditionalFormatting sqref="H107:I107">
    <cfRule type="expression" priority="512" stopIfTrue="1">
      <formula>$Q107="删除"</formula>
    </cfRule>
  </conditionalFormatting>
  <conditionalFormatting sqref="D107">
    <cfRule type="cellIs" dxfId="94" priority="511" stopIfTrue="1" operator="equal">
      <formula>"√"</formula>
    </cfRule>
  </conditionalFormatting>
  <conditionalFormatting sqref="M11:N11">
    <cfRule type="expression" priority="510" stopIfTrue="1">
      <formula>$Q11="删除"</formula>
    </cfRule>
  </conditionalFormatting>
  <conditionalFormatting sqref="H20:I20 M21:N21">
    <cfRule type="expression" priority="482" stopIfTrue="1">
      <formula>$Q20="删除"</formula>
    </cfRule>
  </conditionalFormatting>
  <conditionalFormatting sqref="D11">
    <cfRule type="cellIs" dxfId="93" priority="486" stopIfTrue="1" operator="equal">
      <formula>"√"</formula>
    </cfRule>
  </conditionalFormatting>
  <conditionalFormatting sqref="H24:I24 L24">
    <cfRule type="expression" priority="459" stopIfTrue="1">
      <formula>$Q24="删除"</formula>
    </cfRule>
  </conditionalFormatting>
  <conditionalFormatting sqref="M20:N20">
    <cfRule type="expression" priority="480" stopIfTrue="1">
      <formula>$Q20="删除"</formula>
    </cfRule>
  </conditionalFormatting>
  <conditionalFormatting sqref="D20">
    <cfRule type="cellIs" dxfId="92" priority="481" stopIfTrue="1" operator="equal">
      <formula>"√"</formula>
    </cfRule>
  </conditionalFormatting>
  <conditionalFormatting sqref="L20">
    <cfRule type="expression" priority="479" stopIfTrue="1">
      <formula>$Q20="删除"</formula>
    </cfRule>
  </conditionalFormatting>
  <conditionalFormatting sqref="H21:I21">
    <cfRule type="expression" priority="477" stopIfTrue="1">
      <formula>$Q21="删除"</formula>
    </cfRule>
  </conditionalFormatting>
  <conditionalFormatting sqref="D21">
    <cfRule type="cellIs" dxfId="91" priority="476" stopIfTrue="1" operator="equal">
      <formula>"√"</formula>
    </cfRule>
  </conditionalFormatting>
  <conditionalFormatting sqref="J19 L19:N19">
    <cfRule type="expression" priority="468" stopIfTrue="1">
      <formula>$Q19="删除"</formula>
    </cfRule>
  </conditionalFormatting>
  <conditionalFormatting sqref="D19">
    <cfRule type="cellIs" dxfId="90" priority="466" stopIfTrue="1" operator="equal">
      <formula>"√"</formula>
    </cfRule>
  </conditionalFormatting>
  <conditionalFormatting sqref="L23">
    <cfRule type="expression" priority="461" stopIfTrue="1">
      <formula>$Q23="删除"</formula>
    </cfRule>
  </conditionalFormatting>
  <conditionalFormatting sqref="J23">
    <cfRule type="expression" priority="462" stopIfTrue="1">
      <formula>$Q23="删除"</formula>
    </cfRule>
  </conditionalFormatting>
  <conditionalFormatting sqref="M23:N23">
    <cfRule type="expression" priority="465" stopIfTrue="1">
      <formula>$Q23="删除"</formula>
    </cfRule>
  </conditionalFormatting>
  <conditionalFormatting sqref="H23:I23">
    <cfRule type="expression" priority="464" stopIfTrue="1">
      <formula>$Q23="删除"</formula>
    </cfRule>
  </conditionalFormatting>
  <conditionalFormatting sqref="D23">
    <cfRule type="cellIs" dxfId="89" priority="463" stopIfTrue="1" operator="equal">
      <formula>"√"</formula>
    </cfRule>
  </conditionalFormatting>
  <conditionalFormatting sqref="H26:I26 L26">
    <cfRule type="expression" priority="448" stopIfTrue="1">
      <formula>$Q26="删除"</formula>
    </cfRule>
  </conditionalFormatting>
  <conditionalFormatting sqref="N26">
    <cfRule type="expression" priority="444" stopIfTrue="1">
      <formula>$Q26="删除"</formula>
    </cfRule>
  </conditionalFormatting>
  <conditionalFormatting sqref="N24">
    <cfRule type="expression" priority="443" stopIfTrue="1">
      <formula>$Q24="删除"</formula>
    </cfRule>
  </conditionalFormatting>
  <conditionalFormatting sqref="J26">
    <cfRule type="expression" priority="446" stopIfTrue="1">
      <formula>$Q26="删除"</formula>
    </cfRule>
  </conditionalFormatting>
  <conditionalFormatting sqref="K26">
    <cfRule type="expression" priority="445" stopIfTrue="1">
      <formula>$Q26="删除"</formula>
    </cfRule>
  </conditionalFormatting>
  <conditionalFormatting sqref="M24">
    <cfRule type="expression" priority="460" stopIfTrue="1">
      <formula>$Q24="删除"</formula>
    </cfRule>
  </conditionalFormatting>
  <conditionalFormatting sqref="D24">
    <cfRule type="cellIs" dxfId="88" priority="458" stopIfTrue="1" operator="equal">
      <formula>"√"</formula>
    </cfRule>
  </conditionalFormatting>
  <conditionalFormatting sqref="J24">
    <cfRule type="expression" priority="457" stopIfTrue="1">
      <formula>$Q24="删除"</formula>
    </cfRule>
  </conditionalFormatting>
  <conditionalFormatting sqref="K24">
    <cfRule type="expression" priority="456" stopIfTrue="1">
      <formula>$Q24="删除"</formula>
    </cfRule>
  </conditionalFormatting>
  <conditionalFormatting sqref="M25">
    <cfRule type="expression" priority="455" stopIfTrue="1">
      <formula>$Q25="删除"</formula>
    </cfRule>
  </conditionalFormatting>
  <conditionalFormatting sqref="D25">
    <cfRule type="cellIs" dxfId="87" priority="453" stopIfTrue="1" operator="equal">
      <formula>"√"</formula>
    </cfRule>
  </conditionalFormatting>
  <conditionalFormatting sqref="H25:I25 L25">
    <cfRule type="expression" priority="454" stopIfTrue="1">
      <formula>$Q25="删除"</formula>
    </cfRule>
  </conditionalFormatting>
  <conditionalFormatting sqref="J25">
    <cfRule type="expression" priority="452" stopIfTrue="1">
      <formula>$Q25="删除"</formula>
    </cfRule>
  </conditionalFormatting>
  <conditionalFormatting sqref="K25">
    <cfRule type="expression" priority="451" stopIfTrue="1">
      <formula>$Q25="删除"</formula>
    </cfRule>
  </conditionalFormatting>
  <conditionalFormatting sqref="N25">
    <cfRule type="expression" priority="450" stopIfTrue="1">
      <formula>$Q25="删除"</formula>
    </cfRule>
  </conditionalFormatting>
  <conditionalFormatting sqref="M26">
    <cfRule type="expression" priority="449" stopIfTrue="1">
      <formula>$Q26="删除"</formula>
    </cfRule>
  </conditionalFormatting>
  <conditionalFormatting sqref="D26">
    <cfRule type="cellIs" dxfId="86" priority="447" stopIfTrue="1" operator="equal">
      <formula>"√"</formula>
    </cfRule>
  </conditionalFormatting>
  <conditionalFormatting sqref="M27">
    <cfRule type="expression" priority="442" stopIfTrue="1">
      <formula>$Q27="删除"</formula>
    </cfRule>
  </conditionalFormatting>
  <conditionalFormatting sqref="D27">
    <cfRule type="cellIs" dxfId="85" priority="440" stopIfTrue="1" operator="equal">
      <formula>"√"</formula>
    </cfRule>
  </conditionalFormatting>
  <conditionalFormatting sqref="H27:I27">
    <cfRule type="expression" priority="441" stopIfTrue="1">
      <formula>$Q27="删除"</formula>
    </cfRule>
  </conditionalFormatting>
  <conditionalFormatting sqref="J27">
    <cfRule type="expression" priority="439" stopIfTrue="1">
      <formula>$Q27="删除"</formula>
    </cfRule>
  </conditionalFormatting>
  <conditionalFormatting sqref="L27">
    <cfRule type="expression" priority="438" stopIfTrue="1">
      <formula>$Q27="删除"</formula>
    </cfRule>
  </conditionalFormatting>
  <conditionalFormatting sqref="K27">
    <cfRule type="expression" priority="437" stopIfTrue="1">
      <formula>$Q27="删除"</formula>
    </cfRule>
  </conditionalFormatting>
  <conditionalFormatting sqref="N27">
    <cfRule type="expression" priority="436" stopIfTrue="1">
      <formula>$Q27="删除"</formula>
    </cfRule>
  </conditionalFormatting>
  <conditionalFormatting sqref="M28">
    <cfRule type="expression" priority="435" stopIfTrue="1">
      <formula>$Q28="删除"</formula>
    </cfRule>
  </conditionalFormatting>
  <conditionalFormatting sqref="D28">
    <cfRule type="cellIs" dxfId="84" priority="433" stopIfTrue="1" operator="equal">
      <formula>"√"</formula>
    </cfRule>
  </conditionalFormatting>
  <conditionalFormatting sqref="H28:I28">
    <cfRule type="expression" priority="434" stopIfTrue="1">
      <formula>$Q28="删除"</formula>
    </cfRule>
  </conditionalFormatting>
  <conditionalFormatting sqref="J28">
    <cfRule type="expression" priority="432" stopIfTrue="1">
      <formula>$Q28="删除"</formula>
    </cfRule>
  </conditionalFormatting>
  <conditionalFormatting sqref="L28">
    <cfRule type="expression" priority="431" stopIfTrue="1">
      <formula>$Q28="删除"</formula>
    </cfRule>
  </conditionalFormatting>
  <conditionalFormatting sqref="K28">
    <cfRule type="expression" priority="430" stopIfTrue="1">
      <formula>$Q28="删除"</formula>
    </cfRule>
  </conditionalFormatting>
  <conditionalFormatting sqref="N28">
    <cfRule type="expression" priority="429" stopIfTrue="1">
      <formula>$Q28="删除"</formula>
    </cfRule>
  </conditionalFormatting>
  <conditionalFormatting sqref="M29">
    <cfRule type="expression" priority="428" stopIfTrue="1">
      <formula>$Q29="删除"</formula>
    </cfRule>
  </conditionalFormatting>
  <conditionalFormatting sqref="D29">
    <cfRule type="cellIs" dxfId="83" priority="426" stopIfTrue="1" operator="equal">
      <formula>"√"</formula>
    </cfRule>
  </conditionalFormatting>
  <conditionalFormatting sqref="H29:I29">
    <cfRule type="expression" priority="427" stopIfTrue="1">
      <formula>$Q29="删除"</formula>
    </cfRule>
  </conditionalFormatting>
  <conditionalFormatting sqref="J29">
    <cfRule type="expression" priority="425" stopIfTrue="1">
      <formula>$Q29="删除"</formula>
    </cfRule>
  </conditionalFormatting>
  <conditionalFormatting sqref="L29">
    <cfRule type="expression" priority="424" stopIfTrue="1">
      <formula>$Q29="删除"</formula>
    </cfRule>
  </conditionalFormatting>
  <conditionalFormatting sqref="K29">
    <cfRule type="expression" priority="423" stopIfTrue="1">
      <formula>$Q29="删除"</formula>
    </cfRule>
  </conditionalFormatting>
  <conditionalFormatting sqref="N29">
    <cfRule type="expression" priority="422" stopIfTrue="1">
      <formula>$Q29="删除"</formula>
    </cfRule>
  </conditionalFormatting>
  <conditionalFormatting sqref="M30">
    <cfRule type="expression" priority="421" stopIfTrue="1">
      <formula>$Q30="删除"</formula>
    </cfRule>
  </conditionalFormatting>
  <conditionalFormatting sqref="D30">
    <cfRule type="cellIs" dxfId="82" priority="419" stopIfTrue="1" operator="equal">
      <formula>"√"</formula>
    </cfRule>
  </conditionalFormatting>
  <conditionalFormatting sqref="H30:I30">
    <cfRule type="expression" priority="420" stopIfTrue="1">
      <formula>$Q30="删除"</formula>
    </cfRule>
  </conditionalFormatting>
  <conditionalFormatting sqref="J30">
    <cfRule type="expression" priority="418" stopIfTrue="1">
      <formula>$Q30="删除"</formula>
    </cfRule>
  </conditionalFormatting>
  <conditionalFormatting sqref="L30">
    <cfRule type="expression" priority="417" stopIfTrue="1">
      <formula>$Q30="删除"</formula>
    </cfRule>
  </conditionalFormatting>
  <conditionalFormatting sqref="K30">
    <cfRule type="expression" priority="416" stopIfTrue="1">
      <formula>$Q30="删除"</formula>
    </cfRule>
  </conditionalFormatting>
  <conditionalFormatting sqref="N30">
    <cfRule type="expression" priority="415" stopIfTrue="1">
      <formula>$Q30="删除"</formula>
    </cfRule>
  </conditionalFormatting>
  <conditionalFormatting sqref="N31">
    <cfRule type="expression" priority="408" stopIfTrue="1">
      <formula>$Q31="删除"</formula>
    </cfRule>
  </conditionalFormatting>
  <conditionalFormatting sqref="N51">
    <cfRule type="expression" priority="329" stopIfTrue="1">
      <formula>$Q51="删除"</formula>
    </cfRule>
  </conditionalFormatting>
  <conditionalFormatting sqref="M31">
    <cfRule type="expression" priority="414" stopIfTrue="1">
      <formula>$Q31="删除"</formula>
    </cfRule>
  </conditionalFormatting>
  <conditionalFormatting sqref="D31">
    <cfRule type="cellIs" dxfId="81" priority="412" stopIfTrue="1" operator="equal">
      <formula>"√"</formula>
    </cfRule>
  </conditionalFormatting>
  <conditionalFormatting sqref="H31:I31">
    <cfRule type="expression" priority="413" stopIfTrue="1">
      <formula>$Q31="删除"</formula>
    </cfRule>
  </conditionalFormatting>
  <conditionalFormatting sqref="J31">
    <cfRule type="expression" priority="411" stopIfTrue="1">
      <formula>$Q31="删除"</formula>
    </cfRule>
  </conditionalFormatting>
  <conditionalFormatting sqref="L31">
    <cfRule type="expression" priority="410" stopIfTrue="1">
      <formula>$Q31="删除"</formula>
    </cfRule>
  </conditionalFormatting>
  <conditionalFormatting sqref="K31">
    <cfRule type="expression" priority="409" stopIfTrue="1">
      <formula>$Q31="删除"</formula>
    </cfRule>
  </conditionalFormatting>
  <conditionalFormatting sqref="D41">
    <cfRule type="cellIs" dxfId="80" priority="391" stopIfTrue="1" operator="equal">
      <formula>"√"</formula>
    </cfRule>
  </conditionalFormatting>
  <conditionalFormatting sqref="J41">
    <cfRule type="expression" priority="390" stopIfTrue="1">
      <formula>$Q41="删除"</formula>
    </cfRule>
  </conditionalFormatting>
  <conditionalFormatting sqref="H37:J37">
    <cfRule type="expression" priority="389" stopIfTrue="1">
      <formula>$Q37="删除"</formula>
    </cfRule>
  </conditionalFormatting>
  <conditionalFormatting sqref="H41:I41">
    <cfRule type="expression" priority="392" stopIfTrue="1">
      <formula>$Q41="删除"</formula>
    </cfRule>
  </conditionalFormatting>
  <conditionalFormatting sqref="J40">
    <cfRule type="expression" priority="393" stopIfTrue="1">
      <formula>$Q40="删除"</formula>
    </cfRule>
  </conditionalFormatting>
  <conditionalFormatting sqref="H38:I38">
    <cfRule type="expression" priority="386" stopIfTrue="1">
      <formula>$Q38="删除"</formula>
    </cfRule>
  </conditionalFormatting>
  <conditionalFormatting sqref="G32:J32 G33:G34">
    <cfRule type="expression" priority="384" stopIfTrue="1">
      <formula>$Q32="删除"</formula>
    </cfRule>
  </conditionalFormatting>
  <conditionalFormatting sqref="J38">
    <cfRule type="expression" priority="387" stopIfTrue="1">
      <formula>$Q38="删除"</formula>
    </cfRule>
  </conditionalFormatting>
  <conditionalFormatting sqref="L32">
    <cfRule type="expression" priority="406" stopIfTrue="1">
      <formula>$Q32="删除"</formula>
    </cfRule>
  </conditionalFormatting>
  <conditionalFormatting sqref="M32:N32">
    <cfRule type="expression" priority="407" stopIfTrue="1">
      <formula>$Q32="删除"</formula>
    </cfRule>
  </conditionalFormatting>
  <conditionalFormatting sqref="D33">
    <cfRule type="cellIs" dxfId="79" priority="404" stopIfTrue="1" operator="equal">
      <formula>"√"</formula>
    </cfRule>
  </conditionalFormatting>
  <conditionalFormatting sqref="H33:J33 M34:N34 M39:M41 L41 L33:N33 M36">
    <cfRule type="expression" priority="405" stopIfTrue="1">
      <formula>$Q33="删除"</formula>
    </cfRule>
  </conditionalFormatting>
  <conditionalFormatting sqref="D34">
    <cfRule type="cellIs" dxfId="78" priority="402" stopIfTrue="1" operator="equal">
      <formula>"√"</formula>
    </cfRule>
  </conditionalFormatting>
  <conditionalFormatting sqref="H34:J34 L34">
    <cfRule type="expression" priority="403" stopIfTrue="1">
      <formula>$Q34="删除"</formula>
    </cfRule>
  </conditionalFormatting>
  <conditionalFormatting sqref="N36">
    <cfRule type="expression" priority="401" stopIfTrue="1">
      <formula>$Q36="删除"</formula>
    </cfRule>
  </conditionalFormatting>
  <conditionalFormatting sqref="D36">
    <cfRule type="cellIs" dxfId="77" priority="399" stopIfTrue="1" operator="equal">
      <formula>"√"</formula>
    </cfRule>
  </conditionalFormatting>
  <conditionalFormatting sqref="H36:J36 L36">
    <cfRule type="expression" priority="400" stopIfTrue="1">
      <formula>$Q36="删除"</formula>
    </cfRule>
  </conditionalFormatting>
  <conditionalFormatting sqref="N39:N41">
    <cfRule type="expression" priority="398" stopIfTrue="1">
      <formula>$Q39="删除"</formula>
    </cfRule>
  </conditionalFormatting>
  <conditionalFormatting sqref="D39">
    <cfRule type="cellIs" dxfId="76" priority="396" stopIfTrue="1" operator="equal">
      <formula>"√"</formula>
    </cfRule>
  </conditionalFormatting>
  <conditionalFormatting sqref="H39:J39 L39">
    <cfRule type="expression" priority="397" stopIfTrue="1">
      <formula>$Q39="删除"</formula>
    </cfRule>
  </conditionalFormatting>
  <conditionalFormatting sqref="D40">
    <cfRule type="cellIs" dxfId="75" priority="394" stopIfTrue="1" operator="equal">
      <formula>"√"</formula>
    </cfRule>
  </conditionalFormatting>
  <conditionalFormatting sqref="H40:I40 L40">
    <cfRule type="expression" priority="395" stopIfTrue="1">
      <formula>$Q40="删除"</formula>
    </cfRule>
  </conditionalFormatting>
  <conditionalFormatting sqref="D37">
    <cfRule type="cellIs" dxfId="74" priority="388" stopIfTrue="1" operator="equal">
      <formula>"√"</formula>
    </cfRule>
  </conditionalFormatting>
  <conditionalFormatting sqref="D38">
    <cfRule type="cellIs" dxfId="73" priority="385" stopIfTrue="1" operator="equal">
      <formula>"√"</formula>
    </cfRule>
  </conditionalFormatting>
  <conditionalFormatting sqref="D32">
    <cfRule type="cellIs" dxfId="72" priority="383" stopIfTrue="1" operator="equal">
      <formula>"√"</formula>
    </cfRule>
  </conditionalFormatting>
  <conditionalFormatting sqref="K32:K34">
    <cfRule type="expression" priority="382" stopIfTrue="1">
      <formula>$Q32="删除"</formula>
    </cfRule>
  </conditionalFormatting>
  <conditionalFormatting sqref="H44:I44 M45:N45">
    <cfRule type="expression" priority="378" stopIfTrue="1">
      <formula>$Q44="删除"</formula>
    </cfRule>
  </conditionalFormatting>
  <conditionalFormatting sqref="J42 L42:N42">
    <cfRule type="expression" priority="381" stopIfTrue="1">
      <formula>$Q42="删除"</formula>
    </cfRule>
  </conditionalFormatting>
  <conditionalFormatting sqref="H42:I42">
    <cfRule type="expression" priority="380" stopIfTrue="1">
      <formula>$Q42="删除"</formula>
    </cfRule>
  </conditionalFormatting>
  <conditionalFormatting sqref="D42">
    <cfRule type="cellIs" dxfId="71" priority="379" stopIfTrue="1" operator="equal">
      <formula>"√"</formula>
    </cfRule>
  </conditionalFormatting>
  <conditionalFormatting sqref="M44:N44">
    <cfRule type="expression" priority="376" stopIfTrue="1">
      <formula>$Q44="删除"</formula>
    </cfRule>
  </conditionalFormatting>
  <conditionalFormatting sqref="L46">
    <cfRule type="expression" priority="365" stopIfTrue="1">
      <formula>$Q46="删除"</formula>
    </cfRule>
  </conditionalFormatting>
  <conditionalFormatting sqref="D44">
    <cfRule type="cellIs" dxfId="70" priority="377" stopIfTrue="1" operator="equal">
      <formula>"√"</formula>
    </cfRule>
  </conditionalFormatting>
  <conditionalFormatting sqref="J44">
    <cfRule type="expression" priority="374" stopIfTrue="1">
      <formula>$Q44="删除"</formula>
    </cfRule>
  </conditionalFormatting>
  <conditionalFormatting sqref="L44">
    <cfRule type="expression" priority="375" stopIfTrue="1">
      <formula>$Q44="删除"</formula>
    </cfRule>
  </conditionalFormatting>
  <conditionalFormatting sqref="L45">
    <cfRule type="expression" priority="370" stopIfTrue="1">
      <formula>$Q45="删除"</formula>
    </cfRule>
  </conditionalFormatting>
  <conditionalFormatting sqref="H45:I45">
    <cfRule type="expression" priority="373" stopIfTrue="1">
      <formula>$Q45="删除"</formula>
    </cfRule>
  </conditionalFormatting>
  <conditionalFormatting sqref="D45">
    <cfRule type="cellIs" dxfId="69" priority="372" stopIfTrue="1" operator="equal">
      <formula>"√"</formula>
    </cfRule>
  </conditionalFormatting>
  <conditionalFormatting sqref="J45">
    <cfRule type="expression" priority="371" stopIfTrue="1">
      <formula>$Q45="删除"</formula>
    </cfRule>
  </conditionalFormatting>
  <conditionalFormatting sqref="J46">
    <cfRule type="expression" priority="366" stopIfTrue="1">
      <formula>$Q46="删除"</formula>
    </cfRule>
  </conditionalFormatting>
  <conditionalFormatting sqref="M46">
    <cfRule type="expression" priority="369" stopIfTrue="1">
      <formula>$Q46="删除"</formula>
    </cfRule>
  </conditionalFormatting>
  <conditionalFormatting sqref="H46:I46">
    <cfRule type="expression" priority="368" stopIfTrue="1">
      <formula>$Q46="删除"</formula>
    </cfRule>
  </conditionalFormatting>
  <conditionalFormatting sqref="D46">
    <cfRule type="cellIs" dxfId="68" priority="367" stopIfTrue="1" operator="equal">
      <formula>"√"</formula>
    </cfRule>
  </conditionalFormatting>
  <conditionalFormatting sqref="H43:I43">
    <cfRule type="expression" priority="363" stopIfTrue="1">
      <formula>$Q43="删除"</formula>
    </cfRule>
  </conditionalFormatting>
  <conditionalFormatting sqref="J43 L43:N43">
    <cfRule type="expression" priority="364" stopIfTrue="1">
      <formula>$Q43="删除"</formula>
    </cfRule>
  </conditionalFormatting>
  <conditionalFormatting sqref="D43">
    <cfRule type="cellIs" dxfId="67" priority="362" stopIfTrue="1" operator="equal">
      <formula>"√"</formula>
    </cfRule>
  </conditionalFormatting>
  <conditionalFormatting sqref="L47">
    <cfRule type="expression" priority="357" stopIfTrue="1">
      <formula>$Q47="删除"</formula>
    </cfRule>
  </conditionalFormatting>
  <conditionalFormatting sqref="J47">
    <cfRule type="expression" priority="358" stopIfTrue="1">
      <formula>$Q47="删除"</formula>
    </cfRule>
  </conditionalFormatting>
  <conditionalFormatting sqref="M47:N47 N46">
    <cfRule type="expression" priority="361" stopIfTrue="1">
      <formula>$Q46="删除"</formula>
    </cfRule>
  </conditionalFormatting>
  <conditionalFormatting sqref="H47:I47">
    <cfRule type="expression" priority="360" stopIfTrue="1">
      <formula>$Q47="删除"</formula>
    </cfRule>
  </conditionalFormatting>
  <conditionalFormatting sqref="D47">
    <cfRule type="cellIs" dxfId="66" priority="359" stopIfTrue="1" operator="equal">
      <formula>"√"</formula>
    </cfRule>
  </conditionalFormatting>
  <conditionalFormatting sqref="M48">
    <cfRule type="expression" priority="356" stopIfTrue="1">
      <formula>$Q48="删除"</formula>
    </cfRule>
  </conditionalFormatting>
  <conditionalFormatting sqref="D48">
    <cfRule type="cellIs" dxfId="65" priority="354" stopIfTrue="1" operator="equal">
      <formula>"√"</formula>
    </cfRule>
  </conditionalFormatting>
  <conditionalFormatting sqref="H48:I48">
    <cfRule type="expression" priority="355" stopIfTrue="1">
      <formula>$Q48="删除"</formula>
    </cfRule>
  </conditionalFormatting>
  <conditionalFormatting sqref="J48">
    <cfRule type="expression" priority="353" stopIfTrue="1">
      <formula>$Q48="删除"</formula>
    </cfRule>
  </conditionalFormatting>
  <conditionalFormatting sqref="L48">
    <cfRule type="expression" priority="352" stopIfTrue="1">
      <formula>$Q48="删除"</formula>
    </cfRule>
  </conditionalFormatting>
  <conditionalFormatting sqref="K48">
    <cfRule type="expression" priority="351" stopIfTrue="1">
      <formula>$Q48="删除"</formula>
    </cfRule>
  </conditionalFormatting>
  <conditionalFormatting sqref="N48">
    <cfRule type="expression" priority="350" stopIfTrue="1">
      <formula>$Q48="删除"</formula>
    </cfRule>
  </conditionalFormatting>
  <conditionalFormatting sqref="M49">
    <cfRule type="expression" priority="349" stopIfTrue="1">
      <formula>$Q49="删除"</formula>
    </cfRule>
  </conditionalFormatting>
  <conditionalFormatting sqref="D49">
    <cfRule type="cellIs" dxfId="64" priority="347" stopIfTrue="1" operator="equal">
      <formula>"√"</formula>
    </cfRule>
  </conditionalFormatting>
  <conditionalFormatting sqref="H49:I49">
    <cfRule type="expression" priority="348" stopIfTrue="1">
      <formula>$Q49="删除"</formula>
    </cfRule>
  </conditionalFormatting>
  <conditionalFormatting sqref="J49">
    <cfRule type="expression" priority="346" stopIfTrue="1">
      <formula>$Q49="删除"</formula>
    </cfRule>
  </conditionalFormatting>
  <conditionalFormatting sqref="L49">
    <cfRule type="expression" priority="345" stopIfTrue="1">
      <formula>$Q49="删除"</formula>
    </cfRule>
  </conditionalFormatting>
  <conditionalFormatting sqref="K49">
    <cfRule type="expression" priority="344" stopIfTrue="1">
      <formula>$Q49="删除"</formula>
    </cfRule>
  </conditionalFormatting>
  <conditionalFormatting sqref="N49">
    <cfRule type="expression" priority="343" stopIfTrue="1">
      <formula>$Q49="删除"</formula>
    </cfRule>
  </conditionalFormatting>
  <conditionalFormatting sqref="M50">
    <cfRule type="expression" priority="342" stopIfTrue="1">
      <formula>$Q50="删除"</formula>
    </cfRule>
  </conditionalFormatting>
  <conditionalFormatting sqref="D50">
    <cfRule type="cellIs" dxfId="63" priority="340" stopIfTrue="1" operator="equal">
      <formula>"√"</formula>
    </cfRule>
  </conditionalFormatting>
  <conditionalFormatting sqref="H50:I50">
    <cfRule type="expression" priority="341" stopIfTrue="1">
      <formula>$Q50="删除"</formula>
    </cfRule>
  </conditionalFormatting>
  <conditionalFormatting sqref="J50">
    <cfRule type="expression" priority="339" stopIfTrue="1">
      <formula>$Q50="删除"</formula>
    </cfRule>
  </conditionalFormatting>
  <conditionalFormatting sqref="L50">
    <cfRule type="expression" priority="338" stopIfTrue="1">
      <formula>$Q50="删除"</formula>
    </cfRule>
  </conditionalFormatting>
  <conditionalFormatting sqref="K50">
    <cfRule type="expression" priority="337" stopIfTrue="1">
      <formula>$Q50="删除"</formula>
    </cfRule>
  </conditionalFormatting>
  <conditionalFormatting sqref="N50">
    <cfRule type="expression" priority="336" stopIfTrue="1">
      <formula>$Q50="删除"</formula>
    </cfRule>
  </conditionalFormatting>
  <conditionalFormatting sqref="M51">
    <cfRule type="expression" priority="335" stopIfTrue="1">
      <formula>$Q51="删除"</formula>
    </cfRule>
  </conditionalFormatting>
  <conditionalFormatting sqref="D51">
    <cfRule type="cellIs" dxfId="62" priority="333" stopIfTrue="1" operator="equal">
      <formula>"√"</formula>
    </cfRule>
  </conditionalFormatting>
  <conditionalFormatting sqref="H51:I51">
    <cfRule type="expression" priority="334" stopIfTrue="1">
      <formula>$Q51="删除"</formula>
    </cfRule>
  </conditionalFormatting>
  <conditionalFormatting sqref="J51">
    <cfRule type="expression" priority="332" stopIfTrue="1">
      <formula>$Q51="删除"</formula>
    </cfRule>
  </conditionalFormatting>
  <conditionalFormatting sqref="L51">
    <cfRule type="expression" priority="331" stopIfTrue="1">
      <formula>$Q51="删除"</formula>
    </cfRule>
  </conditionalFormatting>
  <conditionalFormatting sqref="K51">
    <cfRule type="expression" priority="330" stopIfTrue="1">
      <formula>$Q51="删除"</formula>
    </cfRule>
  </conditionalFormatting>
  <conditionalFormatting sqref="N52">
    <cfRule type="expression" priority="322" stopIfTrue="1">
      <formula>$Q52="删除"</formula>
    </cfRule>
  </conditionalFormatting>
  <conditionalFormatting sqref="M52">
    <cfRule type="expression" priority="328" stopIfTrue="1">
      <formula>$Q52="删除"</formula>
    </cfRule>
  </conditionalFormatting>
  <conditionalFormatting sqref="D52">
    <cfRule type="cellIs" dxfId="61" priority="326" stopIfTrue="1" operator="equal">
      <formula>"√"</formula>
    </cfRule>
  </conditionalFormatting>
  <conditionalFormatting sqref="H52">
    <cfRule type="expression" priority="327" stopIfTrue="1">
      <formula>$Q52="删除"</formula>
    </cfRule>
  </conditionalFormatting>
  <conditionalFormatting sqref="J52">
    <cfRule type="expression" priority="325" stopIfTrue="1">
      <formula>$Q52="删除"</formula>
    </cfRule>
  </conditionalFormatting>
  <conditionalFormatting sqref="L52">
    <cfRule type="expression" priority="324" stopIfTrue="1">
      <formula>$Q52="删除"</formula>
    </cfRule>
  </conditionalFormatting>
  <conditionalFormatting sqref="K52">
    <cfRule type="expression" priority="323" stopIfTrue="1">
      <formula>$Q52="删除"</formula>
    </cfRule>
  </conditionalFormatting>
  <conditionalFormatting sqref="G35">
    <cfRule type="expression" priority="319" stopIfTrue="1">
      <formula>$Q35="删除"</formula>
    </cfRule>
  </conditionalFormatting>
  <conditionalFormatting sqref="D35">
    <cfRule type="cellIs" dxfId="60" priority="320" stopIfTrue="1" operator="equal">
      <formula>"√"</formula>
    </cfRule>
  </conditionalFormatting>
  <conditionalFormatting sqref="H35:J35">
    <cfRule type="expression" priority="321" stopIfTrue="1">
      <formula>$Q35="删除"</formula>
    </cfRule>
  </conditionalFormatting>
  <conditionalFormatting sqref="M35:N35">
    <cfRule type="expression" priority="318" stopIfTrue="1">
      <formula>$Q35="删除"</formula>
    </cfRule>
  </conditionalFormatting>
  <conditionalFormatting sqref="L35">
    <cfRule type="expression" priority="317" stopIfTrue="1">
      <formula>$Q35="删除"</formula>
    </cfRule>
  </conditionalFormatting>
  <conditionalFormatting sqref="K35">
    <cfRule type="expression" priority="316" stopIfTrue="1">
      <formula>$Q35="删除"</formula>
    </cfRule>
  </conditionalFormatting>
  <conditionalFormatting sqref="L53:N53 H53 J53">
    <cfRule type="expression" priority="315" stopIfTrue="1">
      <formula>$Q53="删除"</formula>
    </cfRule>
  </conditionalFormatting>
  <conditionalFormatting sqref="D53">
    <cfRule type="cellIs" dxfId="59" priority="314" stopIfTrue="1" operator="equal">
      <formula>"√"</formula>
    </cfRule>
  </conditionalFormatting>
  <conditionalFormatting sqref="K53">
    <cfRule type="expression" priority="313" stopIfTrue="1">
      <formula>$Q53="删除"</formula>
    </cfRule>
  </conditionalFormatting>
  <conditionalFormatting sqref="H54 J54">
    <cfRule type="expression" priority="312" stopIfTrue="1">
      <formula>$Q54="删除"</formula>
    </cfRule>
  </conditionalFormatting>
  <conditionalFormatting sqref="D54">
    <cfRule type="cellIs" dxfId="58" priority="311" stopIfTrue="1" operator="equal">
      <formula>"√"</formula>
    </cfRule>
  </conditionalFormatting>
  <conditionalFormatting sqref="D56:D58">
    <cfRule type="cellIs" dxfId="57" priority="310" stopIfTrue="1" operator="equal">
      <formula>"√"</formula>
    </cfRule>
  </conditionalFormatting>
  <conditionalFormatting sqref="G60 I60">
    <cfRule type="expression" priority="303" stopIfTrue="1">
      <formula>$Q60="删除"</formula>
    </cfRule>
  </conditionalFormatting>
  <conditionalFormatting sqref="G59 I59">
    <cfRule type="expression" priority="309" stopIfTrue="1">
      <formula>$Q59="删除"</formula>
    </cfRule>
  </conditionalFormatting>
  <conditionalFormatting sqref="N59">
    <cfRule type="expression" priority="304" stopIfTrue="1">
      <formula>$Q59="删除"</formula>
    </cfRule>
  </conditionalFormatting>
  <conditionalFormatting sqref="L59">
    <cfRule type="expression" priority="305" stopIfTrue="1">
      <formula>$Q59="删除"</formula>
    </cfRule>
  </conditionalFormatting>
  <conditionalFormatting sqref="L63:M63 H63 J63">
    <cfRule type="expression" priority="284" stopIfTrue="1">
      <formula>$Q63="删除"</formula>
    </cfRule>
  </conditionalFormatting>
  <conditionalFormatting sqref="H63 J63 M63">
    <cfRule type="expression" priority="283" stopIfTrue="1">
      <formula>$Q63="删除"</formula>
    </cfRule>
  </conditionalFormatting>
  <conditionalFormatting sqref="G63 I63">
    <cfRule type="expression" priority="285" stopIfTrue="1">
      <formula>$Q63="删除"</formula>
    </cfRule>
  </conditionalFormatting>
  <conditionalFormatting sqref="L59:N59 H59 J59">
    <cfRule type="expression" priority="308" stopIfTrue="1">
      <formula>$Q59="删除"</formula>
    </cfRule>
  </conditionalFormatting>
  <conditionalFormatting sqref="H59 J59 M59">
    <cfRule type="expression" priority="307" stopIfTrue="1">
      <formula>$Q59="删除"</formula>
    </cfRule>
  </conditionalFormatting>
  <conditionalFormatting sqref="D59">
    <cfRule type="cellIs" dxfId="56" priority="306" stopIfTrue="1" operator="equal">
      <formula>"√"</formula>
    </cfRule>
  </conditionalFormatting>
  <conditionalFormatting sqref="L60:N60 H60 J60">
    <cfRule type="expression" priority="302" stopIfTrue="1">
      <formula>$Q60="删除"</formula>
    </cfRule>
  </conditionalFormatting>
  <conditionalFormatting sqref="H60 J60 M60">
    <cfRule type="expression" priority="301" stopIfTrue="1">
      <formula>$Q60="删除"</formula>
    </cfRule>
  </conditionalFormatting>
  <conditionalFormatting sqref="D60">
    <cfRule type="cellIs" dxfId="55" priority="300" stopIfTrue="1" operator="equal">
      <formula>"√"</formula>
    </cfRule>
  </conditionalFormatting>
  <conditionalFormatting sqref="L60">
    <cfRule type="expression" priority="299" stopIfTrue="1">
      <formula>$Q60="删除"</formula>
    </cfRule>
  </conditionalFormatting>
  <conditionalFormatting sqref="N60">
    <cfRule type="expression" priority="298" stopIfTrue="1">
      <formula>$Q60="删除"</formula>
    </cfRule>
  </conditionalFormatting>
  <conditionalFormatting sqref="G61 I61">
    <cfRule type="expression" priority="297" stopIfTrue="1">
      <formula>$Q61="删除"</formula>
    </cfRule>
  </conditionalFormatting>
  <conditionalFormatting sqref="L61:N61 H61 J61">
    <cfRule type="expression" priority="296" stopIfTrue="1">
      <formula>$Q61="删除"</formula>
    </cfRule>
  </conditionalFormatting>
  <conditionalFormatting sqref="H61 J61 M61">
    <cfRule type="expression" priority="295" stopIfTrue="1">
      <formula>$Q61="删除"</formula>
    </cfRule>
  </conditionalFormatting>
  <conditionalFormatting sqref="D61">
    <cfRule type="cellIs" dxfId="54" priority="294" stopIfTrue="1" operator="equal">
      <formula>"√"</formula>
    </cfRule>
  </conditionalFormatting>
  <conditionalFormatting sqref="L61">
    <cfRule type="expression" priority="293" stopIfTrue="1">
      <formula>$Q61="删除"</formula>
    </cfRule>
  </conditionalFormatting>
  <conditionalFormatting sqref="N61">
    <cfRule type="expression" priority="292" stopIfTrue="1">
      <formula>$Q61="删除"</formula>
    </cfRule>
  </conditionalFormatting>
  <conditionalFormatting sqref="G62 I62">
    <cfRule type="expression" priority="291" stopIfTrue="1">
      <formula>$Q62="删除"</formula>
    </cfRule>
  </conditionalFormatting>
  <conditionalFormatting sqref="L62:N62 H62 J62">
    <cfRule type="expression" priority="290" stopIfTrue="1">
      <formula>$Q62="删除"</formula>
    </cfRule>
  </conditionalFormatting>
  <conditionalFormatting sqref="H62 J62 M62">
    <cfRule type="expression" priority="289" stopIfTrue="1">
      <formula>$Q62="删除"</formula>
    </cfRule>
  </conditionalFormatting>
  <conditionalFormatting sqref="D62">
    <cfRule type="cellIs" dxfId="53" priority="288" stopIfTrue="1" operator="equal">
      <formula>"√"</formula>
    </cfRule>
  </conditionalFormatting>
  <conditionalFormatting sqref="L62">
    <cfRule type="expression" priority="287" stopIfTrue="1">
      <formula>$Q62="删除"</formula>
    </cfRule>
  </conditionalFormatting>
  <conditionalFormatting sqref="N62">
    <cfRule type="expression" priority="286" stopIfTrue="1">
      <formula>$Q62="删除"</formula>
    </cfRule>
  </conditionalFormatting>
  <conditionalFormatting sqref="D63">
    <cfRule type="cellIs" dxfId="52" priority="282" stopIfTrue="1" operator="equal">
      <formula>"√"</formula>
    </cfRule>
  </conditionalFormatting>
  <conditionalFormatting sqref="L63">
    <cfRule type="expression" priority="281" stopIfTrue="1">
      <formula>$Q63="删除"</formula>
    </cfRule>
  </conditionalFormatting>
  <conditionalFormatting sqref="N63">
    <cfRule type="expression" priority="280" stopIfTrue="1">
      <formula>$Q63="删除"</formula>
    </cfRule>
  </conditionalFormatting>
  <conditionalFormatting sqref="N63">
    <cfRule type="expression" priority="279" stopIfTrue="1">
      <formula>$Q63="删除"</formula>
    </cfRule>
  </conditionalFormatting>
  <conditionalFormatting sqref="G64 I64">
    <cfRule type="expression" priority="278" stopIfTrue="1">
      <formula>$Q64="删除"</formula>
    </cfRule>
  </conditionalFormatting>
  <conditionalFormatting sqref="L64:M64 H64 J64">
    <cfRule type="expression" priority="277" stopIfTrue="1">
      <formula>$Q64="删除"</formula>
    </cfRule>
  </conditionalFormatting>
  <conditionalFormatting sqref="H64 J64 M64">
    <cfRule type="expression" priority="276" stopIfTrue="1">
      <formula>$Q64="删除"</formula>
    </cfRule>
  </conditionalFormatting>
  <conditionalFormatting sqref="D64">
    <cfRule type="cellIs" dxfId="51" priority="275" stopIfTrue="1" operator="equal">
      <formula>"√"</formula>
    </cfRule>
  </conditionalFormatting>
  <conditionalFormatting sqref="K64">
    <cfRule type="expression" priority="274" stopIfTrue="1">
      <formula>$Q64="删除"</formula>
    </cfRule>
  </conditionalFormatting>
  <conditionalFormatting sqref="L64">
    <cfRule type="expression" priority="273" stopIfTrue="1">
      <formula>$Q64="删除"</formula>
    </cfRule>
  </conditionalFormatting>
  <conditionalFormatting sqref="N64">
    <cfRule type="expression" priority="272" stopIfTrue="1">
      <formula>$Q64="删除"</formula>
    </cfRule>
  </conditionalFormatting>
  <conditionalFormatting sqref="N64">
    <cfRule type="expression" priority="271" stopIfTrue="1">
      <formula>$Q64="删除"</formula>
    </cfRule>
  </conditionalFormatting>
  <conditionalFormatting sqref="G65 I65">
    <cfRule type="expression" priority="270" stopIfTrue="1">
      <formula>$Q65="删除"</formula>
    </cfRule>
  </conditionalFormatting>
  <conditionalFormatting sqref="L65:M65 H65 J65">
    <cfRule type="expression" priority="269" stopIfTrue="1">
      <formula>$Q65="删除"</formula>
    </cfRule>
  </conditionalFormatting>
  <conditionalFormatting sqref="H65 J65 M65">
    <cfRule type="expression" priority="268" stopIfTrue="1">
      <formula>$Q65="删除"</formula>
    </cfRule>
  </conditionalFormatting>
  <conditionalFormatting sqref="D65">
    <cfRule type="cellIs" dxfId="50" priority="267" stopIfTrue="1" operator="equal">
      <formula>"√"</formula>
    </cfRule>
  </conditionalFormatting>
  <conditionalFormatting sqref="K65">
    <cfRule type="expression" priority="266" stopIfTrue="1">
      <formula>$Q65="删除"</formula>
    </cfRule>
  </conditionalFormatting>
  <conditionalFormatting sqref="L65">
    <cfRule type="expression" priority="265" stopIfTrue="1">
      <formula>$Q65="删除"</formula>
    </cfRule>
  </conditionalFormatting>
  <conditionalFormatting sqref="N65">
    <cfRule type="expression" priority="264" stopIfTrue="1">
      <formula>$Q65="删除"</formula>
    </cfRule>
  </conditionalFormatting>
  <conditionalFormatting sqref="N65">
    <cfRule type="expression" priority="263" stopIfTrue="1">
      <formula>$Q65="删除"</formula>
    </cfRule>
  </conditionalFormatting>
  <conditionalFormatting sqref="G66 I66">
    <cfRule type="expression" priority="262" stopIfTrue="1">
      <formula>$Q66="删除"</formula>
    </cfRule>
  </conditionalFormatting>
  <conditionalFormatting sqref="L66:M66 H66 J66">
    <cfRule type="expression" priority="261" stopIfTrue="1">
      <formula>$Q66="删除"</formula>
    </cfRule>
  </conditionalFormatting>
  <conditionalFormatting sqref="H66 J66 M66">
    <cfRule type="expression" priority="260" stopIfTrue="1">
      <formula>$Q66="删除"</formula>
    </cfRule>
  </conditionalFormatting>
  <conditionalFormatting sqref="D66">
    <cfRule type="cellIs" dxfId="49" priority="259" stopIfTrue="1" operator="equal">
      <formula>"√"</formula>
    </cfRule>
  </conditionalFormatting>
  <conditionalFormatting sqref="L66">
    <cfRule type="expression" priority="258" stopIfTrue="1">
      <formula>$Q66="删除"</formula>
    </cfRule>
  </conditionalFormatting>
  <conditionalFormatting sqref="N66">
    <cfRule type="expression" priority="257" stopIfTrue="1">
      <formula>$Q66="删除"</formula>
    </cfRule>
  </conditionalFormatting>
  <conditionalFormatting sqref="N66">
    <cfRule type="expression" priority="256" stopIfTrue="1">
      <formula>$Q66="删除"</formula>
    </cfRule>
  </conditionalFormatting>
  <conditionalFormatting sqref="G67 I67">
    <cfRule type="expression" priority="255" stopIfTrue="1">
      <formula>$Q67="删除"</formula>
    </cfRule>
  </conditionalFormatting>
  <conditionalFormatting sqref="L67:M67 H67 J67">
    <cfRule type="expression" priority="254" stopIfTrue="1">
      <formula>$Q67="删除"</formula>
    </cfRule>
  </conditionalFormatting>
  <conditionalFormatting sqref="H67 J67 M67">
    <cfRule type="expression" priority="253" stopIfTrue="1">
      <formula>$Q67="删除"</formula>
    </cfRule>
  </conditionalFormatting>
  <conditionalFormatting sqref="D67">
    <cfRule type="cellIs" dxfId="48" priority="252" stopIfTrue="1" operator="equal">
      <formula>"√"</formula>
    </cfRule>
  </conditionalFormatting>
  <conditionalFormatting sqref="K66:K68">
    <cfRule type="expression" priority="251" stopIfTrue="1">
      <formula>$Q66="删除"</formula>
    </cfRule>
  </conditionalFormatting>
  <conditionalFormatting sqref="L67">
    <cfRule type="expression" priority="250" stopIfTrue="1">
      <formula>$Q67="删除"</formula>
    </cfRule>
  </conditionalFormatting>
  <conditionalFormatting sqref="N67">
    <cfRule type="expression" priority="249" stopIfTrue="1">
      <formula>$Q67="删除"</formula>
    </cfRule>
  </conditionalFormatting>
  <conditionalFormatting sqref="N67">
    <cfRule type="expression" priority="248" stopIfTrue="1">
      <formula>$Q67="删除"</formula>
    </cfRule>
  </conditionalFormatting>
  <conditionalFormatting sqref="G55 I55">
    <cfRule type="expression" priority="247" stopIfTrue="1">
      <formula>$Q55="删除"</formula>
    </cfRule>
  </conditionalFormatting>
  <conditionalFormatting sqref="H55 J55">
    <cfRule type="expression" priority="246" stopIfTrue="1">
      <formula>$Q55="删除"</formula>
    </cfRule>
  </conditionalFormatting>
  <conditionalFormatting sqref="D55">
    <cfRule type="cellIs" dxfId="47" priority="245" stopIfTrue="1" operator="equal">
      <formula>"√"</formula>
    </cfRule>
  </conditionalFormatting>
  <conditionalFormatting sqref="G68">
    <cfRule type="expression" priority="244" stopIfTrue="1">
      <formula>$Q68="删除"</formula>
    </cfRule>
  </conditionalFormatting>
  <conditionalFormatting sqref="D68">
    <cfRule type="cellIs" dxfId="46" priority="243" stopIfTrue="1" operator="equal">
      <formula>"√"</formula>
    </cfRule>
  </conditionalFormatting>
  <conditionalFormatting sqref="M69:M71">
    <cfRule type="expression" priority="242" stopIfTrue="1">
      <formula>$Q69="删除"</formula>
    </cfRule>
  </conditionalFormatting>
  <conditionalFormatting sqref="J69:J71">
    <cfRule type="expression" priority="240" stopIfTrue="1">
      <formula>$Q69="删除"</formula>
    </cfRule>
  </conditionalFormatting>
  <conditionalFormatting sqref="H69:I71 L69:L71">
    <cfRule type="expression" priority="241" stopIfTrue="1">
      <formula>$Q69="删除"</formula>
    </cfRule>
  </conditionalFormatting>
  <conditionalFormatting sqref="G69:G71">
    <cfRule type="expression" priority="239" stopIfTrue="1">
      <formula>$Q69="删除"</formula>
    </cfRule>
  </conditionalFormatting>
  <conditionalFormatting sqref="D69:D71">
    <cfRule type="cellIs" dxfId="45" priority="238" stopIfTrue="1" operator="equal">
      <formula>"√"</formula>
    </cfRule>
  </conditionalFormatting>
  <conditionalFormatting sqref="N69">
    <cfRule type="expression" priority="237" stopIfTrue="1">
      <formula>$Q69="删除"</formula>
    </cfRule>
  </conditionalFormatting>
  <conditionalFormatting sqref="H73 J73 M73 M80 J80 H80">
    <cfRule type="expression" priority="225" stopIfTrue="1">
      <formula>$Q73="删除"</formula>
    </cfRule>
  </conditionalFormatting>
  <conditionalFormatting sqref="N70">
    <cfRule type="expression" priority="236" stopIfTrue="1">
      <formula>$Q70="删除"</formula>
    </cfRule>
  </conditionalFormatting>
  <conditionalFormatting sqref="N71">
    <cfRule type="expression" priority="235" stopIfTrue="1">
      <formula>$Q71="删除"</formula>
    </cfRule>
  </conditionalFormatting>
  <conditionalFormatting sqref="G72 I72">
    <cfRule type="expression" priority="234" stopIfTrue="1">
      <formula>$Q72="删除"</formula>
    </cfRule>
  </conditionalFormatting>
  <conditionalFormatting sqref="L72:M72 H72 J72">
    <cfRule type="expression" priority="233" stopIfTrue="1">
      <formula>$Q72="删除"</formula>
    </cfRule>
  </conditionalFormatting>
  <conditionalFormatting sqref="H72 J72 M72">
    <cfRule type="expression" priority="232" stopIfTrue="1">
      <formula>$Q72="删除"</formula>
    </cfRule>
  </conditionalFormatting>
  <conditionalFormatting sqref="D72">
    <cfRule type="cellIs" dxfId="44" priority="231" stopIfTrue="1" operator="equal">
      <formula>"√"</formula>
    </cfRule>
  </conditionalFormatting>
  <conditionalFormatting sqref="L72">
    <cfRule type="expression" priority="230" stopIfTrue="1">
      <formula>$Q72="删除"</formula>
    </cfRule>
  </conditionalFormatting>
  <conditionalFormatting sqref="N72">
    <cfRule type="expression" priority="229" stopIfTrue="1">
      <formula>$Q72="删除"</formula>
    </cfRule>
  </conditionalFormatting>
  <conditionalFormatting sqref="N72">
    <cfRule type="expression" priority="228" stopIfTrue="1">
      <formula>$Q72="删除"</formula>
    </cfRule>
  </conditionalFormatting>
  <conditionalFormatting sqref="G73 I73 I80 G80">
    <cfRule type="expression" priority="227" stopIfTrue="1">
      <formula>$Q73="删除"</formula>
    </cfRule>
  </conditionalFormatting>
  <conditionalFormatting sqref="L73:M73 H73 J73 J80 H80 L80:M80">
    <cfRule type="expression" priority="226" stopIfTrue="1">
      <formula>$Q73="删除"</formula>
    </cfRule>
  </conditionalFormatting>
  <conditionalFormatting sqref="D73 D80">
    <cfRule type="cellIs" dxfId="43" priority="224" stopIfTrue="1" operator="equal">
      <formula>"√"</formula>
    </cfRule>
  </conditionalFormatting>
  <conditionalFormatting sqref="K73">
    <cfRule type="expression" priority="223" stopIfTrue="1">
      <formula>$Q73="删除"</formula>
    </cfRule>
  </conditionalFormatting>
  <conditionalFormatting sqref="L73 L80">
    <cfRule type="expression" priority="222" stopIfTrue="1">
      <formula>$Q73="删除"</formula>
    </cfRule>
  </conditionalFormatting>
  <conditionalFormatting sqref="N73 N80">
    <cfRule type="expression" priority="221" stopIfTrue="1">
      <formula>$Q73="删除"</formula>
    </cfRule>
  </conditionalFormatting>
  <conditionalFormatting sqref="N73 N80">
    <cfRule type="expression" priority="220" stopIfTrue="1">
      <formula>$Q73="删除"</formula>
    </cfRule>
  </conditionalFormatting>
  <conditionalFormatting sqref="K59:K63">
    <cfRule type="expression" priority="219" stopIfTrue="1">
      <formula>$Q59="删除"</formula>
    </cfRule>
  </conditionalFormatting>
  <conditionalFormatting sqref="K54:K57">
    <cfRule type="expression" priority="218" stopIfTrue="1">
      <formula>$Q54="删除"</formula>
    </cfRule>
  </conditionalFormatting>
  <conditionalFormatting sqref="G81 I81">
    <cfRule type="expression" priority="217" stopIfTrue="1">
      <formula>$Q81="删除"</formula>
    </cfRule>
  </conditionalFormatting>
  <conditionalFormatting sqref="L81:M81 H81 J81">
    <cfRule type="expression" priority="216" stopIfTrue="1">
      <formula>$Q81="删除"</formula>
    </cfRule>
  </conditionalFormatting>
  <conditionalFormatting sqref="H81 J81 M81">
    <cfRule type="expression" priority="215" stopIfTrue="1">
      <formula>$Q81="删除"</formula>
    </cfRule>
  </conditionalFormatting>
  <conditionalFormatting sqref="D81">
    <cfRule type="cellIs" dxfId="42" priority="214" stopIfTrue="1" operator="equal">
      <formula>"√"</formula>
    </cfRule>
  </conditionalFormatting>
  <conditionalFormatting sqref="N81">
    <cfRule type="expression" priority="211" stopIfTrue="1">
      <formula>$Q81="删除"</formula>
    </cfRule>
  </conditionalFormatting>
  <conditionalFormatting sqref="L81">
    <cfRule type="expression" priority="213" stopIfTrue="1">
      <formula>$Q81="删除"</formula>
    </cfRule>
  </conditionalFormatting>
  <conditionalFormatting sqref="N81">
    <cfRule type="expression" priority="212" stopIfTrue="1">
      <formula>$Q81="删除"</formula>
    </cfRule>
  </conditionalFormatting>
  <conditionalFormatting sqref="L83:M83 H83 J83">
    <cfRule type="expression" priority="199" stopIfTrue="1">
      <formula>$Q83="删除"</formula>
    </cfRule>
  </conditionalFormatting>
  <conditionalFormatting sqref="W82:W83 S82:S83 AA82:AA83">
    <cfRule type="cellIs" dxfId="41" priority="208" stopIfTrue="1" operator="equal">
      <formula>"NG"</formula>
    </cfRule>
    <cfRule type="cellIs" dxfId="40" priority="209" stopIfTrue="1" operator="equal">
      <formula>"SKIP"</formula>
    </cfRule>
  </conditionalFormatting>
  <conditionalFormatting sqref="O82:P83">
    <cfRule type="expression" priority="210" stopIfTrue="1">
      <formula>$Q82="删除"</formula>
    </cfRule>
  </conditionalFormatting>
  <conditionalFormatting sqref="N82">
    <cfRule type="expression" priority="201" stopIfTrue="1">
      <formula>$Q82="删除"</formula>
    </cfRule>
  </conditionalFormatting>
  <conditionalFormatting sqref="G82 I82">
    <cfRule type="expression" priority="207" stopIfTrue="1">
      <formula>$Q82="删除"</formula>
    </cfRule>
  </conditionalFormatting>
  <conditionalFormatting sqref="L82:M82 H82 J82">
    <cfRule type="expression" priority="206" stopIfTrue="1">
      <formula>$Q82="删除"</formula>
    </cfRule>
  </conditionalFormatting>
  <conditionalFormatting sqref="H82 J82 M82">
    <cfRule type="expression" priority="205" stopIfTrue="1">
      <formula>$Q82="删除"</formula>
    </cfRule>
  </conditionalFormatting>
  <conditionalFormatting sqref="D82">
    <cfRule type="cellIs" dxfId="39" priority="204" stopIfTrue="1" operator="equal">
      <formula>"√"</formula>
    </cfRule>
  </conditionalFormatting>
  <conditionalFormatting sqref="L82">
    <cfRule type="expression" priority="203" stopIfTrue="1">
      <formula>$Q82="删除"</formula>
    </cfRule>
  </conditionalFormatting>
  <conditionalFormatting sqref="N82">
    <cfRule type="expression" priority="202" stopIfTrue="1">
      <formula>$Q82="删除"</formula>
    </cfRule>
  </conditionalFormatting>
  <conditionalFormatting sqref="L83">
    <cfRule type="expression" priority="196" stopIfTrue="1">
      <formula>$Q83="删除"</formula>
    </cfRule>
  </conditionalFormatting>
  <conditionalFormatting sqref="G83 I83">
    <cfRule type="expression" priority="200" stopIfTrue="1">
      <formula>$Q83="删除"</formula>
    </cfRule>
  </conditionalFormatting>
  <conditionalFormatting sqref="H83 J83 M83">
    <cfRule type="expression" priority="198" stopIfTrue="1">
      <formula>$Q83="删除"</formula>
    </cfRule>
  </conditionalFormatting>
  <conditionalFormatting sqref="D83">
    <cfRule type="cellIs" dxfId="38" priority="197" stopIfTrue="1" operator="equal">
      <formula>"√"</formula>
    </cfRule>
  </conditionalFormatting>
  <conditionalFormatting sqref="J75:J76">
    <cfRule type="expression" priority="185" stopIfTrue="1">
      <formula>$Q75="删除"</formula>
    </cfRule>
  </conditionalFormatting>
  <conditionalFormatting sqref="G85:G86">
    <cfRule type="expression" priority="162" stopIfTrue="1">
      <formula>$Q85="删除"</formula>
    </cfRule>
  </conditionalFormatting>
  <conditionalFormatting sqref="N83">
    <cfRule type="expression" priority="195" stopIfTrue="1">
      <formula>$Q83="删除"</formula>
    </cfRule>
  </conditionalFormatting>
  <conditionalFormatting sqref="N83">
    <cfRule type="expression" priority="194" stopIfTrue="1">
      <formula>$Q83="删除"</formula>
    </cfRule>
  </conditionalFormatting>
  <conditionalFormatting sqref="M74">
    <cfRule type="expression" priority="193" stopIfTrue="1">
      <formula>$Q74="删除"</formula>
    </cfRule>
  </conditionalFormatting>
  <conditionalFormatting sqref="J74">
    <cfRule type="expression" priority="191" stopIfTrue="1">
      <formula>$Q74="删除"</formula>
    </cfRule>
  </conditionalFormatting>
  <conditionalFormatting sqref="H74:I74 L74">
    <cfRule type="expression" priority="192" stopIfTrue="1">
      <formula>$Q74="删除"</formula>
    </cfRule>
  </conditionalFormatting>
  <conditionalFormatting sqref="G74">
    <cfRule type="expression" priority="190" stopIfTrue="1">
      <formula>$Q74="删除"</formula>
    </cfRule>
  </conditionalFormatting>
  <conditionalFormatting sqref="D74">
    <cfRule type="cellIs" dxfId="37" priority="189" stopIfTrue="1" operator="equal">
      <formula>"√"</formula>
    </cfRule>
  </conditionalFormatting>
  <conditionalFormatting sqref="M75:M76">
    <cfRule type="expression" priority="187" stopIfTrue="1">
      <formula>$Q75="删除"</formula>
    </cfRule>
  </conditionalFormatting>
  <conditionalFormatting sqref="N74:N76">
    <cfRule type="expression" priority="188" stopIfTrue="1">
      <formula>$Q74="删除"</formula>
    </cfRule>
  </conditionalFormatting>
  <conditionalFormatting sqref="M78:M79">
    <cfRule type="expression" priority="176" stopIfTrue="1">
      <formula>$Q78="删除"</formula>
    </cfRule>
  </conditionalFormatting>
  <conditionalFormatting sqref="H75:I76 L75:L76">
    <cfRule type="expression" priority="186" stopIfTrue="1">
      <formula>$Q75="删除"</formula>
    </cfRule>
  </conditionalFormatting>
  <conditionalFormatting sqref="G75:G76">
    <cfRule type="expression" priority="184" stopIfTrue="1">
      <formula>$Q75="删除"</formula>
    </cfRule>
  </conditionalFormatting>
  <conditionalFormatting sqref="D75:D76">
    <cfRule type="cellIs" dxfId="36" priority="183" stopIfTrue="1" operator="equal">
      <formula>"√"</formula>
    </cfRule>
  </conditionalFormatting>
  <conditionalFormatting sqref="H77:I77 L77">
    <cfRule type="expression" priority="181" stopIfTrue="1">
      <formula>$Q77="删除"</formula>
    </cfRule>
  </conditionalFormatting>
  <conditionalFormatting sqref="M77">
    <cfRule type="expression" priority="182" stopIfTrue="1">
      <formula>$Q77="删除"</formula>
    </cfRule>
  </conditionalFormatting>
  <conditionalFormatting sqref="J77">
    <cfRule type="expression" priority="180" stopIfTrue="1">
      <formula>$Q77="删除"</formula>
    </cfRule>
  </conditionalFormatting>
  <conditionalFormatting sqref="H84:I84 L84">
    <cfRule type="expression" priority="170" stopIfTrue="1">
      <formula>$Q84="删除"</formula>
    </cfRule>
  </conditionalFormatting>
  <conditionalFormatting sqref="G77">
    <cfRule type="expression" priority="179" stopIfTrue="1">
      <formula>$Q77="删除"</formula>
    </cfRule>
  </conditionalFormatting>
  <conditionalFormatting sqref="D77">
    <cfRule type="cellIs" dxfId="35" priority="178" stopIfTrue="1" operator="equal">
      <formula>"√"</formula>
    </cfRule>
  </conditionalFormatting>
  <conditionalFormatting sqref="N77:N79">
    <cfRule type="expression" priority="177" stopIfTrue="1">
      <formula>$Q77="删除"</formula>
    </cfRule>
  </conditionalFormatting>
  <conditionalFormatting sqref="M85:M86">
    <cfRule type="expression" priority="165" stopIfTrue="1">
      <formula>$Q85="删除"</formula>
    </cfRule>
  </conditionalFormatting>
  <conditionalFormatting sqref="J78:J79">
    <cfRule type="expression" priority="174" stopIfTrue="1">
      <formula>$Q78="删除"</formula>
    </cfRule>
  </conditionalFormatting>
  <conditionalFormatting sqref="H78:I79 L78:L79">
    <cfRule type="expression" priority="175" stopIfTrue="1">
      <formula>$Q78="删除"</formula>
    </cfRule>
  </conditionalFormatting>
  <conditionalFormatting sqref="G78:G79">
    <cfRule type="expression" priority="173" stopIfTrue="1">
      <formula>$Q78="删除"</formula>
    </cfRule>
  </conditionalFormatting>
  <conditionalFormatting sqref="D78:D79">
    <cfRule type="cellIs" dxfId="34" priority="172" stopIfTrue="1" operator="equal">
      <formula>"√"</formula>
    </cfRule>
  </conditionalFormatting>
  <conditionalFormatting sqref="M84">
    <cfRule type="expression" priority="171" stopIfTrue="1">
      <formula>$Q84="删除"</formula>
    </cfRule>
  </conditionalFormatting>
  <conditionalFormatting sqref="J84">
    <cfRule type="expression" priority="169" stopIfTrue="1">
      <formula>$Q84="删除"</formula>
    </cfRule>
  </conditionalFormatting>
  <conditionalFormatting sqref="G84">
    <cfRule type="expression" priority="168" stopIfTrue="1">
      <formula>$Q84="删除"</formula>
    </cfRule>
  </conditionalFormatting>
  <conditionalFormatting sqref="D84">
    <cfRule type="cellIs" dxfId="33" priority="167" stopIfTrue="1" operator="equal">
      <formula>"√"</formula>
    </cfRule>
  </conditionalFormatting>
  <conditionalFormatting sqref="N84:N86">
    <cfRule type="expression" priority="166" stopIfTrue="1">
      <formula>$Q84="删除"</formula>
    </cfRule>
  </conditionalFormatting>
  <conditionalFormatting sqref="J85:J86">
    <cfRule type="expression" priority="163" stopIfTrue="1">
      <formula>$Q85="删除"</formula>
    </cfRule>
  </conditionalFormatting>
  <conditionalFormatting sqref="H85:I86 L85:L86">
    <cfRule type="expression" priority="164" stopIfTrue="1">
      <formula>$Q85="删除"</formula>
    </cfRule>
  </conditionalFormatting>
  <conditionalFormatting sqref="D85:D86">
    <cfRule type="cellIs" dxfId="32" priority="161" stopIfTrue="1" operator="equal">
      <formula>"√"</formula>
    </cfRule>
  </conditionalFormatting>
  <conditionalFormatting sqref="M87">
    <cfRule type="expression" priority="160" stopIfTrue="1">
      <formula>$Q87="删除"</formula>
    </cfRule>
  </conditionalFormatting>
  <conditionalFormatting sqref="J87">
    <cfRule type="expression" priority="158" stopIfTrue="1">
      <formula>$Q87="删除"</formula>
    </cfRule>
  </conditionalFormatting>
  <conditionalFormatting sqref="H87:I87 L87">
    <cfRule type="expression" priority="159" stopIfTrue="1">
      <formula>$Q87="删除"</formula>
    </cfRule>
  </conditionalFormatting>
  <conditionalFormatting sqref="G87">
    <cfRule type="expression" priority="157" stopIfTrue="1">
      <formula>$Q87="删除"</formula>
    </cfRule>
  </conditionalFormatting>
  <conditionalFormatting sqref="D87">
    <cfRule type="cellIs" dxfId="31" priority="156" stopIfTrue="1" operator="equal">
      <formula>"√"</formula>
    </cfRule>
  </conditionalFormatting>
  <conditionalFormatting sqref="N87:N89">
    <cfRule type="expression" priority="155" stopIfTrue="1">
      <formula>$Q87="删除"</formula>
    </cfRule>
  </conditionalFormatting>
  <conditionalFormatting sqref="M88:M89">
    <cfRule type="expression" priority="154" stopIfTrue="1">
      <formula>$Q88="删除"</formula>
    </cfRule>
  </conditionalFormatting>
  <conditionalFormatting sqref="J88:J89">
    <cfRule type="expression" priority="152" stopIfTrue="1">
      <formula>$Q88="删除"</formula>
    </cfRule>
  </conditionalFormatting>
  <conditionalFormatting sqref="H88:I89 L88:L89">
    <cfRule type="expression" priority="153" stopIfTrue="1">
      <formula>$Q88="删除"</formula>
    </cfRule>
  </conditionalFormatting>
  <conditionalFormatting sqref="G88:G91">
    <cfRule type="expression" priority="151" stopIfTrue="1">
      <formula>$Q88="删除"</formula>
    </cfRule>
  </conditionalFormatting>
  <conditionalFormatting sqref="D88:D89">
    <cfRule type="cellIs" dxfId="30" priority="150" stopIfTrue="1" operator="equal">
      <formula>"√"</formula>
    </cfRule>
  </conditionalFormatting>
  <conditionalFormatting sqref="D92">
    <cfRule type="cellIs" dxfId="29" priority="148" stopIfTrue="1" operator="equal">
      <formula>"√"</formula>
    </cfRule>
  </conditionalFormatting>
  <conditionalFormatting sqref="M93 G92:J92 L92:N92">
    <cfRule type="expression" priority="149" stopIfTrue="1">
      <formula>$Q92="删除"</formula>
    </cfRule>
  </conditionalFormatting>
  <conditionalFormatting sqref="D93">
    <cfRule type="cellIs" dxfId="28" priority="146" stopIfTrue="1" operator="equal">
      <formula>"√"</formula>
    </cfRule>
  </conditionalFormatting>
  <conditionalFormatting sqref="H93:J93 L93">
    <cfRule type="expression" priority="147" stopIfTrue="1">
      <formula>$Q93="删除"</formula>
    </cfRule>
  </conditionalFormatting>
  <conditionalFormatting sqref="M94">
    <cfRule type="expression" priority="145" stopIfTrue="1">
      <formula>$Q94="删除"</formula>
    </cfRule>
  </conditionalFormatting>
  <conditionalFormatting sqref="D94">
    <cfRule type="cellIs" dxfId="27" priority="143" stopIfTrue="1" operator="equal">
      <formula>"√"</formula>
    </cfRule>
  </conditionalFormatting>
  <conditionalFormatting sqref="H94:J94 L94">
    <cfRule type="expression" priority="144" stopIfTrue="1">
      <formula>$Q94="删除"</formula>
    </cfRule>
  </conditionalFormatting>
  <conditionalFormatting sqref="D97">
    <cfRule type="cellIs" dxfId="26" priority="141" stopIfTrue="1" operator="equal">
      <formula>"√"</formula>
    </cfRule>
  </conditionalFormatting>
  <conditionalFormatting sqref="H97:J97 L97">
    <cfRule type="expression" priority="142" stopIfTrue="1">
      <formula>$Q97="删除"</formula>
    </cfRule>
  </conditionalFormatting>
  <conditionalFormatting sqref="H98:I98 L98">
    <cfRule type="expression" priority="140" stopIfTrue="1">
      <formula>$Q98="删除"</formula>
    </cfRule>
  </conditionalFormatting>
  <conditionalFormatting sqref="D98">
    <cfRule type="cellIs" dxfId="25" priority="139" stopIfTrue="1" operator="equal">
      <formula>"√"</formula>
    </cfRule>
  </conditionalFormatting>
  <conditionalFormatting sqref="J98">
    <cfRule type="expression" priority="138" stopIfTrue="1">
      <formula>$Q98="删除"</formula>
    </cfRule>
  </conditionalFormatting>
  <conditionalFormatting sqref="N99">
    <cfRule type="expression" priority="137" stopIfTrue="1">
      <formula>$Q99="删除"</formula>
    </cfRule>
  </conditionalFormatting>
  <conditionalFormatting sqref="D99">
    <cfRule type="cellIs" dxfId="24" priority="135" stopIfTrue="1" operator="equal">
      <formula>"√"</formula>
    </cfRule>
  </conditionalFormatting>
  <conditionalFormatting sqref="H99:I99">
    <cfRule type="expression" priority="136" stopIfTrue="1">
      <formula>$Q99="删除"</formula>
    </cfRule>
  </conditionalFormatting>
  <conditionalFormatting sqref="J99">
    <cfRule type="expression" priority="134" stopIfTrue="1">
      <formula>$Q99="删除"</formula>
    </cfRule>
  </conditionalFormatting>
  <conditionalFormatting sqref="L99">
    <cfRule type="expression" priority="133" stopIfTrue="1">
      <formula>$Q99="删除"</formula>
    </cfRule>
  </conditionalFormatting>
  <conditionalFormatting sqref="K80:K89">
    <cfRule type="expression" priority="123" stopIfTrue="1">
      <formula>$Q80="删除"</formula>
    </cfRule>
  </conditionalFormatting>
  <conditionalFormatting sqref="H95:J95 L95">
    <cfRule type="expression" priority="131" stopIfTrue="1">
      <formula>$Q95="删除"</formula>
    </cfRule>
  </conditionalFormatting>
  <conditionalFormatting sqref="M95:N95">
    <cfRule type="expression" priority="132" stopIfTrue="1">
      <formula>$Q95="删除"</formula>
    </cfRule>
  </conditionalFormatting>
  <conditionalFormatting sqref="D95">
    <cfRule type="cellIs" dxfId="23" priority="130" stopIfTrue="1" operator="equal">
      <formula>"√"</formula>
    </cfRule>
  </conditionalFormatting>
  <conditionalFormatting sqref="M90:N90">
    <cfRule type="expression" priority="120" stopIfTrue="1">
      <formula>$Q90="删除"</formula>
    </cfRule>
  </conditionalFormatting>
  <conditionalFormatting sqref="M96">
    <cfRule type="expression" priority="129" stopIfTrue="1">
      <formula>$Q96="删除"</formula>
    </cfRule>
  </conditionalFormatting>
  <conditionalFormatting sqref="L96">
    <cfRule type="expression" priority="128" stopIfTrue="1">
      <formula>$Q96="删除"</formula>
    </cfRule>
  </conditionalFormatting>
  <conditionalFormatting sqref="H96:I96">
    <cfRule type="expression" priority="127" stopIfTrue="1">
      <formula>$Q96="删除"</formula>
    </cfRule>
  </conditionalFormatting>
  <conditionalFormatting sqref="D96">
    <cfRule type="cellIs" dxfId="22" priority="126" stopIfTrue="1" operator="equal">
      <formula>"√"</formula>
    </cfRule>
  </conditionalFormatting>
  <conditionalFormatting sqref="J96">
    <cfRule type="expression" priority="125" stopIfTrue="1">
      <formula>$Q96="删除"</formula>
    </cfRule>
  </conditionalFormatting>
  <conditionalFormatting sqref="N96">
    <cfRule type="expression" priority="124" stopIfTrue="1">
      <formula>$Q96="删除"</formula>
    </cfRule>
  </conditionalFormatting>
  <conditionalFormatting sqref="J91">
    <cfRule type="expression" priority="112" stopIfTrue="1">
      <formula>$Q91="删除"</formula>
    </cfRule>
  </conditionalFormatting>
  <conditionalFormatting sqref="K69:K72">
    <cfRule type="expression" priority="122" stopIfTrue="1">
      <formula>$Q69="删除"</formula>
    </cfRule>
  </conditionalFormatting>
  <conditionalFormatting sqref="K74:K79">
    <cfRule type="expression" priority="121" stopIfTrue="1">
      <formula>$Q74="删除"</formula>
    </cfRule>
  </conditionalFormatting>
  <conditionalFormatting sqref="K90">
    <cfRule type="expression" priority="109" stopIfTrue="1">
      <formula>$Q90="删除"</formula>
    </cfRule>
  </conditionalFormatting>
  <conditionalFormatting sqref="L90">
    <cfRule type="expression" priority="116" stopIfTrue="1">
      <formula>$Q90="删除"</formula>
    </cfRule>
  </conditionalFormatting>
  <conditionalFormatting sqref="J90">
    <cfRule type="expression" priority="117" stopIfTrue="1">
      <formula>$Q90="删除"</formula>
    </cfRule>
  </conditionalFormatting>
  <conditionalFormatting sqref="H90:I90">
    <cfRule type="expression" priority="119" stopIfTrue="1">
      <formula>$Q90="删除"</formula>
    </cfRule>
  </conditionalFormatting>
  <conditionalFormatting sqref="D90">
    <cfRule type="cellIs" dxfId="21" priority="118" stopIfTrue="1" operator="equal">
      <formula>"√"</formula>
    </cfRule>
  </conditionalFormatting>
  <conditionalFormatting sqref="N91">
    <cfRule type="expression" priority="110" stopIfTrue="1">
      <formula>$Q91="删除"</formula>
    </cfRule>
  </conditionalFormatting>
  <conditionalFormatting sqref="M91">
    <cfRule type="expression" priority="115" stopIfTrue="1">
      <formula>$Q91="删除"</formula>
    </cfRule>
  </conditionalFormatting>
  <conditionalFormatting sqref="D91">
    <cfRule type="cellIs" dxfId="20" priority="113" stopIfTrue="1" operator="equal">
      <formula>"√"</formula>
    </cfRule>
  </conditionalFormatting>
  <conditionalFormatting sqref="H91:I91 L91">
    <cfRule type="expression" priority="114" stopIfTrue="1">
      <formula>$Q91="删除"</formula>
    </cfRule>
  </conditionalFormatting>
  <conditionalFormatting sqref="K91">
    <cfRule type="expression" priority="111" stopIfTrue="1">
      <formula>$Q91="删除"</formula>
    </cfRule>
  </conditionalFormatting>
  <conditionalFormatting sqref="N97:N98">
    <cfRule type="expression" priority="108" stopIfTrue="1">
      <formula>$Q97="删除"</formula>
    </cfRule>
  </conditionalFormatting>
  <conditionalFormatting sqref="I104">
    <cfRule type="expression" priority="107" stopIfTrue="1">
      <formula>$Q104="删除"</formula>
    </cfRule>
  </conditionalFormatting>
  <conditionalFormatting sqref="N103">
    <cfRule type="expression" priority="79" stopIfTrue="1">
      <formula>$Q103="删除"</formula>
    </cfRule>
  </conditionalFormatting>
  <conditionalFormatting sqref="M100">
    <cfRule type="expression" priority="106" stopIfTrue="1">
      <formula>$Q100="删除"</formula>
    </cfRule>
  </conditionalFormatting>
  <conditionalFormatting sqref="D100">
    <cfRule type="cellIs" dxfId="19" priority="104" stopIfTrue="1" operator="equal">
      <formula>"√"</formula>
    </cfRule>
  </conditionalFormatting>
  <conditionalFormatting sqref="H100:I100">
    <cfRule type="expression" priority="105" stopIfTrue="1">
      <formula>$Q100="删除"</formula>
    </cfRule>
  </conditionalFormatting>
  <conditionalFormatting sqref="J100">
    <cfRule type="expression" priority="103" stopIfTrue="1">
      <formula>$Q100="删除"</formula>
    </cfRule>
  </conditionalFormatting>
  <conditionalFormatting sqref="L100">
    <cfRule type="expression" priority="102" stopIfTrue="1">
      <formula>$Q100="删除"</formula>
    </cfRule>
  </conditionalFormatting>
  <conditionalFormatting sqref="K100">
    <cfRule type="expression" priority="101" stopIfTrue="1">
      <formula>$Q100="删除"</formula>
    </cfRule>
  </conditionalFormatting>
  <conditionalFormatting sqref="N100">
    <cfRule type="expression" priority="100" stopIfTrue="1">
      <formula>$Q100="删除"</formula>
    </cfRule>
  </conditionalFormatting>
  <conditionalFormatting sqref="M101">
    <cfRule type="expression" priority="99" stopIfTrue="1">
      <formula>$Q101="删除"</formula>
    </cfRule>
  </conditionalFormatting>
  <conditionalFormatting sqref="D101">
    <cfRule type="cellIs" dxfId="18" priority="97" stopIfTrue="1" operator="equal">
      <formula>"√"</formula>
    </cfRule>
  </conditionalFormatting>
  <conditionalFormatting sqref="H101:I101">
    <cfRule type="expression" priority="98" stopIfTrue="1">
      <formula>$Q101="删除"</formula>
    </cfRule>
  </conditionalFormatting>
  <conditionalFormatting sqref="J101">
    <cfRule type="expression" priority="96" stopIfTrue="1">
      <formula>$Q101="删除"</formula>
    </cfRule>
  </conditionalFormatting>
  <conditionalFormatting sqref="L101">
    <cfRule type="expression" priority="95" stopIfTrue="1">
      <formula>$Q101="删除"</formula>
    </cfRule>
  </conditionalFormatting>
  <conditionalFormatting sqref="K101">
    <cfRule type="expression" priority="94" stopIfTrue="1">
      <formula>$Q101="删除"</formula>
    </cfRule>
  </conditionalFormatting>
  <conditionalFormatting sqref="N101">
    <cfRule type="expression" priority="93" stopIfTrue="1">
      <formula>$Q101="删除"</formula>
    </cfRule>
  </conditionalFormatting>
  <conditionalFormatting sqref="M102">
    <cfRule type="expression" priority="92" stopIfTrue="1">
      <formula>$Q102="删除"</formula>
    </cfRule>
  </conditionalFormatting>
  <conditionalFormatting sqref="D102">
    <cfRule type="cellIs" dxfId="17" priority="90" stopIfTrue="1" operator="equal">
      <formula>"√"</formula>
    </cfRule>
  </conditionalFormatting>
  <conditionalFormatting sqref="H102:I102">
    <cfRule type="expression" priority="91" stopIfTrue="1">
      <formula>$Q102="删除"</formula>
    </cfRule>
  </conditionalFormatting>
  <conditionalFormatting sqref="J102">
    <cfRule type="expression" priority="89" stopIfTrue="1">
      <formula>$Q102="删除"</formula>
    </cfRule>
  </conditionalFormatting>
  <conditionalFormatting sqref="L102">
    <cfRule type="expression" priority="88" stopIfTrue="1">
      <formula>$Q102="删除"</formula>
    </cfRule>
  </conditionalFormatting>
  <conditionalFormatting sqref="K102">
    <cfRule type="expression" priority="87" stopIfTrue="1">
      <formula>$Q102="删除"</formula>
    </cfRule>
  </conditionalFormatting>
  <conditionalFormatting sqref="N102">
    <cfRule type="expression" priority="86" stopIfTrue="1">
      <formula>$Q102="删除"</formula>
    </cfRule>
  </conditionalFormatting>
  <conditionalFormatting sqref="M103">
    <cfRule type="expression" priority="85" stopIfTrue="1">
      <formula>$Q103="删除"</formula>
    </cfRule>
  </conditionalFormatting>
  <conditionalFormatting sqref="D103">
    <cfRule type="cellIs" dxfId="16" priority="83" stopIfTrue="1" operator="equal">
      <formula>"√"</formula>
    </cfRule>
  </conditionalFormatting>
  <conditionalFormatting sqref="H103:I103">
    <cfRule type="expression" priority="84" stopIfTrue="1">
      <formula>$Q103="删除"</formula>
    </cfRule>
  </conditionalFormatting>
  <conditionalFormatting sqref="J103">
    <cfRule type="expression" priority="82" stopIfTrue="1">
      <formula>$Q103="删除"</formula>
    </cfRule>
  </conditionalFormatting>
  <conditionalFormatting sqref="L103">
    <cfRule type="expression" priority="81" stopIfTrue="1">
      <formula>$Q103="删除"</formula>
    </cfRule>
  </conditionalFormatting>
  <conditionalFormatting sqref="K103">
    <cfRule type="expression" priority="80" stopIfTrue="1">
      <formula>$Q103="删除"</formula>
    </cfRule>
  </conditionalFormatting>
  <conditionalFormatting sqref="N104">
    <cfRule type="expression" priority="72" stopIfTrue="1">
      <formula>$Q104="删除"</formula>
    </cfRule>
  </conditionalFormatting>
  <conditionalFormatting sqref="M104">
    <cfRule type="expression" priority="78" stopIfTrue="1">
      <formula>$Q104="删除"</formula>
    </cfRule>
  </conditionalFormatting>
  <conditionalFormatting sqref="D104">
    <cfRule type="cellIs" dxfId="15" priority="76" stopIfTrue="1" operator="equal">
      <formula>"√"</formula>
    </cfRule>
  </conditionalFormatting>
  <conditionalFormatting sqref="H104">
    <cfRule type="expression" priority="77" stopIfTrue="1">
      <formula>$Q104="删除"</formula>
    </cfRule>
  </conditionalFormatting>
  <conditionalFormatting sqref="J104">
    <cfRule type="expression" priority="75" stopIfTrue="1">
      <formula>$Q104="删除"</formula>
    </cfRule>
  </conditionalFormatting>
  <conditionalFormatting sqref="L104">
    <cfRule type="expression" priority="74" stopIfTrue="1">
      <formula>$Q104="删除"</formula>
    </cfRule>
  </conditionalFormatting>
  <conditionalFormatting sqref="K104">
    <cfRule type="expression" priority="73" stopIfTrue="1">
      <formula>$Q104="删除"</formula>
    </cfRule>
  </conditionalFormatting>
  <conditionalFormatting sqref="W105:W106 S105:S106 AA105:AA106">
    <cfRule type="cellIs" dxfId="14" priority="69" stopIfTrue="1" operator="equal">
      <formula>"NG"</formula>
    </cfRule>
    <cfRule type="cellIs" dxfId="13" priority="70" stopIfTrue="1" operator="equal">
      <formula>"SKIP"</formula>
    </cfRule>
  </conditionalFormatting>
  <conditionalFormatting sqref="O105:P106">
    <cfRule type="expression" priority="71" stopIfTrue="1">
      <formula>$Q105="删除"</formula>
    </cfRule>
  </conditionalFormatting>
  <conditionalFormatting sqref="J105 L105:N105">
    <cfRule type="expression" priority="68" stopIfTrue="1">
      <formula>$Q105="删除"</formula>
    </cfRule>
  </conditionalFormatting>
  <conditionalFormatting sqref="H105:I105">
    <cfRule type="expression" priority="67" stopIfTrue="1">
      <formula>$Q105="删除"</formula>
    </cfRule>
  </conditionalFormatting>
  <conditionalFormatting sqref="D105">
    <cfRule type="cellIs" dxfId="12" priority="66" stopIfTrue="1" operator="equal">
      <formula>"√"</formula>
    </cfRule>
  </conditionalFormatting>
  <conditionalFormatting sqref="H106:I106">
    <cfRule type="expression" priority="64" stopIfTrue="1">
      <formula>$Q106="删除"</formula>
    </cfRule>
  </conditionalFormatting>
  <conditionalFormatting sqref="J106 L106:N106">
    <cfRule type="expression" priority="65" stopIfTrue="1">
      <formula>$Q106="删除"</formula>
    </cfRule>
  </conditionalFormatting>
  <conditionalFormatting sqref="D106">
    <cfRule type="cellIs" dxfId="11" priority="63" stopIfTrue="1" operator="equal">
      <formula>"√"</formula>
    </cfRule>
  </conditionalFormatting>
  <conditionalFormatting sqref="K105">
    <cfRule type="expression" priority="62" stopIfTrue="1">
      <formula>$Q105="删除"</formula>
    </cfRule>
  </conditionalFormatting>
  <conditionalFormatting sqref="K106">
    <cfRule type="expression" priority="61" stopIfTrue="1">
      <formula>$Q106="删除"</formula>
    </cfRule>
  </conditionalFormatting>
  <conditionalFormatting sqref="W12 S12 AA12">
    <cfRule type="cellIs" dxfId="10" priority="58" stopIfTrue="1" operator="equal">
      <formula>"NG"</formula>
    </cfRule>
    <cfRule type="cellIs" dxfId="9" priority="59" stopIfTrue="1" operator="equal">
      <formula>"SKIP"</formula>
    </cfRule>
  </conditionalFormatting>
  <conditionalFormatting sqref="O12:P12">
    <cfRule type="expression" priority="60" stopIfTrue="1">
      <formula>$Q12="删除"</formula>
    </cfRule>
  </conditionalFormatting>
  <conditionalFormatting sqref="L12">
    <cfRule type="expression" priority="56" stopIfTrue="1">
      <formula>$Q12="删除"</formula>
    </cfRule>
  </conditionalFormatting>
  <conditionalFormatting sqref="I12:J12">
    <cfRule type="expression" priority="55" stopIfTrue="1">
      <formula>$Q12="删除"</formula>
    </cfRule>
  </conditionalFormatting>
  <conditionalFormatting sqref="M12:N12">
    <cfRule type="expression" priority="57" stopIfTrue="1">
      <formula>$Q12="删除"</formula>
    </cfRule>
  </conditionalFormatting>
  <conditionalFormatting sqref="D12">
    <cfRule type="cellIs" dxfId="8" priority="54" stopIfTrue="1" operator="equal">
      <formula>"√"</formula>
    </cfRule>
  </conditionalFormatting>
  <conditionalFormatting sqref="L13">
    <cfRule type="expression" priority="51" stopIfTrue="1">
      <formula>$Q13="删除"</formula>
    </cfRule>
  </conditionalFormatting>
  <conditionalFormatting sqref="I13:J13">
    <cfRule type="expression" priority="50" stopIfTrue="1">
      <formula>$Q13="删除"</formula>
    </cfRule>
  </conditionalFormatting>
  <conditionalFormatting sqref="M13:N13">
    <cfRule type="expression" priority="52" stopIfTrue="1">
      <formula>$Q13="删除"</formula>
    </cfRule>
  </conditionalFormatting>
  <conditionalFormatting sqref="D13">
    <cfRule type="cellIs" dxfId="7" priority="49" stopIfTrue="1" operator="equal">
      <formula>"√"</formula>
    </cfRule>
  </conditionalFormatting>
  <conditionalFormatting sqref="K13">
    <cfRule type="expression" priority="37" stopIfTrue="1">
      <formula>$Q13="删除"</formula>
    </cfRule>
  </conditionalFormatting>
  <conditionalFormatting sqref="H14">
    <cfRule type="expression" priority="34" stopIfTrue="1">
      <formula>$Q14="删除"</formula>
    </cfRule>
  </conditionalFormatting>
  <conditionalFormatting sqref="L14">
    <cfRule type="expression" priority="32" stopIfTrue="1">
      <formula>$Q14="删除"</formula>
    </cfRule>
  </conditionalFormatting>
  <conditionalFormatting sqref="I14:J14">
    <cfRule type="expression" priority="31" stopIfTrue="1">
      <formula>$Q14="删除"</formula>
    </cfRule>
  </conditionalFormatting>
  <conditionalFormatting sqref="M14:N14">
    <cfRule type="expression" priority="33" stopIfTrue="1">
      <formula>$Q14="删除"</formula>
    </cfRule>
  </conditionalFormatting>
  <conditionalFormatting sqref="D14">
    <cfRule type="cellIs" dxfId="6" priority="30" stopIfTrue="1" operator="equal">
      <formula>"√"</formula>
    </cfRule>
  </conditionalFormatting>
  <conditionalFormatting sqref="K14">
    <cfRule type="expression" priority="29" stopIfTrue="1">
      <formula>$Q14="删除"</formula>
    </cfRule>
  </conditionalFormatting>
  <conditionalFormatting sqref="G15:G18">
    <cfRule type="expression" priority="28" stopIfTrue="1">
      <formula>$Q15="删除"</formula>
    </cfRule>
  </conditionalFormatting>
  <conditionalFormatting sqref="D15:D16">
    <cfRule type="cellIs" dxfId="5" priority="27" stopIfTrue="1" operator="equal">
      <formula>"√"</formula>
    </cfRule>
  </conditionalFormatting>
  <conditionalFormatting sqref="G15:G18">
    <cfRule type="expression" priority="26" stopIfTrue="1">
      <formula>#REF!="删除"</formula>
    </cfRule>
  </conditionalFormatting>
  <conditionalFormatting sqref="H16:M16">
    <cfRule type="expression" priority="25" stopIfTrue="1">
      <formula>$Q16="删除"</formula>
    </cfRule>
  </conditionalFormatting>
  <conditionalFormatting sqref="J15">
    <cfRule type="expression" priority="23" stopIfTrue="1">
      <formula>$Q15="删除"</formula>
    </cfRule>
  </conditionalFormatting>
  <conditionalFormatting sqref="J15">
    <cfRule type="expression" priority="21" stopIfTrue="1">
      <formula>#REF!="删除"</formula>
    </cfRule>
  </conditionalFormatting>
  <conditionalFormatting sqref="J15">
    <cfRule type="expression" priority="22" stopIfTrue="1">
      <formula>#REF!="删除"</formula>
    </cfRule>
  </conditionalFormatting>
  <conditionalFormatting sqref="J15">
    <cfRule type="expression" priority="24" stopIfTrue="1">
      <formula>#REF!="删除"</formula>
    </cfRule>
  </conditionalFormatting>
  <conditionalFormatting sqref="H15">
    <cfRule type="expression" priority="20" stopIfTrue="1">
      <formula>$Q15="删除"</formula>
    </cfRule>
  </conditionalFormatting>
  <conditionalFormatting sqref="I15">
    <cfRule type="expression" priority="19" stopIfTrue="1">
      <formula>$Q15="删除"</formula>
    </cfRule>
  </conditionalFormatting>
  <conditionalFormatting sqref="K15">
    <cfRule type="expression" priority="18" stopIfTrue="1">
      <formula>$Q15="删除"</formula>
    </cfRule>
  </conditionalFormatting>
  <conditionalFormatting sqref="L15">
    <cfRule type="expression" priority="17" stopIfTrue="1">
      <formula>$Q15="删除"</formula>
    </cfRule>
  </conditionalFormatting>
  <conditionalFormatting sqref="M15">
    <cfRule type="expression" priority="16" stopIfTrue="1">
      <formula>$Q15="删除"</formula>
    </cfRule>
  </conditionalFormatting>
  <conditionalFormatting sqref="J16">
    <cfRule type="expression" priority="13" stopIfTrue="1">
      <formula>#REF!="删除"</formula>
    </cfRule>
  </conditionalFormatting>
  <conditionalFormatting sqref="J16">
    <cfRule type="expression" priority="14" stopIfTrue="1">
      <formula>#REF!="删除"</formula>
    </cfRule>
  </conditionalFormatting>
  <conditionalFormatting sqref="J16">
    <cfRule type="expression" priority="15" stopIfTrue="1">
      <formula>#REF!="删除"</formula>
    </cfRule>
  </conditionalFormatting>
  <conditionalFormatting sqref="D17">
    <cfRule type="cellIs" dxfId="4" priority="12" stopIfTrue="1" operator="equal">
      <formula>"√"</formula>
    </cfRule>
  </conditionalFormatting>
  <conditionalFormatting sqref="H17:M17 K18">
    <cfRule type="expression" priority="11" stopIfTrue="1">
      <formula>$Q17="删除"</formula>
    </cfRule>
  </conditionalFormatting>
  <conditionalFormatting sqref="J17">
    <cfRule type="expression" priority="8" stopIfTrue="1">
      <formula>#REF!="删除"</formula>
    </cfRule>
  </conditionalFormatting>
  <conditionalFormatting sqref="J17">
    <cfRule type="expression" priority="9" stopIfTrue="1">
      <formula>#REF!="删除"</formula>
    </cfRule>
  </conditionalFormatting>
  <conditionalFormatting sqref="J17">
    <cfRule type="expression" priority="10" stopIfTrue="1">
      <formula>#REF!="删除"</formula>
    </cfRule>
  </conditionalFormatting>
  <conditionalFormatting sqref="D18">
    <cfRule type="cellIs" dxfId="3" priority="7" stopIfTrue="1" operator="equal">
      <formula>"√"</formula>
    </cfRule>
  </conditionalFormatting>
  <conditionalFormatting sqref="H18:J18 L18:M18">
    <cfRule type="expression" priority="6" stopIfTrue="1">
      <formula>$Q18="删除"</formula>
    </cfRule>
  </conditionalFormatting>
  <conditionalFormatting sqref="J18">
    <cfRule type="expression" priority="3" stopIfTrue="1">
      <formula>#REF!="删除"</formula>
    </cfRule>
  </conditionalFormatting>
  <conditionalFormatting sqref="J18">
    <cfRule type="expression" priority="4" stopIfTrue="1">
      <formula>#REF!="删除"</formula>
    </cfRule>
  </conditionalFormatting>
  <conditionalFormatting sqref="J18">
    <cfRule type="expression" priority="5" stopIfTrue="1">
      <formula>#REF!="删除"</formula>
    </cfRule>
  </conditionalFormatting>
  <conditionalFormatting sqref="G11:G14">
    <cfRule type="expression" priority="2" stopIfTrue="1">
      <formula>$Q11="删除"</formula>
    </cfRule>
  </conditionalFormatting>
  <conditionalFormatting sqref="G11:G14">
    <cfRule type="expression" priority="1" stopIfTrue="1">
      <formula>#REF!="删除"</formula>
    </cfRule>
  </conditionalFormatting>
  <dataValidations count="6">
    <dataValidation type="list" allowBlank="1" showInputMessage="1" showErrorMessage="1" sqref="D637:D642 D111:D626">
      <formula1>ModuleName</formula1>
    </dataValidation>
    <dataValidation type="list" allowBlank="1" showInputMessage="1" showErrorMessage="1" sqref="S67:S68 W67:W68 AA67:AA68 S63 S85 W85 AA85 S93:S94 W93:W94 AA93:AA94 W73:W80 S113 W113 AA113 S120:S126 W120:W126 AA120:AA126 S131:S133 W131:W133 AA131:AA133 S138:S151 W138:W151 AA138:AA151 S154 W154 AA154 S157:S158 W157:W158 AA157:AA158 S164 W164 AA164 S191 W191 AA191 S217 W217 AA217 S228 W228 AA228 S233:S235 W233:W235 AA233:AA235 S240:S242 W240:W242 AA240:AA242 S252:S254 W252:W254 AA252:AA254 S259:S261 W259:W261 AA259:AA261 S268 W268 AA268 S271:S274 W271:W274 AA271:AA274 S277:S278 W277:W278 AA277:AA278 S281:S282 W281:W282 AA281:AA282 S287:S305 W287:W305 AA287:AA305 S308:S355 W308:W355 AA308:AA355 S368:S370 W368:W370 AA368:AA370 S422 W422 AA422 S448 W448 AA448 S459 W459 AA459 S464:S466 W464:W466 AA464:AA466 S471:S473 W471:W473 AA471:AA473 S483:S485 W483:W485 AA483:AA485 S490 W490 AA490 AA49:AA52 W49:W52 S49:S52 S25:S39 W25:W39 AA25:AA39 W105:W108 AA63 W63 AA83 W83 S83 AA73:AA80 S73:S80 S105:S108 AA105:AA108 AA11:AA22 W11:W22 S11:S22">
      <formula1>"OK,NG,POK,NT,SKIP"</formula1>
    </dataValidation>
    <dataValidation type="list" allowBlank="1" showInputMessage="1" showErrorMessage="1" promptTitle="§温馨提示§" prompt="修订状态为“删除”时，请将“纳入测试”设置为“否”。" sqref="Q362:Q374 Q396:Q586 Q593:Q605 Q637:Q642 Q11:Q355">
      <formula1>"新增,修改,删除"</formula1>
    </dataValidation>
    <dataValidation type="list" allowBlank="1" showInputMessage="1" showErrorMessage="1" sqref="H11:H1386">
      <formula1>"高,中,低"</formula1>
    </dataValidation>
    <dataValidation type="list" allowBlank="1" showInputMessage="1" showErrorMessage="1" sqref="I11:I1386">
      <formula1>"正常系,异常系"</formula1>
    </dataValidation>
    <dataValidation type="list" allowBlank="1" showInputMessage="1" showErrorMessage="1" sqref="R11:R1386">
      <formula1>"是,否"</formula1>
    </dataValidation>
  </dataValidations>
  <pageMargins left="0.69861111111111107" right="0.69861111111111107" top="0.75" bottom="0.75" header="0.3" footer="0.3"/>
  <pageSetup paperSize="9" orientation="portrait" horizontalDpi="200" verticalDpi="200" r:id="rId1"/>
  <headerFooter alignWithMargins="0"/>
  <legacyDrawing r:id="rId2"/>
</worksheet>
</file>

<file path=xl/worksheets/sheet7.xml><?xml version="1.0" encoding="utf-8"?>
<worksheet xmlns="http://schemas.openxmlformats.org/spreadsheetml/2006/main" xmlns:r="http://schemas.openxmlformats.org/officeDocument/2006/relationships">
  <dimension ref="A1"/>
  <sheetViews>
    <sheetView workbookViewId="0">
      <selection activeCell="M22" sqref="M22"/>
    </sheetView>
  </sheetViews>
  <sheetFormatPr defaultRowHeight="14.25"/>
  <sheetData/>
  <customSheetViews>
    <customSheetView guid="{0B5AE87E-5094-483C-B162-40616F3898A2}">
      <selection activeCell="F42" sqref="F42"/>
      <pageMargins left="0.75" right="0.75" top="1" bottom="1" header="0.5" footer="0.5"/>
      <headerFooter alignWithMargins="0"/>
    </customSheetView>
    <customSheetView guid="{33A8337A-D9C9-4792-85CF-B434512345B4}">
      <selection activeCell="F42" sqref="F42"/>
      <pageMargins left="0.75" right="0.75" top="1" bottom="1" header="0.5" footer="0.5"/>
      <headerFooter alignWithMargins="0"/>
    </customSheetView>
  </customSheetViews>
  <phoneticPr fontId="44" type="noConversion"/>
  <pageMargins left="0.75" right="0.75" top="1" bottom="1" header="0.5" footer="0.5"/>
  <headerFooter alignWithMargins="0"/>
</worksheet>
</file>

<file path=xl/worksheets/sheet8.xml><?xml version="1.0" encoding="utf-8"?>
<worksheet xmlns="http://schemas.openxmlformats.org/spreadsheetml/2006/main" xmlns:r="http://schemas.openxmlformats.org/officeDocument/2006/relationships">
  <dimension ref="A1"/>
  <sheetViews>
    <sheetView workbookViewId="0">
      <selection activeCell="F30" sqref="F30"/>
    </sheetView>
  </sheetViews>
  <sheetFormatPr defaultRowHeight="14.25"/>
  <sheetData/>
  <customSheetViews>
    <customSheetView guid="{0B5AE87E-5094-483C-B162-40616F3898A2}">
      <selection activeCell="F30" sqref="F30"/>
      <pageMargins left="0.75" right="0.75" top="1" bottom="1" header="0.5" footer="0.5"/>
      <headerFooter alignWithMargins="0"/>
    </customSheetView>
    <customSheetView guid="{33A8337A-D9C9-4792-85CF-B434512345B4}">
      <selection activeCell="F30" sqref="F30"/>
      <pageMargins left="0.75" right="0.75" top="1" bottom="1" header="0.5" footer="0.5"/>
      <headerFooter alignWithMargins="0"/>
    </customSheetView>
  </customSheetViews>
  <phoneticPr fontId="44" type="noConversion"/>
  <pageMargins left="0.75" right="0.75" top="1" bottom="1" header="0.5" footer="0.5"/>
  <headerFooter alignWithMargins="0"/>
</worksheet>
</file>

<file path=xl/worksheets/sheet9.xml><?xml version="1.0" encoding="utf-8"?>
<worksheet xmlns="http://schemas.openxmlformats.org/spreadsheetml/2006/main" xmlns:r="http://schemas.openxmlformats.org/officeDocument/2006/relationships">
  <dimension ref="B1:U146"/>
  <sheetViews>
    <sheetView topLeftCell="A4" zoomScale="90" workbookViewId="0">
      <pane ySplit="7" topLeftCell="A11" activePane="bottomLeft" state="frozen"/>
      <selection activeCell="A4" sqref="A4"/>
      <selection pane="bottomLeft" activeCell="J5" sqref="J5"/>
    </sheetView>
  </sheetViews>
  <sheetFormatPr defaultColWidth="9" defaultRowHeight="12" outlineLevelRow="1" outlineLevelCol="1"/>
  <cols>
    <col min="1" max="1" width="1.125" style="7" customWidth="1"/>
    <col min="2" max="2" width="12" style="8" customWidth="1"/>
    <col min="3" max="3" width="7.125" style="9" customWidth="1" outlineLevel="1"/>
    <col min="4" max="4" width="7.75" style="8" customWidth="1"/>
    <col min="5" max="5" width="15.625" style="10" customWidth="1"/>
    <col min="6" max="6" width="46.75" style="10" customWidth="1" outlineLevel="1"/>
    <col min="7" max="7" width="21.125" style="10" customWidth="1" outlineLevel="1"/>
    <col min="8" max="8" width="8.75" style="7" customWidth="1" outlineLevel="1"/>
    <col min="9" max="9" width="8.5" style="7" customWidth="1" outlineLevel="1"/>
    <col min="10" max="10" width="10" style="7" customWidth="1"/>
    <col min="11" max="13" width="9" style="7" outlineLevel="1"/>
    <col min="14" max="14" width="10" style="7" customWidth="1"/>
    <col min="15" max="17" width="9" style="7" outlineLevel="1"/>
    <col min="18" max="18" width="10" style="7" customWidth="1"/>
    <col min="19" max="21" width="9" style="7" outlineLevel="1"/>
    <col min="22" max="16384" width="9" style="7"/>
  </cols>
  <sheetData>
    <row r="1" spans="2:21" ht="4.5" customHeight="1"/>
    <row r="2" spans="2:21" s="5" customFormat="1" ht="21.75" customHeight="1">
      <c r="B2" s="260" t="s">
        <v>0</v>
      </c>
      <c r="C2" s="260"/>
      <c r="D2" s="260"/>
      <c r="E2" s="260"/>
      <c r="F2" s="260"/>
      <c r="G2" s="260"/>
      <c r="H2" s="11"/>
      <c r="I2" s="11"/>
    </row>
    <row r="3" spans="2:21" s="5" customFormat="1" ht="6" customHeight="1">
      <c r="B3" s="12"/>
      <c r="C3" s="12"/>
      <c r="D3" s="12"/>
      <c r="E3" s="12"/>
      <c r="F3" s="12"/>
      <c r="G3" s="12"/>
      <c r="H3" s="12"/>
      <c r="I3" s="12"/>
    </row>
    <row r="4" spans="2:21" s="5" customFormat="1" ht="18" customHeight="1">
      <c r="B4" s="12"/>
      <c r="C4" s="12"/>
      <c r="D4" s="12"/>
      <c r="E4" s="12"/>
      <c r="F4" s="12"/>
      <c r="G4" s="12"/>
      <c r="H4" s="12"/>
      <c r="I4" s="12"/>
      <c r="J4" s="264" t="s">
        <v>26</v>
      </c>
      <c r="K4" s="265"/>
      <c r="L4" s="265"/>
      <c r="M4" s="266"/>
      <c r="N4" s="264" t="s">
        <v>27</v>
      </c>
      <c r="O4" s="265"/>
      <c r="P4" s="265"/>
      <c r="Q4" s="266"/>
      <c r="R4" s="264" t="s">
        <v>28</v>
      </c>
      <c r="S4" s="265"/>
      <c r="T4" s="265"/>
      <c r="U4" s="266"/>
    </row>
    <row r="5" spans="2:21" s="5" customFormat="1" ht="18" customHeight="1" outlineLevel="1">
      <c r="B5" s="12"/>
      <c r="C5" s="12"/>
      <c r="D5" s="12"/>
      <c r="E5" s="12"/>
      <c r="F5" s="12"/>
      <c r="G5" s="12"/>
      <c r="H5" s="12"/>
      <c r="I5" s="12"/>
      <c r="J5" s="24" t="s">
        <v>29</v>
      </c>
      <c r="K5" s="25">
        <f>SUMPRODUCT(($B$11:$B$1704&lt;&gt;"")*($H$11:$H$1704&lt;&gt;"删除"))</f>
        <v>6</v>
      </c>
      <c r="L5" s="25" t="s">
        <v>30</v>
      </c>
      <c r="M5" s="26">
        <f>SUMPRODUCT(($I$11:$I$1501="是")*(J$11:J$1501=L$5))</f>
        <v>0</v>
      </c>
      <c r="N5" s="24" t="s">
        <v>29</v>
      </c>
      <c r="O5" s="25">
        <f>SUMPRODUCT(($B$11:$B$1704&lt;&gt;"")*($H$11:$H$1704&lt;&gt;"删除"))</f>
        <v>6</v>
      </c>
      <c r="P5" s="25" t="s">
        <v>30</v>
      </c>
      <c r="Q5" s="26">
        <f>SUMPRODUCT(($I$11:$I$1501="是")*(N$11:N$1501=P$5))</f>
        <v>0</v>
      </c>
      <c r="R5" s="24" t="s">
        <v>29</v>
      </c>
      <c r="S5" s="25">
        <f>SUMPRODUCT(($B$11:$B$1704&lt;&gt;"")*($H$11:$H$1704&lt;&gt;"删除"))</f>
        <v>6</v>
      </c>
      <c r="T5" s="25" t="s">
        <v>30</v>
      </c>
      <c r="U5" s="26">
        <f>SUMPRODUCT(($I$11:$I$1501="是")*(R$11:R$1501=T$5))</f>
        <v>0</v>
      </c>
    </row>
    <row r="6" spans="2:21" s="5" customFormat="1" ht="18" customHeight="1" outlineLevel="1">
      <c r="B6" s="12"/>
      <c r="C6" s="12"/>
      <c r="D6" s="12"/>
      <c r="E6" s="12"/>
      <c r="F6" s="12"/>
      <c r="G6" s="12"/>
      <c r="H6" s="12"/>
      <c r="I6" s="12"/>
      <c r="J6" s="27" t="s">
        <v>31</v>
      </c>
      <c r="K6" s="28">
        <f t="array" ref="K6">COUNTIF($I$10:$I$1501,"是")</f>
        <v>0</v>
      </c>
      <c r="L6" s="29" t="s">
        <v>32</v>
      </c>
      <c r="M6" s="30">
        <f>SUMPRODUCT(($I$11:$I$1501="是")*(J$11:J$1501=L$6))</f>
        <v>0</v>
      </c>
      <c r="N6" s="27" t="s">
        <v>31</v>
      </c>
      <c r="O6" s="28">
        <f t="array" ref="O6">COUNTIF($I$10:$I$1501,"是")</f>
        <v>0</v>
      </c>
      <c r="P6" s="29" t="s">
        <v>32</v>
      </c>
      <c r="Q6" s="30">
        <f>SUMPRODUCT(($I$11:$I$1501="是")*(N$11:N$1501=P$6))</f>
        <v>0</v>
      </c>
      <c r="R6" s="27" t="s">
        <v>31</v>
      </c>
      <c r="S6" s="28">
        <f t="array" ref="S6">COUNTIF($I$10:$I$1501,"是")</f>
        <v>0</v>
      </c>
      <c r="T6" s="29" t="s">
        <v>32</v>
      </c>
      <c r="U6" s="30">
        <f>SUMPRODUCT(($I$11:$I$1501="是")*(R$11:R$1501=T$6))</f>
        <v>0</v>
      </c>
    </row>
    <row r="7" spans="2:21" s="5" customFormat="1" ht="18" customHeight="1" outlineLevel="1">
      <c r="B7" s="12"/>
      <c r="C7" s="12"/>
      <c r="D7" s="12"/>
      <c r="E7" s="12"/>
      <c r="F7" s="12"/>
      <c r="G7" s="12"/>
      <c r="H7" s="12"/>
      <c r="I7" s="12"/>
      <c r="J7" s="27" t="s">
        <v>33</v>
      </c>
      <c r="K7" s="31">
        <f>IF(M5+M6+M7=0,0%,(M5+M6+M7)/(K6))</f>
        <v>0</v>
      </c>
      <c r="L7" s="29" t="s">
        <v>34</v>
      </c>
      <c r="M7" s="30">
        <f>SUMPRODUCT(($I$11:$I$1501="是")*(J$11:J$1501=L$7))</f>
        <v>0</v>
      </c>
      <c r="N7" s="27" t="s">
        <v>33</v>
      </c>
      <c r="O7" s="31">
        <f>IF(Q5+Q6+Q7=0,0%,(Q5+Q6+Q7)/(O6))</f>
        <v>0</v>
      </c>
      <c r="P7" s="29" t="s">
        <v>34</v>
      </c>
      <c r="Q7" s="30">
        <f>SUMPRODUCT(($I$11:$I$1501="是")*(N$11:N$1501=P$7))</f>
        <v>0</v>
      </c>
      <c r="R7" s="27" t="s">
        <v>33</v>
      </c>
      <c r="S7" s="31">
        <f>IF(U5+U6+U7=0,0%,(U5+U6+U7)/(S6))</f>
        <v>0</v>
      </c>
      <c r="T7" s="29" t="s">
        <v>34</v>
      </c>
      <c r="U7" s="30">
        <f>SUMPRODUCT(($I$11:$I$1501="是")*(R$11:R$1501=T$7))</f>
        <v>0</v>
      </c>
    </row>
    <row r="8" spans="2:21" s="5" customFormat="1" ht="18" customHeight="1" outlineLevel="1">
      <c r="B8" s="12"/>
      <c r="C8" s="12"/>
      <c r="D8" s="12"/>
      <c r="E8" s="12"/>
      <c r="F8" s="12"/>
      <c r="G8" s="12"/>
      <c r="H8" s="12"/>
      <c r="I8" s="12"/>
      <c r="J8" s="27" t="s">
        <v>38</v>
      </c>
      <c r="K8" s="31">
        <f t="array" ref="K8">IF(M5=0,0%,M5/(M5+M6+M7))</f>
        <v>0</v>
      </c>
      <c r="L8" s="29" t="s">
        <v>39</v>
      </c>
      <c r="M8" s="30">
        <f>SUMPRODUCT(($I$11:$I$1501="是")*(J$11:J$1501=L$8))</f>
        <v>0</v>
      </c>
      <c r="N8" s="27" t="s">
        <v>38</v>
      </c>
      <c r="O8" s="31">
        <f t="array" ref="O8">IF(Q5=0,0%,Q5/(Q5+Q6+Q7))</f>
        <v>0</v>
      </c>
      <c r="P8" s="29" t="s">
        <v>39</v>
      </c>
      <c r="Q8" s="30">
        <f>SUMPRODUCT(($I$11:$I$1501="是")*(N$11:N$1501=P$8))</f>
        <v>0</v>
      </c>
      <c r="R8" s="27" t="s">
        <v>38</v>
      </c>
      <c r="S8" s="31">
        <f t="array" ref="S8">IF(U5=0,0%,U5/(U5+U6+U7))</f>
        <v>0</v>
      </c>
      <c r="T8" s="29" t="s">
        <v>39</v>
      </c>
      <c r="U8" s="30">
        <f>SUMPRODUCT(($I$11:$I$1501="是")*(R$11:R$1501=T$8))</f>
        <v>0</v>
      </c>
    </row>
    <row r="9" spans="2:21" s="5" customFormat="1" ht="18" customHeight="1" outlineLevel="1">
      <c r="B9" s="12"/>
      <c r="C9" s="12"/>
      <c r="D9" s="12"/>
      <c r="E9" s="12"/>
      <c r="F9" s="12"/>
      <c r="G9" s="12"/>
      <c r="H9" s="12"/>
      <c r="I9" s="12"/>
      <c r="J9" s="27" t="s">
        <v>40</v>
      </c>
      <c r="K9" s="32">
        <f t="array" ref="K9">SUMPRODUCT(($I$11:$I$1501="是")*(J$11:J$1501=J9))</f>
        <v>0</v>
      </c>
      <c r="L9" s="33" t="s">
        <v>41</v>
      </c>
      <c r="M9" s="34">
        <f t="array" ref="M9">(K6-M8-M7-M6-M5-K9)</f>
        <v>0</v>
      </c>
      <c r="N9" s="27" t="s">
        <v>40</v>
      </c>
      <c r="O9" s="32">
        <f t="array" ref="O9">SUMPRODUCT(($I$11:$I$1501="是")*(N$11:N$1501=N9))</f>
        <v>0</v>
      </c>
      <c r="P9" s="33" t="s">
        <v>41</v>
      </c>
      <c r="Q9" s="34">
        <f t="array" ref="Q9">(O6-Q8-Q7-Q6-Q5-O9)</f>
        <v>0</v>
      </c>
      <c r="R9" s="27" t="s">
        <v>40</v>
      </c>
      <c r="S9" s="32">
        <f t="array" ref="S9">SUMPRODUCT(($I$11:$I$1501="是")*(R$11:R$1501=R9))</f>
        <v>0</v>
      </c>
      <c r="T9" s="33" t="s">
        <v>41</v>
      </c>
      <c r="U9" s="34">
        <f t="array" ref="U9">(S6-U8-U7-U6-U5-S9)</f>
        <v>0</v>
      </c>
    </row>
    <row r="10" spans="2:21" s="6" customFormat="1" ht="17.25" customHeight="1">
      <c r="B10" s="13" t="s">
        <v>46</v>
      </c>
      <c r="C10" s="13" t="s">
        <v>24</v>
      </c>
      <c r="D10" s="13" t="s">
        <v>64</v>
      </c>
      <c r="E10" s="14" t="s">
        <v>49</v>
      </c>
      <c r="F10" s="15" t="s">
        <v>51</v>
      </c>
      <c r="G10" s="16" t="s">
        <v>53</v>
      </c>
      <c r="H10" s="13" t="s">
        <v>56</v>
      </c>
      <c r="I10" s="35" t="s">
        <v>31</v>
      </c>
      <c r="J10" s="36" t="s">
        <v>57</v>
      </c>
      <c r="K10" s="13" t="s">
        <v>58</v>
      </c>
      <c r="L10" s="16" t="s">
        <v>59</v>
      </c>
      <c r="M10" s="35" t="s">
        <v>60</v>
      </c>
      <c r="N10" s="36" t="s">
        <v>57</v>
      </c>
      <c r="O10" s="13" t="s">
        <v>58</v>
      </c>
      <c r="P10" s="16" t="s">
        <v>59</v>
      </c>
      <c r="Q10" s="43" t="s">
        <v>60</v>
      </c>
      <c r="R10" s="36" t="s">
        <v>57</v>
      </c>
      <c r="S10" s="13" t="s">
        <v>58</v>
      </c>
      <c r="T10" s="16" t="s">
        <v>59</v>
      </c>
      <c r="U10" s="35" t="s">
        <v>60</v>
      </c>
    </row>
    <row r="11" spans="2:21" ht="84">
      <c r="B11" s="17" t="s">
        <v>65</v>
      </c>
      <c r="C11" s="18" t="s">
        <v>66</v>
      </c>
      <c r="D11" s="19" t="s">
        <v>67</v>
      </c>
      <c r="E11" s="20" t="s">
        <v>68</v>
      </c>
      <c r="F11" s="20" t="s">
        <v>69</v>
      </c>
      <c r="G11" s="21" t="s">
        <v>70</v>
      </c>
      <c r="H11" s="22"/>
      <c r="I11" s="37"/>
      <c r="J11" s="38" t="s">
        <v>30</v>
      </c>
      <c r="K11" s="39"/>
      <c r="L11" s="40"/>
      <c r="M11" s="41"/>
      <c r="N11" s="38"/>
      <c r="O11" s="39"/>
      <c r="P11" s="40"/>
      <c r="Q11" s="41"/>
      <c r="R11" s="38"/>
      <c r="S11" s="39"/>
      <c r="T11" s="40"/>
      <c r="U11" s="41"/>
    </row>
    <row r="12" spans="2:21" ht="96">
      <c r="B12" s="17" t="s">
        <v>71</v>
      </c>
      <c r="C12" s="18"/>
      <c r="D12" s="19" t="s">
        <v>67</v>
      </c>
      <c r="E12" s="20" t="s">
        <v>72</v>
      </c>
      <c r="F12" s="20" t="s">
        <v>73</v>
      </c>
      <c r="G12" s="21" t="s">
        <v>74</v>
      </c>
      <c r="H12" s="22"/>
      <c r="I12" s="42"/>
      <c r="J12" s="38" t="s">
        <v>30</v>
      </c>
      <c r="K12" s="39"/>
      <c r="L12" s="40"/>
      <c r="M12" s="41"/>
      <c r="N12" s="38"/>
      <c r="O12" s="39"/>
      <c r="P12" s="40"/>
      <c r="Q12" s="41"/>
      <c r="R12" s="38"/>
      <c r="S12" s="39"/>
      <c r="T12" s="40"/>
      <c r="U12" s="41"/>
    </row>
    <row r="13" spans="2:21" ht="36">
      <c r="B13" s="17" t="s">
        <v>75</v>
      </c>
      <c r="C13" s="18"/>
      <c r="D13" s="19" t="s">
        <v>67</v>
      </c>
      <c r="E13" s="20" t="s">
        <v>76</v>
      </c>
      <c r="F13" s="23" t="s">
        <v>77</v>
      </c>
      <c r="G13" s="21"/>
      <c r="H13" s="22"/>
      <c r="I13" s="42"/>
      <c r="J13" s="38"/>
      <c r="K13" s="39"/>
      <c r="L13" s="40"/>
      <c r="M13" s="41"/>
      <c r="N13" s="38"/>
      <c r="O13" s="39"/>
      <c r="P13" s="40"/>
      <c r="Q13" s="41"/>
      <c r="R13" s="38"/>
      <c r="S13" s="39"/>
      <c r="T13" s="40"/>
      <c r="U13" s="41"/>
    </row>
    <row r="14" spans="2:21" ht="36">
      <c r="B14" s="17" t="s">
        <v>78</v>
      </c>
      <c r="C14" s="18"/>
      <c r="D14" s="19" t="s">
        <v>79</v>
      </c>
      <c r="E14" s="20" t="s">
        <v>80</v>
      </c>
      <c r="F14" s="23" t="s">
        <v>77</v>
      </c>
      <c r="G14" s="21"/>
      <c r="H14" s="22"/>
      <c r="I14" s="42"/>
      <c r="J14" s="38"/>
      <c r="K14" s="39"/>
      <c r="L14" s="40"/>
      <c r="M14" s="41"/>
      <c r="N14" s="38"/>
      <c r="O14" s="39"/>
      <c r="P14" s="40"/>
      <c r="Q14" s="41"/>
      <c r="R14" s="38"/>
      <c r="S14" s="39"/>
      <c r="T14" s="40"/>
      <c r="U14" s="41"/>
    </row>
    <row r="15" spans="2:21" ht="36">
      <c r="B15" s="17" t="s">
        <v>81</v>
      </c>
      <c r="C15" s="18"/>
      <c r="D15" s="19" t="s">
        <v>79</v>
      </c>
      <c r="E15" s="20" t="s">
        <v>82</v>
      </c>
      <c r="F15" s="23" t="s">
        <v>77</v>
      </c>
      <c r="G15" s="21"/>
      <c r="H15" s="22"/>
      <c r="I15" s="42"/>
      <c r="J15" s="38"/>
      <c r="K15" s="39"/>
      <c r="L15" s="40"/>
      <c r="M15" s="41"/>
      <c r="N15" s="38"/>
      <c r="O15" s="39"/>
      <c r="P15" s="40"/>
      <c r="Q15" s="41"/>
      <c r="R15" s="38"/>
      <c r="S15" s="39"/>
      <c r="T15" s="40"/>
      <c r="U15" s="41"/>
    </row>
    <row r="16" spans="2:21" ht="36">
      <c r="B16" s="17" t="s">
        <v>83</v>
      </c>
      <c r="C16" s="18"/>
      <c r="D16" s="19"/>
      <c r="E16" s="23" t="s">
        <v>77</v>
      </c>
      <c r="F16" s="23"/>
      <c r="G16" s="21"/>
      <c r="H16" s="22"/>
      <c r="I16" s="42"/>
      <c r="J16" s="38"/>
      <c r="K16" s="39"/>
      <c r="L16" s="40"/>
      <c r="M16" s="41"/>
      <c r="N16" s="38"/>
      <c r="O16" s="39"/>
      <c r="P16" s="40"/>
      <c r="Q16" s="41"/>
      <c r="R16" s="38"/>
      <c r="S16" s="39"/>
      <c r="T16" s="40"/>
      <c r="U16" s="41"/>
    </row>
    <row r="17" spans="2:21">
      <c r="B17" s="17"/>
      <c r="C17" s="18"/>
      <c r="D17" s="19"/>
      <c r="E17" s="20"/>
      <c r="F17" s="23"/>
      <c r="G17" s="21"/>
      <c r="H17" s="22"/>
      <c r="I17" s="42"/>
      <c r="J17" s="38"/>
      <c r="K17" s="39"/>
      <c r="L17" s="40"/>
      <c r="M17" s="41"/>
      <c r="N17" s="38"/>
      <c r="O17" s="39"/>
      <c r="P17" s="40"/>
      <c r="Q17" s="41"/>
      <c r="R17" s="38"/>
      <c r="S17" s="39"/>
      <c r="T17" s="40"/>
      <c r="U17" s="41"/>
    </row>
    <row r="18" spans="2:21">
      <c r="B18" s="17"/>
      <c r="C18" s="18"/>
      <c r="D18" s="19"/>
      <c r="E18" s="20"/>
      <c r="F18" s="23"/>
      <c r="G18" s="21"/>
      <c r="H18" s="22"/>
      <c r="I18" s="42"/>
      <c r="J18" s="38"/>
      <c r="K18" s="39"/>
      <c r="L18" s="40"/>
      <c r="M18" s="41"/>
      <c r="N18" s="38"/>
      <c r="O18" s="39"/>
      <c r="P18" s="40"/>
      <c r="Q18" s="41"/>
      <c r="R18" s="38"/>
      <c r="S18" s="39"/>
      <c r="T18" s="40"/>
      <c r="U18" s="41"/>
    </row>
    <row r="19" spans="2:21">
      <c r="B19" s="17"/>
      <c r="C19" s="18"/>
      <c r="D19" s="19"/>
      <c r="E19" s="20"/>
      <c r="F19" s="23"/>
      <c r="G19" s="21"/>
      <c r="H19" s="22"/>
      <c r="I19" s="42"/>
      <c r="J19" s="38"/>
      <c r="K19" s="39"/>
      <c r="L19" s="40"/>
      <c r="M19" s="41"/>
      <c r="N19" s="38"/>
      <c r="O19" s="39"/>
      <c r="P19" s="40"/>
      <c r="Q19" s="41"/>
      <c r="R19" s="38"/>
      <c r="S19" s="39"/>
      <c r="T19" s="40"/>
      <c r="U19" s="41"/>
    </row>
    <row r="20" spans="2:21">
      <c r="B20" s="17"/>
      <c r="C20" s="18"/>
      <c r="D20" s="19"/>
      <c r="E20" s="20"/>
      <c r="F20" s="23"/>
      <c r="G20" s="21"/>
      <c r="H20" s="22"/>
      <c r="I20" s="42"/>
      <c r="J20" s="38"/>
      <c r="K20" s="39"/>
      <c r="L20" s="40"/>
      <c r="M20" s="41"/>
      <c r="N20" s="38"/>
      <c r="O20" s="39"/>
      <c r="P20" s="40"/>
      <c r="Q20" s="41"/>
      <c r="R20" s="38"/>
      <c r="S20" s="39"/>
      <c r="T20" s="40"/>
      <c r="U20" s="41"/>
    </row>
    <row r="21" spans="2:21">
      <c r="B21" s="17"/>
      <c r="C21" s="18"/>
      <c r="D21" s="19"/>
      <c r="E21" s="20"/>
      <c r="F21" s="23"/>
      <c r="G21" s="21"/>
      <c r="H21" s="22"/>
      <c r="I21" s="42"/>
      <c r="J21" s="38"/>
      <c r="K21" s="39"/>
      <c r="L21" s="40"/>
      <c r="M21" s="41"/>
      <c r="N21" s="38"/>
      <c r="O21" s="39"/>
      <c r="P21" s="40"/>
      <c r="Q21" s="41"/>
      <c r="R21" s="38"/>
      <c r="S21" s="39"/>
      <c r="T21" s="40"/>
      <c r="U21" s="41"/>
    </row>
    <row r="22" spans="2:21">
      <c r="B22" s="17"/>
      <c r="C22" s="18"/>
      <c r="D22" s="19"/>
      <c r="E22" s="20"/>
      <c r="F22" s="23"/>
      <c r="G22" s="21"/>
      <c r="H22" s="22"/>
      <c r="I22" s="42"/>
      <c r="J22" s="38"/>
      <c r="K22" s="39"/>
      <c r="L22" s="40"/>
      <c r="M22" s="41"/>
      <c r="N22" s="38"/>
      <c r="O22" s="39"/>
      <c r="P22" s="40"/>
      <c r="Q22" s="41"/>
      <c r="R22" s="38"/>
      <c r="S22" s="39"/>
      <c r="T22" s="40"/>
      <c r="U22" s="41"/>
    </row>
    <row r="23" spans="2:21">
      <c r="B23" s="17"/>
      <c r="C23" s="18"/>
      <c r="D23" s="19"/>
      <c r="E23" s="20"/>
      <c r="F23" s="23"/>
      <c r="G23" s="21"/>
      <c r="H23" s="22"/>
      <c r="I23" s="42"/>
      <c r="J23" s="38"/>
      <c r="K23" s="39"/>
      <c r="L23" s="40"/>
      <c r="M23" s="41"/>
      <c r="N23" s="38"/>
      <c r="O23" s="39"/>
      <c r="P23" s="40"/>
      <c r="Q23" s="41"/>
      <c r="R23" s="38"/>
      <c r="S23" s="39"/>
      <c r="T23" s="40"/>
      <c r="U23" s="41"/>
    </row>
    <row r="24" spans="2:21">
      <c r="B24" s="17"/>
      <c r="C24" s="18"/>
      <c r="D24" s="19"/>
      <c r="E24" s="20"/>
      <c r="F24" s="23"/>
      <c r="G24" s="21"/>
      <c r="H24" s="22"/>
      <c r="I24" s="42"/>
      <c r="J24" s="38"/>
      <c r="K24" s="39"/>
      <c r="L24" s="40"/>
      <c r="M24" s="41"/>
      <c r="N24" s="38"/>
      <c r="O24" s="39"/>
      <c r="P24" s="40"/>
      <c r="Q24" s="41"/>
      <c r="R24" s="38"/>
      <c r="S24" s="39"/>
      <c r="T24" s="40"/>
      <c r="U24" s="41"/>
    </row>
    <row r="25" spans="2:21">
      <c r="B25" s="17"/>
      <c r="C25" s="18"/>
      <c r="D25" s="19"/>
      <c r="E25" s="20"/>
      <c r="F25" s="23"/>
      <c r="G25" s="21"/>
      <c r="H25" s="22"/>
      <c r="I25" s="42"/>
      <c r="J25" s="38"/>
      <c r="K25" s="39"/>
      <c r="L25" s="40"/>
      <c r="M25" s="41"/>
      <c r="N25" s="38"/>
      <c r="O25" s="39"/>
      <c r="P25" s="40"/>
      <c r="Q25" s="41"/>
      <c r="R25" s="38"/>
      <c r="S25" s="39"/>
      <c r="T25" s="40"/>
      <c r="U25" s="41"/>
    </row>
    <row r="26" spans="2:21">
      <c r="B26" s="17"/>
      <c r="C26" s="18"/>
      <c r="D26" s="19"/>
      <c r="E26" s="20"/>
      <c r="F26" s="23"/>
      <c r="G26" s="21"/>
      <c r="H26" s="22"/>
      <c r="I26" s="42"/>
      <c r="J26" s="38"/>
      <c r="K26" s="39"/>
      <c r="L26" s="40"/>
      <c r="M26" s="41"/>
      <c r="N26" s="38"/>
      <c r="O26" s="39"/>
      <c r="P26" s="40"/>
      <c r="Q26" s="41"/>
      <c r="R26" s="38"/>
      <c r="S26" s="39"/>
      <c r="T26" s="40"/>
      <c r="U26" s="41"/>
    </row>
    <row r="27" spans="2:21">
      <c r="B27" s="17"/>
      <c r="C27" s="18"/>
      <c r="D27" s="19"/>
      <c r="E27" s="20"/>
      <c r="F27" s="23"/>
      <c r="G27" s="21"/>
      <c r="H27" s="22"/>
      <c r="I27" s="42"/>
      <c r="J27" s="38"/>
      <c r="K27" s="39"/>
      <c r="L27" s="40"/>
      <c r="M27" s="41"/>
      <c r="N27" s="38"/>
      <c r="O27" s="39"/>
      <c r="P27" s="40"/>
      <c r="Q27" s="41"/>
      <c r="R27" s="38"/>
      <c r="S27" s="39"/>
      <c r="T27" s="40"/>
      <c r="U27" s="41"/>
    </row>
    <row r="28" spans="2:21">
      <c r="B28" s="17"/>
      <c r="C28" s="18"/>
      <c r="D28" s="19"/>
      <c r="E28" s="20"/>
      <c r="F28" s="23"/>
      <c r="G28" s="21"/>
      <c r="H28" s="22"/>
      <c r="I28" s="42"/>
      <c r="J28" s="38"/>
      <c r="K28" s="39"/>
      <c r="L28" s="40"/>
      <c r="M28" s="41"/>
      <c r="N28" s="38"/>
      <c r="O28" s="39"/>
      <c r="P28" s="40"/>
      <c r="Q28" s="41"/>
      <c r="R28" s="38"/>
      <c r="S28" s="39"/>
      <c r="T28" s="40"/>
      <c r="U28" s="41"/>
    </row>
    <row r="29" spans="2:21">
      <c r="B29" s="17"/>
      <c r="C29" s="18"/>
      <c r="D29" s="19"/>
      <c r="E29" s="20"/>
      <c r="F29" s="23"/>
      <c r="G29" s="21"/>
      <c r="H29" s="22"/>
      <c r="I29" s="42"/>
      <c r="J29" s="38"/>
      <c r="K29" s="39"/>
      <c r="L29" s="40"/>
      <c r="M29" s="41"/>
      <c r="N29" s="38"/>
      <c r="O29" s="39"/>
      <c r="P29" s="40"/>
      <c r="Q29" s="41"/>
      <c r="R29" s="38"/>
      <c r="S29" s="39"/>
      <c r="T29" s="40"/>
      <c r="U29" s="41"/>
    </row>
    <row r="30" spans="2:21">
      <c r="B30" s="17"/>
      <c r="C30" s="18"/>
      <c r="D30" s="19"/>
      <c r="E30" s="20"/>
      <c r="F30" s="23"/>
      <c r="G30" s="21"/>
      <c r="H30" s="22"/>
      <c r="I30" s="42"/>
      <c r="J30" s="38"/>
      <c r="K30" s="39"/>
      <c r="L30" s="40"/>
      <c r="M30" s="41"/>
      <c r="N30" s="38"/>
      <c r="O30" s="39"/>
      <c r="P30" s="40"/>
      <c r="Q30" s="41"/>
      <c r="R30" s="38"/>
      <c r="S30" s="39"/>
      <c r="T30" s="40"/>
      <c r="U30" s="41"/>
    </row>
    <row r="31" spans="2:21">
      <c r="B31" s="17"/>
      <c r="C31" s="18"/>
      <c r="D31" s="19"/>
      <c r="E31" s="20"/>
      <c r="F31" s="23"/>
      <c r="G31" s="21"/>
      <c r="H31" s="22"/>
      <c r="I31" s="42"/>
      <c r="J31" s="38"/>
      <c r="K31" s="39"/>
      <c r="L31" s="40"/>
      <c r="M31" s="41"/>
      <c r="N31" s="38"/>
      <c r="O31" s="39"/>
      <c r="P31" s="40"/>
      <c r="Q31" s="41"/>
      <c r="R31" s="38"/>
      <c r="S31" s="39"/>
      <c r="T31" s="40"/>
      <c r="U31" s="41"/>
    </row>
    <row r="32" spans="2:21">
      <c r="B32" s="17"/>
      <c r="C32" s="18"/>
      <c r="D32" s="19"/>
      <c r="E32" s="20"/>
      <c r="F32" s="23"/>
      <c r="G32" s="21"/>
      <c r="H32" s="22"/>
      <c r="I32" s="42"/>
      <c r="J32" s="38"/>
      <c r="K32" s="39"/>
      <c r="L32" s="40"/>
      <c r="M32" s="41"/>
      <c r="N32" s="38"/>
      <c r="O32" s="39"/>
      <c r="P32" s="40"/>
      <c r="Q32" s="41"/>
      <c r="R32" s="38"/>
      <c r="S32" s="39"/>
      <c r="T32" s="40"/>
      <c r="U32" s="41"/>
    </row>
    <row r="33" spans="2:21">
      <c r="B33" s="17"/>
      <c r="C33" s="18"/>
      <c r="D33" s="19"/>
      <c r="E33" s="20"/>
      <c r="F33" s="23"/>
      <c r="G33" s="21"/>
      <c r="H33" s="22"/>
      <c r="I33" s="42"/>
      <c r="J33" s="38"/>
      <c r="K33" s="39"/>
      <c r="L33" s="40"/>
      <c r="M33" s="41"/>
      <c r="N33" s="38"/>
      <c r="O33" s="39"/>
      <c r="P33" s="40"/>
      <c r="Q33" s="41"/>
      <c r="R33" s="38"/>
      <c r="S33" s="39"/>
      <c r="T33" s="40"/>
      <c r="U33" s="41"/>
    </row>
    <row r="34" spans="2:21">
      <c r="B34" s="17"/>
      <c r="C34" s="18"/>
      <c r="D34" s="19"/>
      <c r="E34" s="20"/>
      <c r="F34" s="23"/>
      <c r="G34" s="21"/>
      <c r="H34" s="22"/>
      <c r="I34" s="42"/>
      <c r="J34" s="38"/>
      <c r="K34" s="39"/>
      <c r="L34" s="40"/>
      <c r="M34" s="41"/>
      <c r="N34" s="38"/>
      <c r="O34" s="39"/>
      <c r="P34" s="40"/>
      <c r="Q34" s="41"/>
      <c r="R34" s="38"/>
      <c r="S34" s="39"/>
      <c r="T34" s="40"/>
      <c r="U34" s="41"/>
    </row>
    <row r="35" spans="2:21">
      <c r="B35" s="17"/>
      <c r="C35" s="18"/>
      <c r="D35" s="19"/>
      <c r="E35" s="20"/>
      <c r="F35" s="23"/>
      <c r="G35" s="21"/>
      <c r="H35" s="22"/>
      <c r="I35" s="42"/>
      <c r="J35" s="38"/>
      <c r="K35" s="39"/>
      <c r="L35" s="40"/>
      <c r="M35" s="41"/>
      <c r="N35" s="38"/>
      <c r="O35" s="39"/>
      <c r="P35" s="40"/>
      <c r="Q35" s="41"/>
      <c r="R35" s="38"/>
      <c r="S35" s="39"/>
      <c r="T35" s="40"/>
      <c r="U35" s="41"/>
    </row>
    <row r="36" spans="2:21">
      <c r="B36" s="17"/>
      <c r="C36" s="18"/>
      <c r="D36" s="19"/>
      <c r="E36" s="20"/>
      <c r="F36" s="23"/>
      <c r="G36" s="21"/>
      <c r="H36" s="22"/>
      <c r="I36" s="42"/>
      <c r="J36" s="38"/>
      <c r="K36" s="39"/>
      <c r="L36" s="40"/>
      <c r="M36" s="41"/>
      <c r="N36" s="38"/>
      <c r="O36" s="39"/>
      <c r="P36" s="40"/>
      <c r="Q36" s="41"/>
      <c r="R36" s="38"/>
      <c r="S36" s="39"/>
      <c r="T36" s="40"/>
      <c r="U36" s="41"/>
    </row>
    <row r="37" spans="2:21">
      <c r="B37" s="17"/>
      <c r="C37" s="18"/>
      <c r="D37" s="19"/>
      <c r="E37" s="20"/>
      <c r="F37" s="23"/>
      <c r="G37" s="21"/>
      <c r="H37" s="22"/>
      <c r="I37" s="42"/>
      <c r="J37" s="38"/>
      <c r="K37" s="39"/>
      <c r="L37" s="40"/>
      <c r="M37" s="41"/>
      <c r="N37" s="38"/>
      <c r="O37" s="39"/>
      <c r="P37" s="40"/>
      <c r="Q37" s="41"/>
      <c r="R37" s="38"/>
      <c r="S37" s="39"/>
      <c r="T37" s="40"/>
      <c r="U37" s="41"/>
    </row>
    <row r="38" spans="2:21">
      <c r="B38" s="17"/>
      <c r="C38" s="18"/>
      <c r="D38" s="19"/>
      <c r="E38" s="20"/>
      <c r="F38" s="23"/>
      <c r="G38" s="21"/>
      <c r="H38" s="22"/>
      <c r="I38" s="42"/>
      <c r="J38" s="38"/>
      <c r="K38" s="39"/>
      <c r="L38" s="40"/>
      <c r="M38" s="41"/>
      <c r="N38" s="38"/>
      <c r="O38" s="39"/>
      <c r="P38" s="40"/>
      <c r="Q38" s="41"/>
      <c r="R38" s="38"/>
      <c r="S38" s="39"/>
      <c r="T38" s="40"/>
      <c r="U38" s="41"/>
    </row>
    <row r="39" spans="2:21">
      <c r="B39" s="17"/>
      <c r="C39" s="18"/>
      <c r="D39" s="19"/>
      <c r="E39" s="20"/>
      <c r="F39" s="23"/>
      <c r="G39" s="21"/>
      <c r="H39" s="22"/>
      <c r="I39" s="42"/>
      <c r="J39" s="38"/>
      <c r="K39" s="39"/>
      <c r="L39" s="40"/>
      <c r="M39" s="41"/>
      <c r="N39" s="38"/>
      <c r="O39" s="39"/>
      <c r="P39" s="40"/>
      <c r="Q39" s="41"/>
      <c r="R39" s="38"/>
      <c r="S39" s="39"/>
      <c r="T39" s="40"/>
      <c r="U39" s="41"/>
    </row>
    <row r="40" spans="2:21">
      <c r="B40" s="17"/>
      <c r="C40" s="18"/>
      <c r="D40" s="19"/>
      <c r="E40" s="20"/>
      <c r="F40" s="23"/>
      <c r="G40" s="21"/>
      <c r="H40" s="22"/>
      <c r="I40" s="42"/>
      <c r="J40" s="38"/>
      <c r="K40" s="39"/>
      <c r="L40" s="40"/>
      <c r="M40" s="41"/>
      <c r="N40" s="38"/>
      <c r="O40" s="39"/>
      <c r="P40" s="40"/>
      <c r="Q40" s="41"/>
      <c r="R40" s="38"/>
      <c r="S40" s="39"/>
      <c r="T40" s="40"/>
      <c r="U40" s="41"/>
    </row>
    <row r="41" spans="2:21">
      <c r="B41" s="17"/>
      <c r="C41" s="18"/>
      <c r="D41" s="19"/>
      <c r="E41" s="20"/>
      <c r="F41" s="23"/>
      <c r="G41" s="21"/>
      <c r="H41" s="22"/>
      <c r="I41" s="42"/>
      <c r="J41" s="38"/>
      <c r="K41" s="39"/>
      <c r="L41" s="40"/>
      <c r="M41" s="41"/>
      <c r="N41" s="38"/>
      <c r="O41" s="39"/>
      <c r="P41" s="40"/>
      <c r="Q41" s="41"/>
      <c r="R41" s="38"/>
      <c r="S41" s="39"/>
      <c r="T41" s="40"/>
      <c r="U41" s="41"/>
    </row>
    <row r="42" spans="2:21">
      <c r="B42" s="17"/>
      <c r="C42" s="18"/>
      <c r="D42" s="19"/>
      <c r="E42" s="20"/>
      <c r="F42" s="23"/>
      <c r="G42" s="21"/>
      <c r="H42" s="22"/>
      <c r="I42" s="42"/>
      <c r="J42" s="38"/>
      <c r="K42" s="39"/>
      <c r="L42" s="40"/>
      <c r="M42" s="41"/>
      <c r="N42" s="38"/>
      <c r="O42" s="39"/>
      <c r="P42" s="40"/>
      <c r="Q42" s="41"/>
      <c r="R42" s="38"/>
      <c r="S42" s="39"/>
      <c r="T42" s="40"/>
      <c r="U42" s="41"/>
    </row>
    <row r="43" spans="2:21">
      <c r="B43" s="17"/>
      <c r="C43" s="18"/>
      <c r="D43" s="19"/>
      <c r="E43" s="20"/>
      <c r="F43" s="23"/>
      <c r="G43" s="21"/>
      <c r="H43" s="22"/>
      <c r="I43" s="42"/>
      <c r="J43" s="38"/>
      <c r="K43" s="39"/>
      <c r="L43" s="40"/>
      <c r="M43" s="41"/>
      <c r="N43" s="38"/>
      <c r="O43" s="39"/>
      <c r="P43" s="40"/>
      <c r="Q43" s="41"/>
      <c r="R43" s="38"/>
      <c r="S43" s="39"/>
      <c r="T43" s="40"/>
      <c r="U43" s="41"/>
    </row>
    <row r="44" spans="2:21">
      <c r="B44" s="17"/>
      <c r="C44" s="18"/>
      <c r="D44" s="19"/>
      <c r="E44" s="20"/>
      <c r="F44" s="23"/>
      <c r="G44" s="21"/>
      <c r="H44" s="22"/>
      <c r="I44" s="42"/>
      <c r="J44" s="38"/>
      <c r="K44" s="39"/>
      <c r="L44" s="40"/>
      <c r="M44" s="41"/>
      <c r="N44" s="38"/>
      <c r="O44" s="39"/>
      <c r="P44" s="40"/>
      <c r="Q44" s="41"/>
      <c r="R44" s="38"/>
      <c r="S44" s="39"/>
      <c r="T44" s="40"/>
      <c r="U44" s="41"/>
    </row>
    <row r="45" spans="2:21">
      <c r="B45" s="17"/>
      <c r="C45" s="18"/>
      <c r="D45" s="19"/>
      <c r="E45" s="20"/>
      <c r="F45" s="23"/>
      <c r="G45" s="21"/>
      <c r="H45" s="22"/>
      <c r="I45" s="42"/>
      <c r="J45" s="38"/>
      <c r="K45" s="39"/>
      <c r="L45" s="40"/>
      <c r="M45" s="41"/>
      <c r="N45" s="38"/>
      <c r="O45" s="39"/>
      <c r="P45" s="40"/>
      <c r="Q45" s="41"/>
      <c r="R45" s="38"/>
      <c r="S45" s="39"/>
      <c r="T45" s="40"/>
      <c r="U45" s="41"/>
    </row>
    <row r="46" spans="2:21">
      <c r="B46" s="17"/>
      <c r="C46" s="18"/>
      <c r="D46" s="19"/>
      <c r="E46" s="20"/>
      <c r="F46" s="23"/>
      <c r="G46" s="21"/>
      <c r="H46" s="22"/>
      <c r="I46" s="42"/>
      <c r="J46" s="38"/>
      <c r="K46" s="39"/>
      <c r="L46" s="40"/>
      <c r="M46" s="41"/>
      <c r="N46" s="38"/>
      <c r="O46" s="39"/>
      <c r="P46" s="40"/>
      <c r="Q46" s="41"/>
      <c r="R46" s="38"/>
      <c r="S46" s="39"/>
      <c r="T46" s="40"/>
      <c r="U46" s="41"/>
    </row>
    <row r="47" spans="2:21">
      <c r="B47" s="17"/>
      <c r="C47" s="18"/>
      <c r="D47" s="19"/>
      <c r="E47" s="20"/>
      <c r="F47" s="23"/>
      <c r="G47" s="21"/>
      <c r="H47" s="22"/>
      <c r="I47" s="42"/>
      <c r="J47" s="38"/>
      <c r="K47" s="39"/>
      <c r="L47" s="40"/>
      <c r="M47" s="41"/>
      <c r="N47" s="38"/>
      <c r="O47" s="39"/>
      <c r="P47" s="40"/>
      <c r="Q47" s="41"/>
      <c r="R47" s="38"/>
      <c r="S47" s="39"/>
      <c r="T47" s="40"/>
      <c r="U47" s="41"/>
    </row>
    <row r="48" spans="2:21">
      <c r="B48" s="17"/>
      <c r="C48" s="18"/>
      <c r="D48" s="19"/>
      <c r="E48" s="20"/>
      <c r="F48" s="23"/>
      <c r="G48" s="21"/>
      <c r="H48" s="22"/>
      <c r="I48" s="42"/>
      <c r="J48" s="38"/>
      <c r="K48" s="39"/>
      <c r="L48" s="40"/>
      <c r="M48" s="41"/>
      <c r="N48" s="38"/>
      <c r="O48" s="39"/>
      <c r="P48" s="40"/>
      <c r="Q48" s="41"/>
      <c r="R48" s="38"/>
      <c r="S48" s="39"/>
      <c r="T48" s="40"/>
      <c r="U48" s="41"/>
    </row>
    <row r="49" spans="2:21">
      <c r="B49" s="17"/>
      <c r="C49" s="18"/>
      <c r="D49" s="19"/>
      <c r="E49" s="20"/>
      <c r="F49" s="23"/>
      <c r="G49" s="21"/>
      <c r="H49" s="22"/>
      <c r="I49" s="42"/>
      <c r="J49" s="38"/>
      <c r="K49" s="39"/>
      <c r="L49" s="40"/>
      <c r="M49" s="41"/>
      <c r="N49" s="38"/>
      <c r="O49" s="39"/>
      <c r="P49" s="40"/>
      <c r="Q49" s="41"/>
      <c r="R49" s="38"/>
      <c r="S49" s="39"/>
      <c r="T49" s="40"/>
      <c r="U49" s="41"/>
    </row>
    <row r="50" spans="2:21">
      <c r="B50" s="17"/>
      <c r="C50" s="18"/>
      <c r="D50" s="19"/>
      <c r="E50" s="20"/>
      <c r="F50" s="23"/>
      <c r="G50" s="21"/>
      <c r="H50" s="22"/>
      <c r="I50" s="42"/>
      <c r="J50" s="38"/>
      <c r="K50" s="39"/>
      <c r="L50" s="40"/>
      <c r="M50" s="41"/>
      <c r="N50" s="38"/>
      <c r="O50" s="39"/>
      <c r="P50" s="40"/>
      <c r="Q50" s="41"/>
      <c r="R50" s="38"/>
      <c r="S50" s="39"/>
      <c r="T50" s="40"/>
      <c r="U50" s="41"/>
    </row>
    <row r="51" spans="2:21">
      <c r="B51" s="17"/>
      <c r="C51" s="18"/>
      <c r="D51" s="19"/>
      <c r="E51" s="20"/>
      <c r="F51" s="23"/>
      <c r="G51" s="21"/>
      <c r="H51" s="22"/>
      <c r="I51" s="42"/>
      <c r="J51" s="38"/>
      <c r="K51" s="39"/>
      <c r="L51" s="40"/>
      <c r="M51" s="41"/>
      <c r="N51" s="38"/>
      <c r="O51" s="39"/>
      <c r="P51" s="40"/>
      <c r="Q51" s="41"/>
      <c r="R51" s="38"/>
      <c r="S51" s="39"/>
      <c r="T51" s="40"/>
      <c r="U51" s="41"/>
    </row>
    <row r="52" spans="2:21">
      <c r="B52" s="17"/>
      <c r="C52" s="18"/>
      <c r="D52" s="19"/>
      <c r="E52" s="20"/>
      <c r="F52" s="23"/>
      <c r="G52" s="21"/>
      <c r="H52" s="22"/>
      <c r="I52" s="42"/>
      <c r="J52" s="38"/>
      <c r="K52" s="39"/>
      <c r="L52" s="40"/>
      <c r="M52" s="41"/>
      <c r="N52" s="38"/>
      <c r="O52" s="39"/>
      <c r="P52" s="40"/>
      <c r="Q52" s="41"/>
      <c r="R52" s="38"/>
      <c r="S52" s="39"/>
      <c r="T52" s="40"/>
      <c r="U52" s="41"/>
    </row>
    <row r="53" spans="2:21">
      <c r="B53" s="17"/>
      <c r="C53" s="18"/>
      <c r="D53" s="19"/>
      <c r="E53" s="20"/>
      <c r="F53" s="23"/>
      <c r="G53" s="21"/>
      <c r="H53" s="22"/>
      <c r="I53" s="42"/>
      <c r="J53" s="38"/>
      <c r="K53" s="39"/>
      <c r="L53" s="40"/>
      <c r="M53" s="41"/>
      <c r="N53" s="38"/>
      <c r="O53" s="39"/>
      <c r="P53" s="40"/>
      <c r="Q53" s="41"/>
      <c r="R53" s="38"/>
      <c r="S53" s="39"/>
      <c r="T53" s="40"/>
      <c r="U53" s="41"/>
    </row>
    <row r="54" spans="2:21">
      <c r="B54" s="17"/>
      <c r="C54" s="18"/>
      <c r="D54" s="19"/>
      <c r="E54" s="20"/>
      <c r="F54" s="23"/>
      <c r="G54" s="21"/>
      <c r="H54" s="22"/>
      <c r="I54" s="42"/>
      <c r="J54" s="38"/>
      <c r="K54" s="39"/>
      <c r="L54" s="40"/>
      <c r="M54" s="41"/>
      <c r="N54" s="38"/>
      <c r="O54" s="39"/>
      <c r="P54" s="40"/>
      <c r="Q54" s="41"/>
      <c r="R54" s="38"/>
      <c r="S54" s="39"/>
      <c r="T54" s="40"/>
      <c r="U54" s="41"/>
    </row>
    <row r="55" spans="2:21">
      <c r="B55" s="17"/>
      <c r="C55" s="18"/>
      <c r="D55" s="19"/>
      <c r="E55" s="20"/>
      <c r="F55" s="23"/>
      <c r="G55" s="21"/>
      <c r="H55" s="22"/>
      <c r="I55" s="42"/>
      <c r="J55" s="38"/>
      <c r="K55" s="39"/>
      <c r="L55" s="40"/>
      <c r="M55" s="41"/>
      <c r="N55" s="38"/>
      <c r="O55" s="39"/>
      <c r="P55" s="40"/>
      <c r="Q55" s="41"/>
      <c r="R55" s="38"/>
      <c r="S55" s="39"/>
      <c r="T55" s="40"/>
      <c r="U55" s="41"/>
    </row>
    <row r="56" spans="2:21">
      <c r="B56" s="17"/>
      <c r="C56" s="18"/>
      <c r="D56" s="19"/>
      <c r="E56" s="20"/>
      <c r="F56" s="23"/>
      <c r="G56" s="21"/>
      <c r="H56" s="22"/>
      <c r="I56" s="42"/>
      <c r="J56" s="38"/>
      <c r="K56" s="39"/>
      <c r="L56" s="40"/>
      <c r="M56" s="41"/>
      <c r="N56" s="38"/>
      <c r="O56" s="39"/>
      <c r="P56" s="40"/>
      <c r="Q56" s="41"/>
      <c r="R56" s="38"/>
      <c r="S56" s="39"/>
      <c r="T56" s="40"/>
      <c r="U56" s="41"/>
    </row>
    <row r="57" spans="2:21">
      <c r="B57" s="17"/>
      <c r="C57" s="18"/>
      <c r="D57" s="19"/>
      <c r="E57" s="20"/>
      <c r="F57" s="23"/>
      <c r="G57" s="21"/>
      <c r="H57" s="22"/>
      <c r="I57" s="42"/>
      <c r="J57" s="38"/>
      <c r="K57" s="39"/>
      <c r="L57" s="40"/>
      <c r="M57" s="41"/>
      <c r="N57" s="38"/>
      <c r="O57" s="39"/>
      <c r="P57" s="40"/>
      <c r="Q57" s="41"/>
      <c r="R57" s="38"/>
      <c r="S57" s="39"/>
      <c r="T57" s="40"/>
      <c r="U57" s="41"/>
    </row>
    <row r="58" spans="2:21">
      <c r="B58" s="17"/>
      <c r="C58" s="18"/>
      <c r="D58" s="19"/>
      <c r="E58" s="20"/>
      <c r="F58" s="23"/>
      <c r="G58" s="21"/>
      <c r="H58" s="22"/>
      <c r="I58" s="42"/>
      <c r="J58" s="38"/>
      <c r="K58" s="39"/>
      <c r="L58" s="40"/>
      <c r="M58" s="41"/>
      <c r="N58" s="38"/>
      <c r="O58" s="39"/>
      <c r="P58" s="40"/>
      <c r="Q58" s="41"/>
      <c r="R58" s="38"/>
      <c r="S58" s="39"/>
      <c r="T58" s="40"/>
      <c r="U58" s="41"/>
    </row>
    <row r="59" spans="2:21">
      <c r="B59" s="17"/>
      <c r="C59" s="18"/>
      <c r="D59" s="19"/>
      <c r="E59" s="20"/>
      <c r="F59" s="23"/>
      <c r="G59" s="21"/>
      <c r="H59" s="22"/>
      <c r="I59" s="42"/>
      <c r="J59" s="38"/>
      <c r="K59" s="39"/>
      <c r="L59" s="40"/>
      <c r="M59" s="41"/>
      <c r="N59" s="38"/>
      <c r="O59" s="39"/>
      <c r="P59" s="40"/>
      <c r="Q59" s="41"/>
      <c r="R59" s="38"/>
      <c r="S59" s="39"/>
      <c r="T59" s="40"/>
      <c r="U59" s="41"/>
    </row>
    <row r="60" spans="2:21">
      <c r="B60" s="17"/>
      <c r="C60" s="18"/>
      <c r="D60" s="19"/>
      <c r="E60" s="20"/>
      <c r="F60" s="23"/>
      <c r="G60" s="21"/>
      <c r="H60" s="22"/>
      <c r="I60" s="42"/>
      <c r="J60" s="38"/>
      <c r="K60" s="39"/>
      <c r="L60" s="40"/>
      <c r="M60" s="41"/>
      <c r="N60" s="38"/>
      <c r="O60" s="39"/>
      <c r="P60" s="40"/>
      <c r="Q60" s="41"/>
      <c r="R60" s="38"/>
      <c r="S60" s="39"/>
      <c r="T60" s="40"/>
      <c r="U60" s="41"/>
    </row>
    <row r="61" spans="2:21">
      <c r="B61" s="17"/>
      <c r="C61" s="18"/>
      <c r="D61" s="19"/>
      <c r="E61" s="20"/>
      <c r="F61" s="23"/>
      <c r="G61" s="21"/>
      <c r="H61" s="22"/>
      <c r="I61" s="42"/>
      <c r="J61" s="38"/>
      <c r="K61" s="39"/>
      <c r="L61" s="40"/>
      <c r="M61" s="41"/>
      <c r="N61" s="38"/>
      <c r="O61" s="39"/>
      <c r="P61" s="40"/>
      <c r="Q61" s="41"/>
      <c r="R61" s="38"/>
      <c r="S61" s="39"/>
      <c r="T61" s="40"/>
      <c r="U61" s="41"/>
    </row>
    <row r="62" spans="2:21">
      <c r="B62" s="17"/>
      <c r="C62" s="18"/>
      <c r="D62" s="19"/>
      <c r="E62" s="20"/>
      <c r="F62" s="23"/>
      <c r="G62" s="21"/>
      <c r="H62" s="22"/>
      <c r="I62" s="42"/>
      <c r="J62" s="38"/>
      <c r="K62" s="39"/>
      <c r="L62" s="40"/>
      <c r="M62" s="41"/>
      <c r="N62" s="38"/>
      <c r="O62" s="39"/>
      <c r="P62" s="40"/>
      <c r="Q62" s="41"/>
      <c r="R62" s="38"/>
      <c r="S62" s="39"/>
      <c r="T62" s="40"/>
      <c r="U62" s="41"/>
    </row>
    <row r="63" spans="2:21">
      <c r="B63" s="17"/>
      <c r="C63" s="18"/>
      <c r="D63" s="19"/>
      <c r="E63" s="20"/>
      <c r="F63" s="23"/>
      <c r="G63" s="21"/>
      <c r="H63" s="22"/>
      <c r="I63" s="42"/>
      <c r="J63" s="38"/>
      <c r="K63" s="39"/>
      <c r="L63" s="40"/>
      <c r="M63" s="41"/>
      <c r="N63" s="38"/>
      <c r="O63" s="39"/>
      <c r="P63" s="40"/>
      <c r="Q63" s="41"/>
      <c r="R63" s="38"/>
      <c r="S63" s="39"/>
      <c r="T63" s="40"/>
      <c r="U63" s="41"/>
    </row>
    <row r="64" spans="2:21">
      <c r="B64" s="17"/>
      <c r="C64" s="18"/>
      <c r="D64" s="19"/>
      <c r="E64" s="20"/>
      <c r="F64" s="23"/>
      <c r="G64" s="21"/>
      <c r="H64" s="22"/>
      <c r="I64" s="42"/>
      <c r="J64" s="38"/>
      <c r="K64" s="39"/>
      <c r="L64" s="40"/>
      <c r="M64" s="41"/>
      <c r="N64" s="38"/>
      <c r="O64" s="39"/>
      <c r="P64" s="40"/>
      <c r="Q64" s="41"/>
      <c r="R64" s="38"/>
      <c r="S64" s="39"/>
      <c r="T64" s="40"/>
      <c r="U64" s="41"/>
    </row>
    <row r="65" spans="2:21">
      <c r="B65" s="17"/>
      <c r="C65" s="18"/>
      <c r="D65" s="19"/>
      <c r="E65" s="20"/>
      <c r="F65" s="23"/>
      <c r="G65" s="21"/>
      <c r="H65" s="22"/>
      <c r="I65" s="42"/>
      <c r="J65" s="38"/>
      <c r="K65" s="39"/>
      <c r="L65" s="40"/>
      <c r="M65" s="41"/>
      <c r="N65" s="38"/>
      <c r="O65" s="39"/>
      <c r="P65" s="40"/>
      <c r="Q65" s="41"/>
      <c r="R65" s="38"/>
      <c r="S65" s="39"/>
      <c r="T65" s="40"/>
      <c r="U65" s="41"/>
    </row>
    <row r="66" spans="2:21">
      <c r="B66" s="17"/>
      <c r="C66" s="18"/>
      <c r="D66" s="19"/>
      <c r="E66" s="20"/>
      <c r="F66" s="23"/>
      <c r="G66" s="21"/>
      <c r="H66" s="22"/>
      <c r="I66" s="42"/>
      <c r="J66" s="38"/>
      <c r="K66" s="39"/>
      <c r="L66" s="40"/>
      <c r="M66" s="41"/>
      <c r="N66" s="38"/>
      <c r="O66" s="39"/>
      <c r="P66" s="40"/>
      <c r="Q66" s="41"/>
      <c r="R66" s="38"/>
      <c r="S66" s="39"/>
      <c r="T66" s="40"/>
      <c r="U66" s="41"/>
    </row>
    <row r="67" spans="2:21">
      <c r="B67" s="17"/>
      <c r="C67" s="18"/>
      <c r="D67" s="19"/>
      <c r="E67" s="20"/>
      <c r="F67" s="23"/>
      <c r="G67" s="21"/>
      <c r="H67" s="22"/>
      <c r="I67" s="42"/>
      <c r="J67" s="38"/>
      <c r="K67" s="39"/>
      <c r="L67" s="40"/>
      <c r="M67" s="41"/>
      <c r="N67" s="38"/>
      <c r="O67" s="39"/>
      <c r="P67" s="40"/>
      <c r="Q67" s="41"/>
      <c r="R67" s="38"/>
      <c r="S67" s="39"/>
      <c r="T67" s="40"/>
      <c r="U67" s="41"/>
    </row>
    <row r="68" spans="2:21">
      <c r="B68" s="17"/>
      <c r="C68" s="18"/>
      <c r="D68" s="19"/>
      <c r="E68" s="20"/>
      <c r="F68" s="23"/>
      <c r="G68" s="21"/>
      <c r="H68" s="22"/>
      <c r="I68" s="42"/>
      <c r="J68" s="38"/>
      <c r="K68" s="39"/>
      <c r="L68" s="40"/>
      <c r="M68" s="41"/>
      <c r="N68" s="38"/>
      <c r="O68" s="39"/>
      <c r="P68" s="40"/>
      <c r="Q68" s="41"/>
      <c r="R68" s="38"/>
      <c r="S68" s="39"/>
      <c r="T68" s="40"/>
      <c r="U68" s="41"/>
    </row>
    <row r="69" spans="2:21">
      <c r="B69" s="17"/>
      <c r="C69" s="18"/>
      <c r="D69" s="19"/>
      <c r="E69" s="20"/>
      <c r="F69" s="23"/>
      <c r="G69" s="21"/>
      <c r="H69" s="22"/>
      <c r="I69" s="42"/>
      <c r="J69" s="38"/>
      <c r="K69" s="39"/>
      <c r="L69" s="40"/>
      <c r="M69" s="41"/>
      <c r="N69" s="38"/>
      <c r="O69" s="39"/>
      <c r="P69" s="40"/>
      <c r="Q69" s="41"/>
      <c r="R69" s="38"/>
      <c r="S69" s="39"/>
      <c r="T69" s="40"/>
      <c r="U69" s="41"/>
    </row>
    <row r="70" spans="2:21">
      <c r="B70" s="17"/>
      <c r="C70" s="18"/>
      <c r="D70" s="19"/>
      <c r="E70" s="20"/>
      <c r="F70" s="23"/>
      <c r="G70" s="21"/>
      <c r="H70" s="22"/>
      <c r="I70" s="42"/>
      <c r="J70" s="38"/>
      <c r="K70" s="39"/>
      <c r="L70" s="40"/>
      <c r="M70" s="41"/>
      <c r="N70" s="38"/>
      <c r="O70" s="39"/>
      <c r="P70" s="40"/>
      <c r="Q70" s="41"/>
      <c r="R70" s="38"/>
      <c r="S70" s="39"/>
      <c r="T70" s="40"/>
      <c r="U70" s="41"/>
    </row>
    <row r="71" spans="2:21">
      <c r="B71" s="17"/>
      <c r="C71" s="18"/>
      <c r="D71" s="19"/>
      <c r="E71" s="20"/>
      <c r="F71" s="23"/>
      <c r="G71" s="21"/>
      <c r="H71" s="22"/>
      <c r="I71" s="42"/>
      <c r="J71" s="38"/>
      <c r="K71" s="39"/>
      <c r="L71" s="40"/>
      <c r="M71" s="41"/>
      <c r="N71" s="38"/>
      <c r="O71" s="39"/>
      <c r="P71" s="40"/>
      <c r="Q71" s="41"/>
      <c r="R71" s="38"/>
      <c r="S71" s="39"/>
      <c r="T71" s="40"/>
      <c r="U71" s="41"/>
    </row>
    <row r="72" spans="2:21">
      <c r="B72" s="17"/>
      <c r="C72" s="18"/>
      <c r="D72" s="19"/>
      <c r="E72" s="20"/>
      <c r="F72" s="23"/>
      <c r="G72" s="21"/>
      <c r="H72" s="22"/>
      <c r="I72" s="42"/>
      <c r="J72" s="38"/>
      <c r="K72" s="39"/>
      <c r="L72" s="40"/>
      <c r="M72" s="41"/>
      <c r="N72" s="38"/>
      <c r="O72" s="39"/>
      <c r="P72" s="40"/>
      <c r="Q72" s="41"/>
      <c r="R72" s="38"/>
      <c r="S72" s="39"/>
      <c r="T72" s="40"/>
      <c r="U72" s="41"/>
    </row>
    <row r="73" spans="2:21">
      <c r="B73" s="17"/>
      <c r="C73" s="18"/>
      <c r="D73" s="19"/>
      <c r="E73" s="20"/>
      <c r="F73" s="23"/>
      <c r="G73" s="21"/>
      <c r="H73" s="22"/>
      <c r="I73" s="42"/>
      <c r="J73" s="38"/>
      <c r="K73" s="39"/>
      <c r="L73" s="40"/>
      <c r="M73" s="41"/>
      <c r="N73" s="38"/>
      <c r="O73" s="39"/>
      <c r="P73" s="40"/>
      <c r="Q73" s="41"/>
      <c r="R73" s="38"/>
      <c r="S73" s="39"/>
      <c r="T73" s="40"/>
      <c r="U73" s="41"/>
    </row>
    <row r="74" spans="2:21">
      <c r="B74" s="17"/>
      <c r="C74" s="18"/>
      <c r="D74" s="19"/>
      <c r="E74" s="20"/>
      <c r="F74" s="23"/>
      <c r="G74" s="21"/>
      <c r="H74" s="22"/>
      <c r="I74" s="42"/>
      <c r="J74" s="38"/>
      <c r="K74" s="39"/>
      <c r="L74" s="40"/>
      <c r="M74" s="41"/>
      <c r="N74" s="38"/>
      <c r="O74" s="39"/>
      <c r="P74" s="40"/>
      <c r="Q74" s="41"/>
      <c r="R74" s="38"/>
      <c r="S74" s="39"/>
      <c r="T74" s="40"/>
      <c r="U74" s="41"/>
    </row>
    <row r="75" spans="2:21">
      <c r="B75" s="17"/>
      <c r="C75" s="18"/>
      <c r="D75" s="19"/>
      <c r="E75" s="20"/>
      <c r="F75" s="23"/>
      <c r="G75" s="21"/>
      <c r="H75" s="22"/>
      <c r="I75" s="42"/>
      <c r="J75" s="38"/>
      <c r="K75" s="39"/>
      <c r="L75" s="40"/>
      <c r="M75" s="41"/>
      <c r="N75" s="38"/>
      <c r="O75" s="39"/>
      <c r="P75" s="40"/>
      <c r="Q75" s="41"/>
      <c r="R75" s="38"/>
      <c r="S75" s="39"/>
      <c r="T75" s="40"/>
      <c r="U75" s="41"/>
    </row>
    <row r="76" spans="2:21">
      <c r="B76" s="17"/>
      <c r="C76" s="18"/>
      <c r="D76" s="19"/>
      <c r="E76" s="20"/>
      <c r="F76" s="23"/>
      <c r="G76" s="21"/>
      <c r="H76" s="22"/>
      <c r="I76" s="42"/>
      <c r="J76" s="38"/>
      <c r="K76" s="39"/>
      <c r="L76" s="40"/>
      <c r="M76" s="41"/>
      <c r="N76" s="38"/>
      <c r="O76" s="39"/>
      <c r="P76" s="40"/>
      <c r="Q76" s="41"/>
      <c r="R76" s="38"/>
      <c r="S76" s="39"/>
      <c r="T76" s="40"/>
      <c r="U76" s="41"/>
    </row>
    <row r="77" spans="2:21">
      <c r="B77" s="17"/>
      <c r="C77" s="18"/>
      <c r="D77" s="19"/>
      <c r="E77" s="20"/>
      <c r="F77" s="23"/>
      <c r="G77" s="21"/>
      <c r="H77" s="22"/>
      <c r="I77" s="42"/>
      <c r="J77" s="38"/>
      <c r="K77" s="39"/>
      <c r="L77" s="40"/>
      <c r="M77" s="41"/>
      <c r="N77" s="38"/>
      <c r="O77" s="39"/>
      <c r="P77" s="40"/>
      <c r="Q77" s="41"/>
      <c r="R77" s="38"/>
      <c r="S77" s="39"/>
      <c r="T77" s="40"/>
      <c r="U77" s="41"/>
    </row>
    <row r="78" spans="2:21">
      <c r="B78" s="17"/>
      <c r="C78" s="18"/>
      <c r="D78" s="19"/>
      <c r="E78" s="20"/>
      <c r="F78" s="23"/>
      <c r="G78" s="21"/>
      <c r="H78" s="22"/>
      <c r="I78" s="42"/>
      <c r="J78" s="38"/>
      <c r="K78" s="39"/>
      <c r="L78" s="40"/>
      <c r="M78" s="41"/>
      <c r="N78" s="38"/>
      <c r="O78" s="39"/>
      <c r="P78" s="40"/>
      <c r="Q78" s="41"/>
      <c r="R78" s="38"/>
      <c r="S78" s="39"/>
      <c r="T78" s="40"/>
      <c r="U78" s="41"/>
    </row>
    <row r="79" spans="2:21">
      <c r="B79" s="17"/>
      <c r="C79" s="18"/>
      <c r="D79" s="19"/>
      <c r="E79" s="20"/>
      <c r="F79" s="23"/>
      <c r="G79" s="21"/>
      <c r="H79" s="22"/>
      <c r="I79" s="42"/>
      <c r="J79" s="38"/>
      <c r="K79" s="39"/>
      <c r="L79" s="40"/>
      <c r="M79" s="41"/>
      <c r="N79" s="38"/>
      <c r="O79" s="39"/>
      <c r="P79" s="40"/>
      <c r="Q79" s="41"/>
      <c r="R79" s="38"/>
      <c r="S79" s="39"/>
      <c r="T79" s="40"/>
      <c r="U79" s="41"/>
    </row>
    <row r="80" spans="2:21">
      <c r="B80" s="17"/>
      <c r="C80" s="18"/>
      <c r="D80" s="19"/>
      <c r="E80" s="20"/>
      <c r="F80" s="23"/>
      <c r="G80" s="21"/>
      <c r="H80" s="22"/>
      <c r="I80" s="42"/>
      <c r="J80" s="38"/>
      <c r="K80" s="39"/>
      <c r="L80" s="40"/>
      <c r="M80" s="41"/>
      <c r="N80" s="38"/>
      <c r="O80" s="39"/>
      <c r="P80" s="40"/>
      <c r="Q80" s="41"/>
      <c r="R80" s="38"/>
      <c r="S80" s="39"/>
      <c r="T80" s="40"/>
      <c r="U80" s="41"/>
    </row>
    <row r="81" spans="2:21">
      <c r="B81" s="17"/>
      <c r="C81" s="18"/>
      <c r="D81" s="19"/>
      <c r="E81" s="20"/>
      <c r="F81" s="23"/>
      <c r="G81" s="21"/>
      <c r="H81" s="22"/>
      <c r="I81" s="42"/>
      <c r="J81" s="38"/>
      <c r="K81" s="39"/>
      <c r="L81" s="40"/>
      <c r="M81" s="41"/>
      <c r="N81" s="38"/>
      <c r="O81" s="39"/>
      <c r="P81" s="40"/>
      <c r="Q81" s="41"/>
      <c r="R81" s="38"/>
      <c r="S81" s="39"/>
      <c r="T81" s="40"/>
      <c r="U81" s="41"/>
    </row>
    <row r="82" spans="2:21">
      <c r="B82" s="17"/>
      <c r="C82" s="18"/>
      <c r="D82" s="19"/>
      <c r="E82" s="20"/>
      <c r="F82" s="23"/>
      <c r="G82" s="21"/>
      <c r="H82" s="22"/>
      <c r="I82" s="42"/>
      <c r="J82" s="38"/>
      <c r="K82" s="39"/>
      <c r="L82" s="40"/>
      <c r="M82" s="41"/>
      <c r="N82" s="38"/>
      <c r="O82" s="39"/>
      <c r="P82" s="40"/>
      <c r="Q82" s="41"/>
      <c r="R82" s="38"/>
      <c r="S82" s="39"/>
      <c r="T82" s="40"/>
      <c r="U82" s="41"/>
    </row>
    <row r="83" spans="2:21">
      <c r="B83" s="17"/>
      <c r="C83" s="18"/>
      <c r="D83" s="19"/>
      <c r="E83" s="20"/>
      <c r="F83" s="23"/>
      <c r="G83" s="21"/>
      <c r="H83" s="22"/>
      <c r="I83" s="42"/>
      <c r="J83" s="38"/>
      <c r="K83" s="39"/>
      <c r="L83" s="40"/>
      <c r="M83" s="41"/>
      <c r="N83" s="38"/>
      <c r="O83" s="39"/>
      <c r="P83" s="40"/>
      <c r="Q83" s="41"/>
      <c r="R83" s="38"/>
      <c r="S83" s="39"/>
      <c r="T83" s="40"/>
      <c r="U83" s="41"/>
    </row>
    <row r="84" spans="2:21">
      <c r="B84" s="17"/>
      <c r="C84" s="18"/>
      <c r="D84" s="19"/>
      <c r="E84" s="20"/>
      <c r="F84" s="23"/>
      <c r="G84" s="21"/>
      <c r="H84" s="22"/>
      <c r="I84" s="42"/>
      <c r="J84" s="38"/>
      <c r="K84" s="39"/>
      <c r="L84" s="40"/>
      <c r="M84" s="41"/>
      <c r="N84" s="38"/>
      <c r="O84" s="39"/>
      <c r="P84" s="40"/>
      <c r="Q84" s="41"/>
      <c r="R84" s="38"/>
      <c r="S84" s="39"/>
      <c r="T84" s="40"/>
      <c r="U84" s="41"/>
    </row>
    <row r="85" spans="2:21">
      <c r="B85" s="17"/>
      <c r="C85" s="18"/>
      <c r="D85" s="19"/>
      <c r="E85" s="20"/>
      <c r="F85" s="23"/>
      <c r="G85" s="21"/>
      <c r="H85" s="22"/>
      <c r="I85" s="42"/>
      <c r="J85" s="38"/>
      <c r="K85" s="39"/>
      <c r="L85" s="40"/>
      <c r="M85" s="41"/>
      <c r="N85" s="38"/>
      <c r="O85" s="39"/>
      <c r="P85" s="40"/>
      <c r="Q85" s="41"/>
      <c r="R85" s="38"/>
      <c r="S85" s="39"/>
      <c r="T85" s="40"/>
      <c r="U85" s="41"/>
    </row>
    <row r="86" spans="2:21">
      <c r="B86" s="17"/>
      <c r="C86" s="18"/>
      <c r="D86" s="19"/>
      <c r="E86" s="20"/>
      <c r="F86" s="23"/>
      <c r="G86" s="21"/>
      <c r="H86" s="22"/>
      <c r="I86" s="42"/>
      <c r="J86" s="38"/>
      <c r="K86" s="39"/>
      <c r="L86" s="40"/>
      <c r="M86" s="41"/>
      <c r="N86" s="38"/>
      <c r="O86" s="39"/>
      <c r="P86" s="40"/>
      <c r="Q86" s="41"/>
      <c r="R86" s="38"/>
      <c r="S86" s="39"/>
      <c r="T86" s="40"/>
      <c r="U86" s="41"/>
    </row>
    <row r="87" spans="2:21">
      <c r="B87" s="17"/>
      <c r="C87" s="18"/>
      <c r="D87" s="19"/>
      <c r="E87" s="20"/>
      <c r="F87" s="23"/>
      <c r="G87" s="21"/>
      <c r="H87" s="22"/>
      <c r="I87" s="42"/>
      <c r="J87" s="38"/>
      <c r="K87" s="39"/>
      <c r="L87" s="40"/>
      <c r="M87" s="41"/>
      <c r="N87" s="38"/>
      <c r="O87" s="39"/>
      <c r="P87" s="40"/>
      <c r="Q87" s="41"/>
      <c r="R87" s="38"/>
      <c r="S87" s="39"/>
      <c r="T87" s="40"/>
      <c r="U87" s="41"/>
    </row>
    <row r="88" spans="2:21">
      <c r="B88" s="17"/>
      <c r="C88" s="18"/>
      <c r="D88" s="19"/>
      <c r="E88" s="20"/>
      <c r="F88" s="23"/>
      <c r="G88" s="21"/>
      <c r="H88" s="22"/>
      <c r="I88" s="42"/>
      <c r="J88" s="38"/>
      <c r="K88" s="39"/>
      <c r="L88" s="40"/>
      <c r="M88" s="41"/>
      <c r="N88" s="38"/>
      <c r="O88" s="39"/>
      <c r="P88" s="40"/>
      <c r="Q88" s="41"/>
      <c r="R88" s="38"/>
      <c r="S88" s="39"/>
      <c r="T88" s="40"/>
      <c r="U88" s="41"/>
    </row>
    <row r="89" spans="2:21">
      <c r="B89" s="17"/>
      <c r="C89" s="18"/>
      <c r="D89" s="19"/>
      <c r="E89" s="20"/>
      <c r="F89" s="23"/>
      <c r="G89" s="21"/>
      <c r="H89" s="22"/>
      <c r="I89" s="42"/>
      <c r="J89" s="38"/>
      <c r="K89" s="39"/>
      <c r="L89" s="40"/>
      <c r="M89" s="41"/>
      <c r="N89" s="38"/>
      <c r="O89" s="39"/>
      <c r="P89" s="40"/>
      <c r="Q89" s="41"/>
      <c r="R89" s="38"/>
      <c r="S89" s="39"/>
      <c r="T89" s="40"/>
      <c r="U89" s="41"/>
    </row>
    <row r="90" spans="2:21">
      <c r="B90" s="17"/>
      <c r="C90" s="18"/>
      <c r="D90" s="19"/>
      <c r="E90" s="20"/>
      <c r="F90" s="23"/>
      <c r="G90" s="21"/>
      <c r="H90" s="22"/>
      <c r="I90" s="42"/>
      <c r="J90" s="38"/>
      <c r="K90" s="39"/>
      <c r="L90" s="40"/>
      <c r="M90" s="41"/>
      <c r="N90" s="38"/>
      <c r="O90" s="39"/>
      <c r="P90" s="40"/>
      <c r="Q90" s="41"/>
      <c r="R90" s="38"/>
      <c r="S90" s="39"/>
      <c r="T90" s="40"/>
      <c r="U90" s="41"/>
    </row>
    <row r="91" spans="2:21">
      <c r="B91" s="17"/>
      <c r="C91" s="18"/>
      <c r="D91" s="19"/>
      <c r="E91" s="20"/>
      <c r="F91" s="23"/>
      <c r="G91" s="21"/>
      <c r="H91" s="22"/>
      <c r="I91" s="42"/>
      <c r="J91" s="38"/>
      <c r="K91" s="39"/>
      <c r="L91" s="40"/>
      <c r="M91" s="41"/>
      <c r="N91" s="38"/>
      <c r="O91" s="39"/>
      <c r="P91" s="40"/>
      <c r="Q91" s="41"/>
      <c r="R91" s="38"/>
      <c r="S91" s="39"/>
      <c r="T91" s="40"/>
      <c r="U91" s="41"/>
    </row>
    <row r="92" spans="2:21">
      <c r="B92" s="17"/>
      <c r="C92" s="18"/>
      <c r="D92" s="19"/>
      <c r="E92" s="20"/>
      <c r="F92" s="23"/>
      <c r="G92" s="21"/>
      <c r="H92" s="22"/>
      <c r="I92" s="42"/>
      <c r="J92" s="38"/>
      <c r="K92" s="39"/>
      <c r="L92" s="40"/>
      <c r="M92" s="41"/>
      <c r="N92" s="38"/>
      <c r="O92" s="39"/>
      <c r="P92" s="40"/>
      <c r="Q92" s="41"/>
      <c r="R92" s="38"/>
      <c r="S92" s="39"/>
      <c r="T92" s="40"/>
      <c r="U92" s="41"/>
    </row>
    <row r="93" spans="2:21">
      <c r="B93" s="17"/>
      <c r="C93" s="18"/>
      <c r="D93" s="19"/>
      <c r="E93" s="20"/>
      <c r="F93" s="23"/>
      <c r="G93" s="21"/>
      <c r="H93" s="22"/>
      <c r="I93" s="42"/>
      <c r="J93" s="38"/>
      <c r="K93" s="39"/>
      <c r="L93" s="40"/>
      <c r="M93" s="41"/>
      <c r="N93" s="38"/>
      <c r="O93" s="39"/>
      <c r="P93" s="40"/>
      <c r="Q93" s="41"/>
      <c r="R93" s="38"/>
      <c r="S93" s="39"/>
      <c r="T93" s="40"/>
      <c r="U93" s="41"/>
    </row>
    <row r="94" spans="2:21">
      <c r="B94" s="17"/>
      <c r="C94" s="18"/>
      <c r="D94" s="19"/>
      <c r="E94" s="20"/>
      <c r="F94" s="23"/>
      <c r="G94" s="21"/>
      <c r="H94" s="22"/>
      <c r="I94" s="42"/>
      <c r="J94" s="38"/>
      <c r="K94" s="39"/>
      <c r="L94" s="40"/>
      <c r="M94" s="41"/>
      <c r="N94" s="38"/>
      <c r="O94" s="39"/>
      <c r="P94" s="40"/>
      <c r="Q94" s="41"/>
      <c r="R94" s="38"/>
      <c r="S94" s="39"/>
      <c r="T94" s="40"/>
      <c r="U94" s="41"/>
    </row>
    <row r="95" spans="2:21">
      <c r="B95" s="17"/>
      <c r="C95" s="18"/>
      <c r="D95" s="19"/>
      <c r="E95" s="20"/>
      <c r="F95" s="23"/>
      <c r="G95" s="21"/>
      <c r="H95" s="22"/>
      <c r="I95" s="42"/>
      <c r="J95" s="38"/>
      <c r="K95" s="39"/>
      <c r="L95" s="40"/>
      <c r="M95" s="41"/>
      <c r="N95" s="38"/>
      <c r="O95" s="39"/>
      <c r="P95" s="40"/>
      <c r="Q95" s="41"/>
      <c r="R95" s="38"/>
      <c r="S95" s="39"/>
      <c r="T95" s="40"/>
      <c r="U95" s="41"/>
    </row>
    <row r="96" spans="2:21">
      <c r="B96" s="17"/>
      <c r="C96" s="18"/>
      <c r="D96" s="19"/>
      <c r="E96" s="20"/>
      <c r="F96" s="23"/>
      <c r="G96" s="21"/>
      <c r="H96" s="22"/>
      <c r="I96" s="42"/>
      <c r="J96" s="38"/>
      <c r="K96" s="39"/>
      <c r="L96" s="40"/>
      <c r="M96" s="41"/>
      <c r="N96" s="38"/>
      <c r="O96" s="39"/>
      <c r="P96" s="40"/>
      <c r="Q96" s="41"/>
      <c r="R96" s="38"/>
      <c r="S96" s="39"/>
      <c r="T96" s="40"/>
      <c r="U96" s="41"/>
    </row>
    <row r="97" spans="2:21">
      <c r="B97" s="17"/>
      <c r="C97" s="18"/>
      <c r="D97" s="19"/>
      <c r="E97" s="20"/>
      <c r="F97" s="23"/>
      <c r="G97" s="21"/>
      <c r="H97" s="22"/>
      <c r="I97" s="42"/>
      <c r="J97" s="38"/>
      <c r="K97" s="39"/>
      <c r="L97" s="40"/>
      <c r="M97" s="41"/>
      <c r="N97" s="38"/>
      <c r="O97" s="39"/>
      <c r="P97" s="40"/>
      <c r="Q97" s="41"/>
      <c r="R97" s="38"/>
      <c r="S97" s="39"/>
      <c r="T97" s="40"/>
      <c r="U97" s="41"/>
    </row>
    <row r="98" spans="2:21">
      <c r="B98" s="17"/>
      <c r="C98" s="18"/>
      <c r="D98" s="19"/>
      <c r="E98" s="20"/>
      <c r="F98" s="23"/>
      <c r="G98" s="21"/>
      <c r="H98" s="22"/>
      <c r="I98" s="42"/>
      <c r="J98" s="38"/>
      <c r="K98" s="39"/>
      <c r="L98" s="40"/>
      <c r="M98" s="41"/>
      <c r="N98" s="38"/>
      <c r="O98" s="39"/>
      <c r="P98" s="40"/>
      <c r="Q98" s="41"/>
      <c r="R98" s="38"/>
      <c r="S98" s="39"/>
      <c r="T98" s="40"/>
      <c r="U98" s="41"/>
    </row>
    <row r="99" spans="2:21">
      <c r="B99" s="17"/>
      <c r="C99" s="18"/>
      <c r="D99" s="19"/>
      <c r="E99" s="20"/>
      <c r="F99" s="23"/>
      <c r="G99" s="21"/>
      <c r="H99" s="22"/>
      <c r="I99" s="42"/>
      <c r="J99" s="38"/>
      <c r="K99" s="39"/>
      <c r="L99" s="40"/>
      <c r="M99" s="41"/>
      <c r="N99" s="38"/>
      <c r="O99" s="39"/>
      <c r="P99" s="40"/>
      <c r="Q99" s="41"/>
      <c r="R99" s="38"/>
      <c r="S99" s="39"/>
      <c r="T99" s="40"/>
      <c r="U99" s="41"/>
    </row>
    <row r="100" spans="2:21">
      <c r="B100" s="17"/>
      <c r="C100" s="18"/>
      <c r="D100" s="19"/>
      <c r="E100" s="20"/>
      <c r="F100" s="23"/>
      <c r="G100" s="21"/>
      <c r="H100" s="22"/>
      <c r="I100" s="42"/>
      <c r="J100" s="38"/>
      <c r="K100" s="39"/>
      <c r="L100" s="40"/>
      <c r="M100" s="41"/>
      <c r="N100" s="38"/>
      <c r="O100" s="39"/>
      <c r="P100" s="40"/>
      <c r="Q100" s="41"/>
      <c r="R100" s="38"/>
      <c r="S100" s="39"/>
      <c r="T100" s="40"/>
      <c r="U100" s="41"/>
    </row>
    <row r="101" spans="2:21">
      <c r="B101" s="17"/>
      <c r="C101" s="18"/>
      <c r="D101" s="19"/>
      <c r="E101" s="20"/>
      <c r="F101" s="23"/>
      <c r="G101" s="21"/>
      <c r="H101" s="22"/>
      <c r="I101" s="42"/>
      <c r="J101" s="38"/>
      <c r="K101" s="39"/>
      <c r="L101" s="40"/>
      <c r="M101" s="41"/>
      <c r="N101" s="38"/>
      <c r="O101" s="39"/>
      <c r="P101" s="40"/>
      <c r="Q101" s="41"/>
      <c r="R101" s="38"/>
      <c r="S101" s="39"/>
      <c r="T101" s="40"/>
      <c r="U101" s="41"/>
    </row>
    <row r="102" spans="2:21">
      <c r="B102" s="17"/>
      <c r="C102" s="18"/>
      <c r="D102" s="19"/>
      <c r="E102" s="20"/>
      <c r="F102" s="23"/>
      <c r="G102" s="21"/>
      <c r="H102" s="22"/>
      <c r="I102" s="42"/>
      <c r="J102" s="38"/>
      <c r="K102" s="39"/>
      <c r="L102" s="40"/>
      <c r="M102" s="41"/>
      <c r="N102" s="38"/>
      <c r="O102" s="39"/>
      <c r="P102" s="40"/>
      <c r="Q102" s="41"/>
      <c r="R102" s="38"/>
      <c r="S102" s="39"/>
      <c r="T102" s="40"/>
      <c r="U102" s="41"/>
    </row>
    <row r="103" spans="2:21">
      <c r="B103" s="17"/>
      <c r="C103" s="18"/>
      <c r="D103" s="19"/>
      <c r="E103" s="20"/>
      <c r="F103" s="23"/>
      <c r="G103" s="21"/>
      <c r="H103" s="22"/>
      <c r="I103" s="42"/>
      <c r="J103" s="38"/>
      <c r="K103" s="39"/>
      <c r="L103" s="40"/>
      <c r="M103" s="41"/>
      <c r="N103" s="38"/>
      <c r="O103" s="39"/>
      <c r="P103" s="40"/>
      <c r="Q103" s="41"/>
      <c r="R103" s="38"/>
      <c r="S103" s="39"/>
      <c r="T103" s="40"/>
      <c r="U103" s="41"/>
    </row>
    <row r="104" spans="2:21">
      <c r="B104" s="17"/>
      <c r="C104" s="18"/>
      <c r="D104" s="19"/>
      <c r="E104" s="20"/>
      <c r="F104" s="23"/>
      <c r="G104" s="21"/>
      <c r="H104" s="22"/>
      <c r="I104" s="42"/>
      <c r="J104" s="38"/>
      <c r="K104" s="39"/>
      <c r="L104" s="40"/>
      <c r="M104" s="41"/>
      <c r="N104" s="38"/>
      <c r="O104" s="39"/>
      <c r="P104" s="40"/>
      <c r="Q104" s="41"/>
      <c r="R104" s="38"/>
      <c r="S104" s="39"/>
      <c r="T104" s="40"/>
      <c r="U104" s="41"/>
    </row>
    <row r="105" spans="2:21">
      <c r="B105" s="17"/>
      <c r="C105" s="18"/>
      <c r="D105" s="19"/>
      <c r="E105" s="20"/>
      <c r="F105" s="23"/>
      <c r="G105" s="21"/>
      <c r="H105" s="22"/>
      <c r="I105" s="42"/>
      <c r="J105" s="38"/>
      <c r="K105" s="39"/>
      <c r="L105" s="40"/>
      <c r="M105" s="41"/>
      <c r="N105" s="38"/>
      <c r="O105" s="39"/>
      <c r="P105" s="40"/>
      <c r="Q105" s="41"/>
      <c r="R105" s="38"/>
      <c r="S105" s="39"/>
      <c r="T105" s="40"/>
      <c r="U105" s="41"/>
    </row>
    <row r="106" spans="2:21">
      <c r="B106" s="17"/>
      <c r="C106" s="18"/>
      <c r="D106" s="19"/>
      <c r="E106" s="20"/>
      <c r="F106" s="23"/>
      <c r="G106" s="21"/>
      <c r="H106" s="22"/>
      <c r="I106" s="42"/>
      <c r="J106" s="38"/>
      <c r="K106" s="39"/>
      <c r="L106" s="40"/>
      <c r="M106" s="41"/>
      <c r="N106" s="38"/>
      <c r="O106" s="39"/>
      <c r="P106" s="40"/>
      <c r="Q106" s="41"/>
      <c r="R106" s="38"/>
      <c r="S106" s="39"/>
      <c r="T106" s="40"/>
      <c r="U106" s="41"/>
    </row>
    <row r="107" spans="2:21">
      <c r="B107" s="17"/>
      <c r="C107" s="18"/>
      <c r="D107" s="19"/>
      <c r="E107" s="20"/>
      <c r="F107" s="23"/>
      <c r="G107" s="21"/>
      <c r="H107" s="22"/>
      <c r="I107" s="42"/>
      <c r="J107" s="38"/>
      <c r="K107" s="39"/>
      <c r="L107" s="40"/>
      <c r="M107" s="41"/>
      <c r="N107" s="38"/>
      <c r="O107" s="39"/>
      <c r="P107" s="40"/>
      <c r="Q107" s="41"/>
      <c r="R107" s="38"/>
      <c r="S107" s="39"/>
      <c r="T107" s="40"/>
      <c r="U107" s="41"/>
    </row>
    <row r="108" spans="2:21">
      <c r="B108" s="17"/>
      <c r="C108" s="18"/>
      <c r="D108" s="19"/>
      <c r="E108" s="20"/>
      <c r="F108" s="23"/>
      <c r="G108" s="21"/>
      <c r="H108" s="22"/>
      <c r="I108" s="42"/>
      <c r="J108" s="38"/>
      <c r="K108" s="39"/>
      <c r="L108" s="40"/>
      <c r="M108" s="41"/>
      <c r="N108" s="38"/>
      <c r="O108" s="39"/>
      <c r="P108" s="40"/>
      <c r="Q108" s="41"/>
      <c r="R108" s="38"/>
      <c r="S108" s="39"/>
      <c r="T108" s="40"/>
      <c r="U108" s="41"/>
    </row>
    <row r="109" spans="2:21">
      <c r="B109" s="17"/>
      <c r="C109" s="18"/>
      <c r="D109" s="19"/>
      <c r="E109" s="20"/>
      <c r="F109" s="23"/>
      <c r="G109" s="21"/>
      <c r="H109" s="22"/>
      <c r="I109" s="42"/>
      <c r="J109" s="38"/>
      <c r="K109" s="39"/>
      <c r="L109" s="40"/>
      <c r="M109" s="41"/>
      <c r="N109" s="38"/>
      <c r="O109" s="39"/>
      <c r="P109" s="40"/>
      <c r="Q109" s="41"/>
      <c r="R109" s="38"/>
      <c r="S109" s="39"/>
      <c r="T109" s="40"/>
      <c r="U109" s="41"/>
    </row>
    <row r="110" spans="2:21">
      <c r="B110" s="17"/>
      <c r="C110" s="18"/>
      <c r="D110" s="19"/>
      <c r="E110" s="20"/>
      <c r="F110" s="23"/>
      <c r="G110" s="21"/>
      <c r="H110" s="22"/>
      <c r="I110" s="42"/>
      <c r="J110" s="38"/>
      <c r="K110" s="39"/>
      <c r="L110" s="40"/>
      <c r="M110" s="41"/>
      <c r="N110" s="38"/>
      <c r="O110" s="39"/>
      <c r="P110" s="40"/>
      <c r="Q110" s="41"/>
      <c r="R110" s="38"/>
      <c r="S110" s="39"/>
      <c r="T110" s="40"/>
      <c r="U110" s="41"/>
    </row>
    <row r="111" spans="2:21">
      <c r="B111" s="17"/>
      <c r="C111" s="18"/>
      <c r="D111" s="19"/>
      <c r="E111" s="20"/>
      <c r="F111" s="23"/>
      <c r="G111" s="21"/>
      <c r="H111" s="22"/>
      <c r="I111" s="42"/>
      <c r="J111" s="38"/>
      <c r="K111" s="39"/>
      <c r="L111" s="40"/>
      <c r="M111" s="41"/>
      <c r="N111" s="38"/>
      <c r="O111" s="39"/>
      <c r="P111" s="40"/>
      <c r="Q111" s="41"/>
      <c r="R111" s="38"/>
      <c r="S111" s="39"/>
      <c r="T111" s="40"/>
      <c r="U111" s="41"/>
    </row>
    <row r="112" spans="2:21">
      <c r="B112" s="17"/>
      <c r="C112" s="18"/>
      <c r="D112" s="19"/>
      <c r="E112" s="20"/>
      <c r="F112" s="23"/>
      <c r="G112" s="21"/>
      <c r="H112" s="22"/>
      <c r="I112" s="42"/>
      <c r="J112" s="38"/>
      <c r="K112" s="39"/>
      <c r="L112" s="40"/>
      <c r="M112" s="41"/>
      <c r="N112" s="38"/>
      <c r="O112" s="39"/>
      <c r="P112" s="40"/>
      <c r="Q112" s="41"/>
      <c r="R112" s="38"/>
      <c r="S112" s="39"/>
      <c r="T112" s="40"/>
      <c r="U112" s="41"/>
    </row>
    <row r="113" spans="2:21">
      <c r="B113" s="17"/>
      <c r="C113" s="18"/>
      <c r="D113" s="19"/>
      <c r="E113" s="20"/>
      <c r="F113" s="23"/>
      <c r="G113" s="21"/>
      <c r="H113" s="22"/>
      <c r="I113" s="42"/>
      <c r="J113" s="38"/>
      <c r="K113" s="39"/>
      <c r="L113" s="40"/>
      <c r="M113" s="41"/>
      <c r="N113" s="38"/>
      <c r="O113" s="39"/>
      <c r="P113" s="40"/>
      <c r="Q113" s="41"/>
      <c r="R113" s="38"/>
      <c r="S113" s="39"/>
      <c r="T113" s="40"/>
      <c r="U113" s="41"/>
    </row>
    <row r="114" spans="2:21">
      <c r="B114" s="17"/>
      <c r="C114" s="18"/>
      <c r="D114" s="19"/>
      <c r="E114" s="20"/>
      <c r="F114" s="23"/>
      <c r="G114" s="21"/>
      <c r="H114" s="22"/>
      <c r="I114" s="42"/>
      <c r="J114" s="38"/>
      <c r="K114" s="39"/>
      <c r="L114" s="40"/>
      <c r="M114" s="41"/>
      <c r="N114" s="38"/>
      <c r="O114" s="39"/>
      <c r="P114" s="40"/>
      <c r="Q114" s="41"/>
      <c r="R114" s="38"/>
      <c r="S114" s="39"/>
      <c r="T114" s="40"/>
      <c r="U114" s="41"/>
    </row>
    <row r="115" spans="2:21">
      <c r="B115" s="17"/>
      <c r="C115" s="18"/>
      <c r="D115" s="19"/>
      <c r="E115" s="20"/>
      <c r="F115" s="23"/>
      <c r="G115" s="21"/>
      <c r="H115" s="22"/>
      <c r="I115" s="42"/>
      <c r="J115" s="38"/>
      <c r="K115" s="39"/>
      <c r="L115" s="40"/>
      <c r="M115" s="41"/>
      <c r="N115" s="38"/>
      <c r="O115" s="39"/>
      <c r="P115" s="40"/>
      <c r="Q115" s="41"/>
      <c r="R115" s="38"/>
      <c r="S115" s="39"/>
      <c r="T115" s="40"/>
      <c r="U115" s="41"/>
    </row>
    <row r="116" spans="2:21">
      <c r="B116" s="17"/>
      <c r="C116" s="18"/>
      <c r="D116" s="19"/>
      <c r="E116" s="20"/>
      <c r="F116" s="23"/>
      <c r="G116" s="21"/>
      <c r="H116" s="22"/>
      <c r="I116" s="42"/>
      <c r="J116" s="38"/>
      <c r="K116" s="39"/>
      <c r="L116" s="40"/>
      <c r="M116" s="41"/>
      <c r="N116" s="38"/>
      <c r="O116" s="39"/>
      <c r="P116" s="40"/>
      <c r="Q116" s="41"/>
      <c r="R116" s="38"/>
      <c r="S116" s="39"/>
      <c r="T116" s="40"/>
      <c r="U116" s="41"/>
    </row>
    <row r="117" spans="2:21">
      <c r="B117" s="17"/>
      <c r="C117" s="18"/>
      <c r="D117" s="19"/>
      <c r="E117" s="20"/>
      <c r="F117" s="23"/>
      <c r="G117" s="21"/>
      <c r="H117" s="22"/>
      <c r="I117" s="42"/>
      <c r="J117" s="38"/>
      <c r="K117" s="39"/>
      <c r="L117" s="40"/>
      <c r="M117" s="41"/>
      <c r="N117" s="38"/>
      <c r="O117" s="39"/>
      <c r="P117" s="40"/>
      <c r="Q117" s="41"/>
      <c r="R117" s="38"/>
      <c r="S117" s="39"/>
      <c r="T117" s="40"/>
      <c r="U117" s="41"/>
    </row>
    <row r="118" spans="2:21">
      <c r="B118" s="17"/>
      <c r="C118" s="18"/>
      <c r="D118" s="19"/>
      <c r="E118" s="20"/>
      <c r="F118" s="23"/>
      <c r="G118" s="21"/>
      <c r="H118" s="22"/>
      <c r="I118" s="42"/>
      <c r="J118" s="38"/>
      <c r="K118" s="39"/>
      <c r="L118" s="40"/>
      <c r="M118" s="41"/>
      <c r="N118" s="38"/>
      <c r="O118" s="39"/>
      <c r="P118" s="40"/>
      <c r="Q118" s="41"/>
      <c r="R118" s="38"/>
      <c r="S118" s="39"/>
      <c r="T118" s="40"/>
      <c r="U118" s="41"/>
    </row>
    <row r="119" spans="2:21">
      <c r="B119" s="17"/>
      <c r="C119" s="18"/>
      <c r="D119" s="19"/>
      <c r="E119" s="20"/>
      <c r="F119" s="23"/>
      <c r="G119" s="21"/>
      <c r="H119" s="22"/>
      <c r="I119" s="42"/>
      <c r="J119" s="38"/>
      <c r="K119" s="39"/>
      <c r="L119" s="40"/>
      <c r="M119" s="41"/>
      <c r="N119" s="38"/>
      <c r="O119" s="39"/>
      <c r="P119" s="40"/>
      <c r="Q119" s="41"/>
      <c r="R119" s="38"/>
      <c r="S119" s="39"/>
      <c r="T119" s="40"/>
      <c r="U119" s="41"/>
    </row>
    <row r="120" spans="2:21">
      <c r="B120" s="17"/>
      <c r="C120" s="18"/>
      <c r="D120" s="19"/>
      <c r="E120" s="20"/>
      <c r="F120" s="23"/>
      <c r="G120" s="21"/>
      <c r="H120" s="22"/>
      <c r="I120" s="42"/>
      <c r="J120" s="38"/>
      <c r="K120" s="39"/>
      <c r="L120" s="40"/>
      <c r="M120" s="41"/>
      <c r="N120" s="38"/>
      <c r="O120" s="39"/>
      <c r="P120" s="40"/>
      <c r="Q120" s="41"/>
      <c r="R120" s="38"/>
      <c r="S120" s="39"/>
      <c r="T120" s="40"/>
      <c r="U120" s="41"/>
    </row>
    <row r="121" spans="2:21">
      <c r="B121" s="17"/>
      <c r="C121" s="18"/>
      <c r="D121" s="19"/>
      <c r="E121" s="20"/>
      <c r="F121" s="23"/>
      <c r="G121" s="21"/>
      <c r="H121" s="22"/>
      <c r="I121" s="42"/>
      <c r="J121" s="38"/>
      <c r="K121" s="39"/>
      <c r="L121" s="40"/>
      <c r="M121" s="41"/>
      <c r="N121" s="38"/>
      <c r="O121" s="39"/>
      <c r="P121" s="40"/>
      <c r="Q121" s="41"/>
      <c r="R121" s="38"/>
      <c r="S121" s="39"/>
      <c r="T121" s="40"/>
      <c r="U121" s="41"/>
    </row>
    <row r="122" spans="2:21">
      <c r="B122" s="17"/>
      <c r="C122" s="18"/>
      <c r="D122" s="19"/>
      <c r="E122" s="20"/>
      <c r="F122" s="23"/>
      <c r="G122" s="21"/>
      <c r="H122" s="22"/>
      <c r="I122" s="42"/>
      <c r="J122" s="38"/>
      <c r="K122" s="39"/>
      <c r="L122" s="40"/>
      <c r="M122" s="41"/>
      <c r="N122" s="38"/>
      <c r="O122" s="39"/>
      <c r="P122" s="40"/>
      <c r="Q122" s="41"/>
      <c r="R122" s="38"/>
      <c r="S122" s="39"/>
      <c r="T122" s="40"/>
      <c r="U122" s="41"/>
    </row>
    <row r="123" spans="2:21">
      <c r="B123" s="17"/>
      <c r="C123" s="18"/>
      <c r="D123" s="19"/>
      <c r="E123" s="20"/>
      <c r="F123" s="23"/>
      <c r="G123" s="21"/>
      <c r="H123" s="22"/>
      <c r="I123" s="42"/>
      <c r="J123" s="38"/>
      <c r="K123" s="39"/>
      <c r="L123" s="40"/>
      <c r="M123" s="41"/>
      <c r="N123" s="38"/>
      <c r="O123" s="39"/>
      <c r="P123" s="40"/>
      <c r="Q123" s="41"/>
      <c r="R123" s="38"/>
      <c r="S123" s="39"/>
      <c r="T123" s="40"/>
      <c r="U123" s="41"/>
    </row>
    <row r="124" spans="2:21">
      <c r="B124" s="17"/>
      <c r="C124" s="18"/>
      <c r="D124" s="19"/>
      <c r="E124" s="20"/>
      <c r="F124" s="23"/>
      <c r="G124" s="21"/>
      <c r="H124" s="22"/>
      <c r="I124" s="42"/>
      <c r="J124" s="38"/>
      <c r="K124" s="39"/>
      <c r="L124" s="40"/>
      <c r="M124" s="41"/>
      <c r="N124" s="38"/>
      <c r="O124" s="39"/>
      <c r="P124" s="40"/>
      <c r="Q124" s="41"/>
      <c r="R124" s="38"/>
      <c r="S124" s="39"/>
      <c r="T124" s="40"/>
      <c r="U124" s="41"/>
    </row>
    <row r="125" spans="2:21">
      <c r="B125" s="17"/>
      <c r="C125" s="18"/>
      <c r="D125" s="19"/>
      <c r="E125" s="20"/>
      <c r="F125" s="23"/>
      <c r="G125" s="21"/>
      <c r="H125" s="22"/>
      <c r="I125" s="42"/>
      <c r="J125" s="38"/>
      <c r="K125" s="39"/>
      <c r="L125" s="40"/>
      <c r="M125" s="41"/>
      <c r="N125" s="38"/>
      <c r="O125" s="39"/>
      <c r="P125" s="40"/>
      <c r="Q125" s="41"/>
      <c r="R125" s="38"/>
      <c r="S125" s="39"/>
      <c r="T125" s="40"/>
      <c r="U125" s="41"/>
    </row>
    <row r="126" spans="2:21">
      <c r="B126" s="17"/>
      <c r="C126" s="18"/>
      <c r="D126" s="19"/>
      <c r="E126" s="20"/>
      <c r="F126" s="23"/>
      <c r="G126" s="21"/>
      <c r="H126" s="22"/>
      <c r="I126" s="42"/>
      <c r="J126" s="38"/>
      <c r="K126" s="39"/>
      <c r="L126" s="40"/>
      <c r="M126" s="41"/>
      <c r="N126" s="38"/>
      <c r="O126" s="39"/>
      <c r="P126" s="40"/>
      <c r="Q126" s="41"/>
      <c r="R126" s="38"/>
      <c r="S126" s="39"/>
      <c r="T126" s="40"/>
      <c r="U126" s="41"/>
    </row>
    <row r="127" spans="2:21">
      <c r="B127" s="17"/>
      <c r="C127" s="18"/>
      <c r="D127" s="19"/>
      <c r="E127" s="20"/>
      <c r="F127" s="23"/>
      <c r="G127" s="21"/>
      <c r="H127" s="22"/>
      <c r="I127" s="42"/>
      <c r="J127" s="38"/>
      <c r="K127" s="39"/>
      <c r="L127" s="40"/>
      <c r="M127" s="41"/>
      <c r="N127" s="38"/>
      <c r="O127" s="39"/>
      <c r="P127" s="40"/>
      <c r="Q127" s="41"/>
      <c r="R127" s="38"/>
      <c r="S127" s="39"/>
      <c r="T127" s="40"/>
      <c r="U127" s="41"/>
    </row>
    <row r="128" spans="2:21">
      <c r="B128" s="17"/>
      <c r="C128" s="18"/>
      <c r="D128" s="19"/>
      <c r="E128" s="20"/>
      <c r="F128" s="23"/>
      <c r="G128" s="21"/>
      <c r="H128" s="22"/>
      <c r="I128" s="42"/>
      <c r="J128" s="38"/>
      <c r="K128" s="39"/>
      <c r="L128" s="40"/>
      <c r="M128" s="41"/>
      <c r="N128" s="38"/>
      <c r="O128" s="39"/>
      <c r="P128" s="40"/>
      <c r="Q128" s="41"/>
      <c r="R128" s="38"/>
      <c r="S128" s="39"/>
      <c r="T128" s="40"/>
      <c r="U128" s="41"/>
    </row>
    <row r="129" spans="2:21">
      <c r="B129" s="17"/>
      <c r="C129" s="18"/>
      <c r="D129" s="19"/>
      <c r="E129" s="20"/>
      <c r="F129" s="23"/>
      <c r="G129" s="21"/>
      <c r="H129" s="22"/>
      <c r="I129" s="42"/>
      <c r="J129" s="38"/>
      <c r="K129" s="39"/>
      <c r="L129" s="40"/>
      <c r="M129" s="41"/>
      <c r="N129" s="38"/>
      <c r="O129" s="39"/>
      <c r="P129" s="40"/>
      <c r="Q129" s="41"/>
      <c r="R129" s="38"/>
      <c r="S129" s="39"/>
      <c r="T129" s="40"/>
      <c r="U129" s="41"/>
    </row>
    <row r="130" spans="2:21">
      <c r="B130" s="17"/>
      <c r="C130" s="18"/>
      <c r="D130" s="19"/>
      <c r="E130" s="20"/>
      <c r="F130" s="23"/>
      <c r="G130" s="21"/>
      <c r="H130" s="22"/>
      <c r="I130" s="42"/>
      <c r="J130" s="38"/>
      <c r="K130" s="39"/>
      <c r="L130" s="40"/>
      <c r="M130" s="41"/>
      <c r="N130" s="38"/>
      <c r="O130" s="39"/>
      <c r="P130" s="40"/>
      <c r="Q130" s="41"/>
      <c r="R130" s="38"/>
      <c r="S130" s="39"/>
      <c r="T130" s="40"/>
      <c r="U130" s="41"/>
    </row>
    <row r="131" spans="2:21">
      <c r="B131" s="17"/>
      <c r="C131" s="18"/>
      <c r="D131" s="19"/>
      <c r="E131" s="20"/>
      <c r="F131" s="23"/>
      <c r="G131" s="21"/>
      <c r="H131" s="22"/>
      <c r="I131" s="42"/>
      <c r="J131" s="38"/>
      <c r="K131" s="39"/>
      <c r="L131" s="40"/>
      <c r="M131" s="41"/>
      <c r="N131" s="38"/>
      <c r="O131" s="39"/>
      <c r="P131" s="40"/>
      <c r="Q131" s="41"/>
      <c r="R131" s="38"/>
      <c r="S131" s="39"/>
      <c r="T131" s="40"/>
      <c r="U131" s="41"/>
    </row>
    <row r="132" spans="2:21">
      <c r="B132" s="17"/>
      <c r="C132" s="18"/>
      <c r="D132" s="19"/>
      <c r="E132" s="20"/>
      <c r="F132" s="23"/>
      <c r="G132" s="21"/>
      <c r="H132" s="22"/>
      <c r="I132" s="42"/>
      <c r="J132" s="38"/>
      <c r="K132" s="39"/>
      <c r="L132" s="40"/>
      <c r="M132" s="41"/>
      <c r="N132" s="38"/>
      <c r="O132" s="39"/>
      <c r="P132" s="40"/>
      <c r="Q132" s="41"/>
      <c r="R132" s="38"/>
      <c r="S132" s="39"/>
      <c r="T132" s="40"/>
      <c r="U132" s="41"/>
    </row>
    <row r="133" spans="2:21">
      <c r="B133" s="17"/>
      <c r="C133" s="18"/>
      <c r="D133" s="19"/>
      <c r="E133" s="20"/>
      <c r="F133" s="23"/>
      <c r="G133" s="21"/>
      <c r="H133" s="22"/>
      <c r="I133" s="42"/>
      <c r="J133" s="38"/>
      <c r="K133" s="39"/>
      <c r="L133" s="40"/>
      <c r="M133" s="41"/>
      <c r="N133" s="38"/>
      <c r="O133" s="39"/>
      <c r="P133" s="40"/>
      <c r="Q133" s="41"/>
      <c r="R133" s="38"/>
      <c r="S133" s="39"/>
      <c r="T133" s="40"/>
      <c r="U133" s="41"/>
    </row>
    <row r="134" spans="2:21">
      <c r="B134" s="17"/>
      <c r="C134" s="18"/>
      <c r="D134" s="19"/>
      <c r="E134" s="20"/>
      <c r="F134" s="23"/>
      <c r="G134" s="21"/>
      <c r="H134" s="22"/>
      <c r="I134" s="42"/>
      <c r="J134" s="38"/>
      <c r="K134" s="39"/>
      <c r="L134" s="40"/>
      <c r="M134" s="41"/>
      <c r="N134" s="38"/>
      <c r="O134" s="39"/>
      <c r="P134" s="40"/>
      <c r="Q134" s="41"/>
      <c r="R134" s="38"/>
      <c r="S134" s="39"/>
      <c r="T134" s="40"/>
      <c r="U134" s="41"/>
    </row>
    <row r="135" spans="2:21">
      <c r="B135" s="17"/>
      <c r="C135" s="18"/>
      <c r="D135" s="19"/>
      <c r="E135" s="20"/>
      <c r="F135" s="23"/>
      <c r="G135" s="21"/>
      <c r="H135" s="22"/>
      <c r="I135" s="42"/>
      <c r="J135" s="38"/>
      <c r="K135" s="39"/>
      <c r="L135" s="40"/>
      <c r="M135" s="41"/>
      <c r="N135" s="38"/>
      <c r="O135" s="39"/>
      <c r="P135" s="40"/>
      <c r="Q135" s="41"/>
      <c r="R135" s="38"/>
      <c r="S135" s="39"/>
      <c r="T135" s="40"/>
      <c r="U135" s="41"/>
    </row>
    <row r="136" spans="2:21">
      <c r="B136" s="17"/>
      <c r="C136" s="18"/>
      <c r="D136" s="19"/>
      <c r="E136" s="20"/>
      <c r="F136" s="23"/>
      <c r="G136" s="21"/>
      <c r="H136" s="22"/>
      <c r="I136" s="42"/>
      <c r="J136" s="38"/>
      <c r="K136" s="39"/>
      <c r="L136" s="40"/>
      <c r="M136" s="41"/>
      <c r="N136" s="38"/>
      <c r="O136" s="39"/>
      <c r="P136" s="40"/>
      <c r="Q136" s="41"/>
      <c r="R136" s="38"/>
      <c r="S136" s="39"/>
      <c r="T136" s="40"/>
      <c r="U136" s="41"/>
    </row>
    <row r="137" spans="2:21">
      <c r="B137" s="17"/>
      <c r="C137" s="18"/>
      <c r="D137" s="19"/>
      <c r="E137" s="20"/>
      <c r="F137" s="23"/>
      <c r="G137" s="21"/>
      <c r="H137" s="22"/>
      <c r="I137" s="42"/>
      <c r="J137" s="38"/>
      <c r="K137" s="39"/>
      <c r="L137" s="40"/>
      <c r="M137" s="41"/>
      <c r="N137" s="38"/>
      <c r="O137" s="39"/>
      <c r="P137" s="40"/>
      <c r="Q137" s="41"/>
      <c r="R137" s="38"/>
      <c r="S137" s="39"/>
      <c r="T137" s="40"/>
      <c r="U137" s="41"/>
    </row>
    <row r="138" spans="2:21">
      <c r="B138" s="17"/>
      <c r="C138" s="18"/>
      <c r="D138" s="19"/>
      <c r="E138" s="20"/>
      <c r="F138" s="23"/>
      <c r="G138" s="21"/>
      <c r="H138" s="22"/>
      <c r="I138" s="42"/>
      <c r="J138" s="38"/>
      <c r="K138" s="39"/>
      <c r="L138" s="40"/>
      <c r="M138" s="41"/>
      <c r="N138" s="38"/>
      <c r="O138" s="39"/>
      <c r="P138" s="40"/>
      <c r="Q138" s="41"/>
      <c r="R138" s="38"/>
      <c r="S138" s="39"/>
      <c r="T138" s="40"/>
      <c r="U138" s="41"/>
    </row>
    <row r="139" spans="2:21">
      <c r="B139" s="17"/>
      <c r="C139" s="18"/>
      <c r="D139" s="19"/>
      <c r="E139" s="20"/>
      <c r="F139" s="23"/>
      <c r="G139" s="21"/>
      <c r="H139" s="22"/>
      <c r="I139" s="42"/>
      <c r="J139" s="38"/>
      <c r="K139" s="39"/>
      <c r="L139" s="40"/>
      <c r="M139" s="41"/>
      <c r="N139" s="38"/>
      <c r="O139" s="39"/>
      <c r="P139" s="40"/>
      <c r="Q139" s="41"/>
      <c r="R139" s="38"/>
      <c r="S139" s="39"/>
      <c r="T139" s="40"/>
      <c r="U139" s="41"/>
    </row>
    <row r="140" spans="2:21">
      <c r="B140" s="17"/>
      <c r="C140" s="18"/>
      <c r="D140" s="19"/>
      <c r="E140" s="20"/>
      <c r="F140" s="23"/>
      <c r="G140" s="21"/>
      <c r="H140" s="22"/>
      <c r="I140" s="42"/>
      <c r="J140" s="38"/>
      <c r="K140" s="39"/>
      <c r="L140" s="40"/>
      <c r="M140" s="41"/>
      <c r="N140" s="38"/>
      <c r="O140" s="39"/>
      <c r="P140" s="40"/>
      <c r="Q140" s="41"/>
      <c r="R140" s="38"/>
      <c r="S140" s="39"/>
      <c r="T140" s="40"/>
      <c r="U140" s="41"/>
    </row>
    <row r="141" spans="2:21">
      <c r="B141" s="17"/>
      <c r="C141" s="18"/>
      <c r="D141" s="19"/>
      <c r="E141" s="20"/>
      <c r="F141" s="23"/>
      <c r="G141" s="21"/>
      <c r="H141" s="22"/>
      <c r="I141" s="42"/>
      <c r="J141" s="38"/>
      <c r="K141" s="39"/>
      <c r="L141" s="40"/>
      <c r="M141" s="41"/>
      <c r="N141" s="38"/>
      <c r="O141" s="39"/>
      <c r="P141" s="40"/>
      <c r="Q141" s="41"/>
      <c r="R141" s="38"/>
      <c r="S141" s="39"/>
      <c r="T141" s="40"/>
      <c r="U141" s="41"/>
    </row>
    <row r="142" spans="2:21">
      <c r="B142" s="17"/>
      <c r="C142" s="18"/>
      <c r="D142" s="19"/>
      <c r="E142" s="20"/>
      <c r="F142" s="23"/>
      <c r="G142" s="21"/>
      <c r="H142" s="22"/>
      <c r="I142" s="42"/>
      <c r="J142" s="38"/>
      <c r="K142" s="39"/>
      <c r="L142" s="40"/>
      <c r="M142" s="41"/>
      <c r="N142" s="38"/>
      <c r="O142" s="39"/>
      <c r="P142" s="40"/>
      <c r="Q142" s="41"/>
      <c r="R142" s="38"/>
      <c r="S142" s="39"/>
      <c r="T142" s="40"/>
      <c r="U142" s="41"/>
    </row>
    <row r="143" spans="2:21">
      <c r="B143" s="17"/>
      <c r="C143" s="18"/>
      <c r="D143" s="19"/>
      <c r="E143" s="20"/>
      <c r="F143" s="23"/>
      <c r="G143" s="21"/>
      <c r="H143" s="22"/>
      <c r="I143" s="42"/>
      <c r="J143" s="38"/>
      <c r="K143" s="39"/>
      <c r="L143" s="40"/>
      <c r="M143" s="41"/>
      <c r="N143" s="38"/>
      <c r="O143" s="39"/>
      <c r="P143" s="40"/>
      <c r="Q143" s="41"/>
      <c r="R143" s="38"/>
      <c r="S143" s="39"/>
      <c r="T143" s="40"/>
      <c r="U143" s="41"/>
    </row>
    <row r="144" spans="2:21">
      <c r="B144" s="17"/>
      <c r="C144" s="18"/>
      <c r="D144" s="19"/>
      <c r="E144" s="20"/>
      <c r="F144" s="23"/>
      <c r="G144" s="21"/>
      <c r="H144" s="22"/>
      <c r="I144" s="42"/>
      <c r="J144" s="38"/>
      <c r="K144" s="39"/>
      <c r="L144" s="40"/>
      <c r="M144" s="41"/>
      <c r="N144" s="38"/>
      <c r="O144" s="39"/>
      <c r="P144" s="40"/>
      <c r="Q144" s="41"/>
      <c r="R144" s="38"/>
      <c r="S144" s="39"/>
      <c r="T144" s="40"/>
      <c r="U144" s="41"/>
    </row>
    <row r="145" spans="2:21">
      <c r="B145" s="17"/>
      <c r="C145" s="18"/>
      <c r="D145" s="19"/>
      <c r="E145" s="20"/>
      <c r="F145" s="23"/>
      <c r="G145" s="21"/>
      <c r="H145" s="22"/>
      <c r="I145" s="42"/>
      <c r="J145" s="38"/>
      <c r="K145" s="39"/>
      <c r="L145" s="40"/>
      <c r="M145" s="41"/>
      <c r="N145" s="38"/>
      <c r="O145" s="39"/>
      <c r="P145" s="40"/>
      <c r="Q145" s="41"/>
      <c r="R145" s="38"/>
      <c r="S145" s="39"/>
      <c r="T145" s="40"/>
      <c r="U145" s="41"/>
    </row>
    <row r="146" spans="2:21">
      <c r="B146" s="44"/>
      <c r="C146" s="45"/>
      <c r="D146" s="45"/>
      <c r="E146" s="46"/>
      <c r="F146" s="47"/>
      <c r="G146" s="48"/>
      <c r="H146" s="22"/>
      <c r="I146" s="49"/>
      <c r="J146" s="50"/>
      <c r="K146" s="51"/>
      <c r="L146" s="52"/>
      <c r="M146" s="53"/>
      <c r="N146" s="50"/>
      <c r="O146" s="51"/>
      <c r="P146" s="52"/>
      <c r="Q146" s="53"/>
      <c r="R146" s="50"/>
      <c r="S146" s="51"/>
      <c r="T146" s="52"/>
      <c r="U146" s="53"/>
    </row>
  </sheetData>
  <customSheetViews>
    <customSheetView guid="{0B5AE87E-5094-483C-B162-40616F3898A2}" scale="90" topLeftCell="A4">
      <pane ySplit="7" topLeftCell="A11" activePane="bottomLeft" state="frozen"/>
      <selection pane="bottomLeft" activeCell="J5" sqref="J5"/>
      <pageMargins left="0.69861111111111107" right="0.69861111111111107" top="0.75" bottom="0.75" header="0.3" footer="0.3"/>
      <pageSetup paperSize="9" orientation="portrait" horizontalDpi="200" verticalDpi="200"/>
      <headerFooter alignWithMargins="0"/>
    </customSheetView>
    <customSheetView guid="{33A8337A-D9C9-4792-85CF-B434512345B4}" scale="90" topLeftCell="A4">
      <pane ySplit="7" topLeftCell="A11" activePane="bottomLeft" state="frozen"/>
      <selection pane="bottomLeft" activeCell="J5" sqref="J5"/>
      <pageMargins left="0.69861111111111107" right="0.69861111111111107" top="0.75" bottom="0.75" header="0.3" footer="0.3"/>
      <pageSetup paperSize="9" orientation="portrait" horizontalDpi="200" verticalDpi="200"/>
      <headerFooter alignWithMargins="0"/>
    </customSheetView>
  </customSheetViews>
  <mergeCells count="4">
    <mergeCell ref="B2:G2"/>
    <mergeCell ref="J4:M4"/>
    <mergeCell ref="N4:Q4"/>
    <mergeCell ref="R4:U4"/>
  </mergeCells>
  <phoneticPr fontId="44" type="noConversion"/>
  <conditionalFormatting sqref="J4:U9">
    <cfRule type="cellIs" dxfId="2" priority="1" stopIfTrue="1" operator="equal">
      <formula>"√"</formula>
    </cfRule>
  </conditionalFormatting>
  <conditionalFormatting sqref="J11:J146 N11:N146 R11:R146">
    <cfRule type="cellIs" dxfId="1" priority="2" stopIfTrue="1" operator="equal">
      <formula>"NG"</formula>
    </cfRule>
    <cfRule type="cellIs" dxfId="0" priority="3" stopIfTrue="1" operator="equal">
      <formula>"SKIP"</formula>
    </cfRule>
  </conditionalFormatting>
  <conditionalFormatting sqref="B11:B146 D11:G145 E146:G146">
    <cfRule type="expression" priority="4" stopIfTrue="1">
      <formula>$H11="删除"</formula>
    </cfRule>
  </conditionalFormatting>
  <dataValidations count="4">
    <dataValidation type="list" allowBlank="1" showInputMessage="1" showErrorMessage="1" sqref="D11:D146">
      <formula1>"基本流程,备选流程"</formula1>
    </dataValidation>
    <dataValidation type="list" allowBlank="1" showInputMessage="1" showErrorMessage="1" sqref="J11:J146 N11:N146 R11:R146">
      <formula1>"OK,NG,POK,NT,SKIP"</formula1>
    </dataValidation>
    <dataValidation type="list" allowBlank="1" showInputMessage="1" showErrorMessage="1" promptTitle="§温馨提示§" prompt="修订状态为“删除”时，请将“纳入测试”设置为“否”。" sqref="H11:H146">
      <formula1>"新增,修改,删除"</formula1>
    </dataValidation>
    <dataValidation type="list" allowBlank="1" showInputMessage="1" showErrorMessage="1" sqref="I11:I146">
      <formula1>"是,否"</formula1>
    </dataValidation>
  </dataValidations>
  <pageMargins left="0.69861111111111107" right="0.69861111111111107" top="0.75" bottom="0.75" header="0.3" footer="0.3"/>
  <pageSetup paperSize="9" orientation="portrait" horizontalDpi="200" verticalDpi="200"/>
  <headerFooter alignWithMargins="0"/>
  <legacyDrawing r:id="rId1"/>
</worksheet>
</file>

<file path=xl/worksheets/sheet10.xml><?xml version="1.0" encoding="utf-8"?>
<worksheet xmlns="http://schemas.openxmlformats.org/spreadsheetml/2006/main" xmlns:r="http://schemas.openxmlformats.org/officeDocument/2006/relationships">
  <dimension ref="B1:AF40"/>
  <sheetViews>
    <sheetView topLeftCell="A28" zoomScaleSheetLayoutView="100" workbookViewId="0">
      <selection activeCell="Y44" sqref="Y44"/>
    </sheetView>
  </sheetViews>
  <sheetFormatPr defaultColWidth="2.625" defaultRowHeight="20.100000000000001" customHeight="1"/>
  <cols>
    <col min="1" max="16384" width="2.625" style="1"/>
  </cols>
  <sheetData>
    <row r="1" spans="2:32" ht="20.100000000000001" customHeight="1">
      <c r="B1" s="2" t="s">
        <v>84</v>
      </c>
    </row>
    <row r="2" spans="2:32" ht="20.100000000000001" customHeight="1">
      <c r="B2" s="3" t="s">
        <v>85</v>
      </c>
    </row>
    <row r="3" spans="2:32" ht="20.100000000000001" customHeight="1">
      <c r="D3" s="1" t="s">
        <v>86</v>
      </c>
    </row>
    <row r="4" spans="2:32" ht="20.100000000000001" customHeight="1">
      <c r="E4" s="1" t="s">
        <v>87</v>
      </c>
    </row>
    <row r="5" spans="2:32" ht="20.100000000000001" customHeight="1">
      <c r="D5" s="1" t="s">
        <v>88</v>
      </c>
    </row>
    <row r="6" spans="2:32" ht="20.100000000000001" customHeight="1">
      <c r="D6" s="1" t="s">
        <v>89</v>
      </c>
    </row>
    <row r="7" spans="2:32" ht="20.100000000000001" customHeight="1">
      <c r="B7" s="3" t="s">
        <v>90</v>
      </c>
    </row>
    <row r="8" spans="2:32" ht="20.100000000000001" customHeight="1">
      <c r="D8" s="269" t="s">
        <v>91</v>
      </c>
      <c r="E8" s="269"/>
      <c r="F8" s="269"/>
      <c r="G8" s="269"/>
      <c r="H8" s="269"/>
      <c r="I8" s="269"/>
      <c r="J8" s="269"/>
      <c r="K8" s="269" t="s">
        <v>92</v>
      </c>
      <c r="L8" s="269"/>
      <c r="M8" s="269"/>
      <c r="N8" s="269"/>
      <c r="O8" s="269"/>
      <c r="P8" s="269"/>
      <c r="Q8" s="269"/>
      <c r="R8" s="269"/>
      <c r="S8" s="269"/>
      <c r="T8" s="269"/>
      <c r="U8" s="269"/>
      <c r="V8" s="269"/>
      <c r="W8" s="269"/>
      <c r="X8" s="269"/>
      <c r="Y8" s="269"/>
      <c r="Z8" s="269"/>
      <c r="AA8" s="269"/>
      <c r="AB8" s="269"/>
      <c r="AC8" s="269"/>
      <c r="AD8" s="269"/>
      <c r="AE8" s="269"/>
      <c r="AF8" s="269"/>
    </row>
    <row r="9" spans="2:32" ht="46.5" customHeight="1">
      <c r="D9" s="267" t="s">
        <v>93</v>
      </c>
      <c r="E9" s="267"/>
      <c r="F9" s="267"/>
      <c r="G9" s="267"/>
      <c r="H9" s="267"/>
      <c r="I9" s="267"/>
      <c r="J9" s="267"/>
      <c r="K9" s="268" t="s">
        <v>94</v>
      </c>
      <c r="L9" s="268"/>
      <c r="M9" s="268"/>
      <c r="N9" s="268"/>
      <c r="O9" s="268"/>
      <c r="P9" s="268"/>
      <c r="Q9" s="268"/>
      <c r="R9" s="268"/>
      <c r="S9" s="268"/>
      <c r="T9" s="268"/>
      <c r="U9" s="268"/>
      <c r="V9" s="268"/>
      <c r="W9" s="268"/>
      <c r="X9" s="268"/>
      <c r="Y9" s="268"/>
      <c r="Z9" s="268"/>
      <c r="AA9" s="268"/>
      <c r="AB9" s="268"/>
      <c r="AC9" s="268"/>
      <c r="AD9" s="268"/>
      <c r="AE9" s="268"/>
      <c r="AF9" s="268"/>
    </row>
    <row r="10" spans="2:32" ht="28.5" customHeight="1">
      <c r="D10" s="267" t="s">
        <v>95</v>
      </c>
      <c r="E10" s="267"/>
      <c r="F10" s="267"/>
      <c r="G10" s="267"/>
      <c r="H10" s="267"/>
      <c r="I10" s="267"/>
      <c r="J10" s="267"/>
      <c r="K10" s="270" t="s">
        <v>96</v>
      </c>
      <c r="L10" s="271"/>
      <c r="M10" s="271"/>
      <c r="N10" s="271"/>
      <c r="O10" s="271"/>
      <c r="P10" s="271"/>
      <c r="Q10" s="271"/>
      <c r="R10" s="271"/>
      <c r="S10" s="271"/>
      <c r="T10" s="271"/>
      <c r="U10" s="271"/>
      <c r="V10" s="271"/>
      <c r="W10" s="271"/>
      <c r="X10" s="271"/>
      <c r="Y10" s="271"/>
      <c r="Z10" s="271"/>
      <c r="AA10" s="271"/>
      <c r="AB10" s="271"/>
      <c r="AC10" s="271"/>
      <c r="AD10" s="271"/>
      <c r="AE10" s="271"/>
      <c r="AF10" s="272"/>
    </row>
    <row r="11" spans="2:32" ht="28.5" customHeight="1">
      <c r="D11" s="267" t="s">
        <v>97</v>
      </c>
      <c r="E11" s="267"/>
      <c r="F11" s="267"/>
      <c r="G11" s="267"/>
      <c r="H11" s="267"/>
      <c r="I11" s="267"/>
      <c r="J11" s="267"/>
      <c r="K11" s="268" t="s">
        <v>98</v>
      </c>
      <c r="L11" s="268"/>
      <c r="M11" s="268"/>
      <c r="N11" s="268"/>
      <c r="O11" s="268"/>
      <c r="P11" s="268"/>
      <c r="Q11" s="268"/>
      <c r="R11" s="268"/>
      <c r="S11" s="268"/>
      <c r="T11" s="268"/>
      <c r="U11" s="268"/>
      <c r="V11" s="268"/>
      <c r="W11" s="268"/>
      <c r="X11" s="268"/>
      <c r="Y11" s="268"/>
      <c r="Z11" s="268"/>
      <c r="AA11" s="268"/>
      <c r="AB11" s="268"/>
      <c r="AC11" s="268"/>
      <c r="AD11" s="268"/>
      <c r="AE11" s="268"/>
      <c r="AF11" s="268"/>
    </row>
    <row r="12" spans="2:32" ht="5.25" customHeight="1"/>
    <row r="13" spans="2:32" ht="20.100000000000001" customHeight="1">
      <c r="B13" s="3" t="s">
        <v>99</v>
      </c>
    </row>
    <row r="14" spans="2:32" ht="20.100000000000001" customHeight="1">
      <c r="B14" s="3"/>
      <c r="D14" s="1" t="s">
        <v>100</v>
      </c>
    </row>
    <row r="15" spans="2:32" ht="20.100000000000001" customHeight="1">
      <c r="D15" s="1" t="s">
        <v>101</v>
      </c>
    </row>
    <row r="16" spans="2:32" ht="20.100000000000001" customHeight="1">
      <c r="B16" s="3"/>
      <c r="D16" s="1" t="s">
        <v>102</v>
      </c>
    </row>
    <row r="17" spans="2:6" ht="20.100000000000001" customHeight="1">
      <c r="B17" s="3"/>
      <c r="D17" s="1" t="s">
        <v>103</v>
      </c>
    </row>
    <row r="18" spans="2:6" ht="20.100000000000001" customHeight="1">
      <c r="B18" s="3"/>
      <c r="D18" s="1" t="s">
        <v>104</v>
      </c>
    </row>
    <row r="19" spans="2:6" ht="20.100000000000001" customHeight="1">
      <c r="B19" s="3"/>
      <c r="D19" s="1" t="s">
        <v>105</v>
      </c>
    </row>
    <row r="20" spans="2:6" ht="20.100000000000001" customHeight="1">
      <c r="D20" s="1" t="s">
        <v>106</v>
      </c>
      <c r="E20" s="1" t="s">
        <v>107</v>
      </c>
    </row>
    <row r="21" spans="2:6" ht="20.100000000000001" customHeight="1">
      <c r="E21" s="1" t="s">
        <v>108</v>
      </c>
    </row>
    <row r="22" spans="2:6" ht="20.100000000000001" customHeight="1">
      <c r="D22" s="1" t="s">
        <v>109</v>
      </c>
    </row>
    <row r="23" spans="2:6" ht="20.100000000000001" customHeight="1">
      <c r="D23" s="1" t="s">
        <v>110</v>
      </c>
    </row>
    <row r="24" spans="2:6" ht="20.100000000000001" customHeight="1">
      <c r="E24" s="1" t="s">
        <v>111</v>
      </c>
    </row>
    <row r="25" spans="2:6" ht="20.100000000000001" customHeight="1">
      <c r="B25" s="3" t="s">
        <v>112</v>
      </c>
    </row>
    <row r="26" spans="2:6" ht="20.100000000000001" customHeight="1">
      <c r="D26" s="4" t="s">
        <v>113</v>
      </c>
    </row>
    <row r="27" spans="2:6" ht="20.100000000000001" customHeight="1">
      <c r="D27" s="4" t="s">
        <v>114</v>
      </c>
      <c r="F27" s="4" t="s">
        <v>115</v>
      </c>
    </row>
    <row r="28" spans="2:6" ht="20.100000000000001" customHeight="1">
      <c r="D28" s="4"/>
      <c r="F28" s="4" t="s">
        <v>116</v>
      </c>
    </row>
    <row r="29" spans="2:6" ht="20.100000000000001" customHeight="1">
      <c r="B29" s="3" t="s">
        <v>117</v>
      </c>
    </row>
    <row r="30" spans="2:6" ht="20.100000000000001" customHeight="1">
      <c r="D30" s="1" t="s">
        <v>118</v>
      </c>
    </row>
    <row r="31" spans="2:6" ht="20.100000000000001" customHeight="1">
      <c r="E31" s="1" t="s">
        <v>119</v>
      </c>
    </row>
    <row r="32" spans="2:6" ht="20.100000000000001" customHeight="1">
      <c r="D32" s="1" t="s">
        <v>120</v>
      </c>
    </row>
    <row r="33" spans="2:6" ht="20.100000000000001" customHeight="1">
      <c r="E33" s="1" t="s">
        <v>121</v>
      </c>
    </row>
    <row r="34" spans="2:6" ht="20.100000000000001" customHeight="1">
      <c r="F34" s="1" t="s">
        <v>122</v>
      </c>
    </row>
    <row r="35" spans="2:6" ht="20.100000000000001" customHeight="1">
      <c r="F35" s="1" t="s">
        <v>123</v>
      </c>
    </row>
    <row r="36" spans="2:6" ht="20.100000000000001" customHeight="1">
      <c r="B36" s="193" t="s">
        <v>341</v>
      </c>
    </row>
    <row r="37" spans="2:6" ht="20.100000000000001" customHeight="1">
      <c r="D37" s="192" t="s">
        <v>342</v>
      </c>
    </row>
    <row r="38" spans="2:6" ht="20.100000000000001" customHeight="1">
      <c r="D38" s="194" t="s">
        <v>343</v>
      </c>
    </row>
    <row r="39" spans="2:6" ht="20.100000000000001" customHeight="1">
      <c r="D39" s="194" t="s">
        <v>344</v>
      </c>
    </row>
    <row r="40" spans="2:6" ht="20.100000000000001" customHeight="1">
      <c r="D40" s="192" t="s">
        <v>345</v>
      </c>
    </row>
  </sheetData>
  <customSheetViews>
    <customSheetView guid="{0B5AE87E-5094-483C-B162-40616F3898A2}" showPageBreaks="1" printArea="1">
      <selection activeCell="H29" sqref="H29"/>
      <colBreaks count="1" manualBreakCount="1">
        <brk id="36" max="1048575" man="1"/>
      </colBreaks>
      <pageMargins left="0.75" right="0.75" top="1" bottom="1" header="0.5" footer="0.5"/>
      <pageSetup paperSize="9" scale="83" orientation="portrait" horizontalDpi="200" verticalDpi="200" r:id="rId1"/>
      <headerFooter alignWithMargins="0"/>
    </customSheetView>
    <customSheetView guid="{33A8337A-D9C9-4792-85CF-B434512345B4}" showPageBreaks="1" printArea="1">
      <selection activeCell="H29" sqref="H29"/>
      <colBreaks count="1" manualBreakCount="1">
        <brk id="36" max="1048575" man="1"/>
      </colBreaks>
      <pageMargins left="0.75" right="0.75" top="1" bottom="1" header="0.5" footer="0.5"/>
      <pageSetup paperSize="9" scale="83" orientation="portrait" horizontalDpi="200" verticalDpi="200" r:id="rId2"/>
      <headerFooter alignWithMargins="0"/>
    </customSheetView>
  </customSheetViews>
  <mergeCells count="8">
    <mergeCell ref="D11:J11"/>
    <mergeCell ref="K11:AF11"/>
    <mergeCell ref="D8:J8"/>
    <mergeCell ref="K8:AF8"/>
    <mergeCell ref="D9:J9"/>
    <mergeCell ref="K9:AF9"/>
    <mergeCell ref="D10:J10"/>
    <mergeCell ref="K10:AF10"/>
  </mergeCells>
  <phoneticPr fontId="44" type="noConversion"/>
  <pageMargins left="0.75" right="0.75" top="1" bottom="1" header="0.5" footer="0.5"/>
  <pageSetup paperSize="9" scale="83" orientation="portrait" horizontalDpi="200" verticalDpi="200" r:id="rId3"/>
  <headerFooter alignWithMargins="0"/>
  <colBreaks count="1" manualBreakCount="1">
    <brk id="36" max="1048575" man="1"/>
  </colBreaks>
</worksheet>
</file>

<file path=docProps/app.xml><?xml version="1.0" encoding="utf-8"?>
<Properties xmlns="http://schemas.openxmlformats.org/officeDocument/2006/extended-properties" xmlns:vt="http://schemas.openxmlformats.org/officeDocument/2006/docPropsVTypes">
  <Template/>
  <Pages>0</Pages>
  <Words>0</Words>
  <Characters>0</Characters>
  <Application>Microsoft Excel</Application>
  <DocSecurity>0</DocSecurity>
  <PresentationFormat/>
  <Lines>0</Lines>
  <Paragraphs>0</Paragraphs>
  <Slides>0</Slides>
  <Notes>0</Notes>
  <HiddenSlides>0</HiddenSlides>
  <MMClips>0</MMClips>
  <ScaleCrop>false</ScaleCrop>
  <HeadingPairs>
    <vt:vector size="4" baseType="variant">
      <vt:variant>
        <vt:lpstr>工作表</vt:lpstr>
      </vt:variant>
      <vt:variant>
        <vt:i4>10</vt:i4>
      </vt:variant>
      <vt:variant>
        <vt:lpstr>命名范围</vt:lpstr>
      </vt:variant>
      <vt:variant>
        <vt:i4>3</vt:i4>
      </vt:variant>
    </vt:vector>
  </HeadingPairs>
  <TitlesOfParts>
    <vt:vector size="13" baseType="lpstr">
      <vt:lpstr>封页</vt:lpstr>
      <vt:lpstr>历史变更记录</vt:lpstr>
      <vt:lpstr>测试大纲</vt:lpstr>
      <vt:lpstr>报备管理</vt:lpstr>
      <vt:lpstr>运行月报告</vt:lpstr>
      <vt:lpstr>通讯录</vt:lpstr>
      <vt:lpstr>流程测试用例</vt:lpstr>
      <vt:lpstr>流程图</vt:lpstr>
      <vt:lpstr>流程测试用例示例</vt:lpstr>
      <vt:lpstr>使用说明</vt:lpstr>
      <vt:lpstr>封页!Print_Area</vt:lpstr>
      <vt:lpstr>历史变更记录!Print_Area</vt:lpstr>
      <vt:lpstr>使用说明!Print_Area</vt:lpstr>
    </vt:vector>
  </TitlesOfParts>
  <Manager/>
  <Company/>
  <LinksUpToDate>false</LinksUpToDate>
  <CharactersWithSpaces>0</CharactersWithSpaces>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李晓敏</dc:creator>
  <cp:keywords/>
  <dc:description/>
  <cp:lastModifiedBy>Administrator</cp:lastModifiedBy>
  <cp:revision/>
  <cp:lastPrinted>2011-07-07T07:56:24Z</cp:lastPrinted>
  <dcterms:created xsi:type="dcterms:W3CDTF">2010-06-02T06:58:10Z</dcterms:created>
  <dcterms:modified xsi:type="dcterms:W3CDTF">2018-06-07T09:35:47Z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2052-9.1.0.4764</vt:lpwstr>
  </property>
  <property fmtid="{D5CDD505-2E9C-101B-9397-08002B2CF9AE}" pid="3" name="KSOReadingLayout">
    <vt:bool>false</vt:bool>
  </property>
</Properties>
</file>